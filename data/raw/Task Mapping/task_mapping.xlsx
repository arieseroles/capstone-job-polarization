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ries\PycharmProjects\aristotle\aristotle\projects\job_polarization\data\raw\Task Mapping\"/>
    </mc:Choice>
  </mc:AlternateContent>
  <xr:revisionPtr revIDLastSave="0" documentId="13_ncr:1_{68B12BE1-43BC-42AC-A924-C8D9AAFA4EDB}" xr6:coauthVersionLast="47" xr6:coauthVersionMax="47" xr10:uidLastSave="{00000000-0000-0000-0000-000000000000}"/>
  <bookViews>
    <workbookView xWindow="-98" yWindow="-98" windowWidth="23236" windowHeight="13875" activeTab="2" xr2:uid="{00000000-000D-0000-FFFF-FFFF00000000}"/>
  </bookViews>
  <sheets>
    <sheet name="generalao" sheetId="1" r:id="rId1"/>
    <sheet name="tied" sheetId="2" r:id="rId2"/>
    <sheet name="added"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3" i="3" l="1"/>
  <c r="I43" i="3"/>
  <c r="H43" i="3"/>
  <c r="A43" i="3"/>
  <c r="K43" i="3" s="1"/>
  <c r="J42" i="3"/>
  <c r="I42" i="3"/>
  <c r="H42" i="3"/>
  <c r="A42" i="3"/>
  <c r="K42" i="3" s="1"/>
  <c r="K41" i="3"/>
  <c r="J41" i="3"/>
  <c r="I41" i="3"/>
  <c r="H41" i="3"/>
  <c r="A41" i="3"/>
  <c r="J40" i="3"/>
  <c r="I40" i="3"/>
  <c r="H40" i="3"/>
  <c r="A40" i="3"/>
  <c r="K40" i="3" s="1"/>
  <c r="J39" i="3"/>
  <c r="I39" i="3"/>
  <c r="H39" i="3"/>
  <c r="A39" i="3"/>
  <c r="K39" i="3" s="1"/>
  <c r="J38" i="3"/>
  <c r="I38" i="3"/>
  <c r="H38" i="3"/>
  <c r="A38" i="3"/>
  <c r="K38" i="3" s="1"/>
  <c r="K37" i="3"/>
  <c r="J37" i="3"/>
  <c r="I37" i="3"/>
  <c r="H37" i="3"/>
  <c r="A37" i="3"/>
  <c r="J36" i="3"/>
  <c r="I36" i="3"/>
  <c r="H36" i="3"/>
  <c r="A36" i="3"/>
  <c r="K36" i="3" s="1"/>
  <c r="J35" i="3"/>
  <c r="I35" i="3"/>
  <c r="H35" i="3"/>
  <c r="A35" i="3"/>
  <c r="K35" i="3" s="1"/>
  <c r="J34" i="3"/>
  <c r="I34" i="3"/>
  <c r="H34" i="3"/>
  <c r="A34" i="3"/>
  <c r="K34" i="3" s="1"/>
  <c r="K33" i="3"/>
  <c r="J33" i="3"/>
  <c r="I33" i="3"/>
  <c r="H33" i="3"/>
  <c r="A33" i="3"/>
  <c r="J32" i="3"/>
  <c r="I32" i="3"/>
  <c r="H32" i="3"/>
  <c r="A32" i="3"/>
  <c r="K32" i="3" s="1"/>
  <c r="J31" i="3"/>
  <c r="I31" i="3"/>
  <c r="H31" i="3"/>
  <c r="A31" i="3"/>
  <c r="K31" i="3" s="1"/>
  <c r="J30" i="3"/>
  <c r="I30" i="3"/>
  <c r="H30" i="3"/>
  <c r="A30" i="3"/>
  <c r="K30" i="3" s="1"/>
  <c r="K29" i="3"/>
  <c r="J29" i="3"/>
  <c r="I29" i="3"/>
  <c r="H29" i="3"/>
  <c r="A29" i="3"/>
  <c r="J28" i="3"/>
  <c r="I28" i="3"/>
  <c r="H28" i="3"/>
  <c r="A28" i="3"/>
  <c r="K28" i="3" s="1"/>
  <c r="I27" i="3"/>
  <c r="H27" i="3"/>
  <c r="A27" i="3"/>
  <c r="K27" i="3" s="1"/>
  <c r="J26" i="3"/>
  <c r="I26" i="3"/>
  <c r="H26" i="3"/>
  <c r="A26" i="3"/>
  <c r="K26" i="3" s="1"/>
  <c r="K25" i="3"/>
  <c r="J25" i="3"/>
  <c r="I25" i="3"/>
  <c r="H25" i="3"/>
  <c r="A25" i="3"/>
  <c r="J24" i="3"/>
  <c r="I24" i="3"/>
  <c r="H24" i="3"/>
  <c r="A24" i="3"/>
  <c r="K24" i="3" s="1"/>
  <c r="K23" i="3"/>
  <c r="J23" i="3"/>
  <c r="I23" i="3"/>
  <c r="H23" i="3"/>
  <c r="A23" i="3"/>
  <c r="J22" i="3"/>
  <c r="I22" i="3"/>
  <c r="H22" i="3"/>
  <c r="A22" i="3"/>
  <c r="K22" i="3" s="1"/>
  <c r="K21" i="3"/>
  <c r="J21" i="3"/>
  <c r="I21" i="3"/>
  <c r="H21" i="3"/>
  <c r="A21" i="3"/>
  <c r="J20" i="3"/>
  <c r="I20" i="3"/>
  <c r="H20" i="3"/>
  <c r="A20" i="3"/>
  <c r="K20" i="3" s="1"/>
  <c r="K19" i="3"/>
  <c r="J19" i="3"/>
  <c r="I19" i="3"/>
  <c r="H19" i="3"/>
  <c r="A19" i="3"/>
  <c r="J18" i="3"/>
  <c r="I18" i="3"/>
  <c r="H18" i="3"/>
  <c r="A18" i="3"/>
  <c r="K18" i="3" s="1"/>
  <c r="K17" i="3"/>
  <c r="J17" i="3"/>
  <c r="I17" i="3"/>
  <c r="H17" i="3"/>
  <c r="A17" i="3"/>
  <c r="J16" i="3"/>
  <c r="I16" i="3"/>
  <c r="H16" i="3"/>
  <c r="A16" i="3"/>
  <c r="K16" i="3" s="1"/>
  <c r="K15" i="3"/>
  <c r="J15" i="3"/>
  <c r="I15" i="3"/>
  <c r="H15" i="3"/>
  <c r="A15" i="3"/>
  <c r="J14" i="3"/>
  <c r="I14" i="3"/>
  <c r="H14" i="3"/>
  <c r="A14" i="3"/>
  <c r="K14" i="3" s="1"/>
  <c r="K13" i="3"/>
  <c r="J13" i="3"/>
  <c r="I13" i="3"/>
  <c r="H13" i="3"/>
  <c r="A13" i="3"/>
  <c r="J12" i="3"/>
  <c r="I12" i="3"/>
  <c r="H12" i="3"/>
  <c r="A12" i="3"/>
  <c r="K12" i="3" s="1"/>
  <c r="K11" i="3"/>
  <c r="J11" i="3"/>
  <c r="I11" i="3"/>
  <c r="H11" i="3"/>
  <c r="A11" i="3"/>
  <c r="J10" i="3"/>
  <c r="I10" i="3"/>
  <c r="H10" i="3"/>
  <c r="A10" i="3"/>
  <c r="K10" i="3" s="1"/>
  <c r="K9" i="3"/>
  <c r="J9" i="3"/>
  <c r="I9" i="3"/>
  <c r="H9" i="3"/>
  <c r="A9" i="3"/>
  <c r="J8" i="3"/>
  <c r="I8" i="3"/>
  <c r="H8" i="3"/>
  <c r="A8" i="3"/>
  <c r="K8" i="3" s="1"/>
  <c r="K7" i="3"/>
  <c r="J7" i="3"/>
  <c r="I7" i="3"/>
  <c r="H7" i="3"/>
  <c r="A7" i="3"/>
  <c r="J6" i="3"/>
  <c r="I6" i="3"/>
  <c r="H6" i="3"/>
  <c r="A6" i="3"/>
  <c r="K6" i="3" s="1"/>
  <c r="K5" i="3"/>
  <c r="J5" i="3"/>
  <c r="I5" i="3"/>
  <c r="H5" i="3"/>
  <c r="A5" i="3"/>
  <c r="J4" i="3"/>
  <c r="I4" i="3"/>
  <c r="H4" i="3"/>
  <c r="A4" i="3"/>
  <c r="K4" i="3" s="1"/>
  <c r="K3" i="3"/>
  <c r="J3" i="3"/>
  <c r="I3" i="3"/>
  <c r="H3" i="3"/>
  <c r="A3" i="3"/>
  <c r="J2" i="3"/>
  <c r="I2" i="3"/>
  <c r="H2" i="3"/>
  <c r="A2" i="3"/>
  <c r="K2" i="3" s="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2" i="1"/>
</calcChain>
</file>

<file path=xl/sharedStrings.xml><?xml version="1.0" encoding="utf-8"?>
<sst xmlns="http://schemas.openxmlformats.org/spreadsheetml/2006/main" count="9966" uniqueCount="3788">
  <si>
    <t>PSOC</t>
  </si>
  <si>
    <t>tasks</t>
  </si>
  <si>
    <t>Legislators</t>
  </si>
  <si>
    <t>Non-routine interpersonal</t>
  </si>
  <si>
    <t>Non-routine analytical</t>
  </si>
  <si>
    <t>Senior Government Officials</t>
  </si>
  <si>
    <t>ensuring appropriate systems and procedures are developed and implemented to provide budgetary control;</t>
  </si>
  <si>
    <t>Traditional Chiefs and Heads of Villages</t>
  </si>
  <si>
    <t>allocating the use of communal land and other resources among households in the community or village;</t>
  </si>
  <si>
    <t>collecting and distributing surplus production of the community or village;</t>
  </si>
  <si>
    <t>settling disputes between members of the community or village;</t>
  </si>
  <si>
    <t>disciplining members of the community or village for violation of rules and customs;</t>
  </si>
  <si>
    <t>performing ceremonial duties in connection with births, marriages, deaths, harvests and other important occasions;</t>
  </si>
  <si>
    <t>representing the community or village on local or regional councils;</t>
  </si>
  <si>
    <t>informing the community or village about government rules and regulations.</t>
  </si>
  <si>
    <t>Senior Officials of Special-interest Organizations</t>
  </si>
  <si>
    <t>determining and formulating the policies, rules and regulations of the organization;</t>
  </si>
  <si>
    <t>planning, directing and coordinating the general functioning of the organization;</t>
  </si>
  <si>
    <t>negotiating on behalf of the organization, its members and relevant special-interest groups;</t>
  </si>
  <si>
    <t>promoting the interests of the organization, its members and relevant special-interest groups before the legislature, government or general public;</t>
  </si>
  <si>
    <t>Managing Directors and Chief Executives</t>
  </si>
  <si>
    <t>planning, directing and coordinating the general functioning of an enterprise or organization;</t>
  </si>
  <si>
    <t>determining objectives, strategies, policies and programmes for the enterprise or organization;</t>
  </si>
  <si>
    <t>providing overall leadership and management to the enterprise or organization;</t>
  </si>
  <si>
    <t>establishing and managing budgets, controlling expenditure and ensuring the efficient use of resources;</t>
  </si>
  <si>
    <t>authorizing material, human and financial resources to implement organizational policies and programmes;</t>
  </si>
  <si>
    <t>consulting with senior subordinate staff and reviewing recommendations and reports;</t>
  </si>
  <si>
    <t>selecting or approving the selection of senior staff;</t>
  </si>
  <si>
    <t>ensuring the organization complies with relevant legislation and regulations.</t>
  </si>
  <si>
    <t>Finance Managers</t>
  </si>
  <si>
    <t>planning and directing daily operations;</t>
  </si>
  <si>
    <t>Human Resource Managers</t>
  </si>
  <si>
    <t>overseeing safety, health and related programmes and activities;</t>
  </si>
  <si>
    <t>Policy and Planning Managers</t>
  </si>
  <si>
    <t>(e)  planning and directing daily operations;</t>
  </si>
  <si>
    <t>Business Services and Administration Managers Not Elsewhere Classified</t>
  </si>
  <si>
    <t>(e)  providing information and support for the preparation of financial reports and budgets;</t>
  </si>
  <si>
    <t>(i)  planning and directing daily operations;</t>
  </si>
  <si>
    <t>Sales and Marketing Managers</t>
  </si>
  <si>
    <t>(h)  representing the enterprise or organization at sales and marketing conventions, trade exhibitions and other forums.</t>
  </si>
  <si>
    <t>Advertising and Public Relations Managers</t>
  </si>
  <si>
    <t>(g)  planning and directing daily operations;</t>
  </si>
  <si>
    <t>Research and Development Managers</t>
  </si>
  <si>
    <t>(f)   planning and directing daily operations;</t>
  </si>
  <si>
    <t>Agricultural and Forestry Production Managers</t>
  </si>
  <si>
    <t>conferring with buyers to arrange for the sale of crops and livestock</t>
  </si>
  <si>
    <t>analysing soil to determine types and quantities of fertilizer required for maximum production</t>
  </si>
  <si>
    <t>purchasing machinery, equipment and supplies such as tractros, seed, fertilizer and chemicals</t>
  </si>
  <si>
    <t>identifying and controlling agricultural and forest environmental toxins, weeds, pests and diseases</t>
  </si>
  <si>
    <t>organizing farming operations such as maintaining buildings, water supply systems and equipment</t>
  </si>
  <si>
    <t>Routine cognitive</t>
  </si>
  <si>
    <t>overseeing the selection, training and performance of agricultural and forestry workers and contractors</t>
  </si>
  <si>
    <t>Aquaculture and Fisheries Production Managers</t>
  </si>
  <si>
    <t>purchasing machinery, equipment and supplies such as vessels and nets;</t>
  </si>
  <si>
    <t>Mining Managers</t>
  </si>
  <si>
    <t>Construction Managers</t>
  </si>
  <si>
    <t>(a)  interpreting architectural drawings and specifications;</t>
  </si>
  <si>
    <t>(d)  preparing tenders and contract bids;</t>
  </si>
  <si>
    <t>(g)  arranging submission of plans to local authorities;</t>
  </si>
  <si>
    <t>Supply, Distribution and Related Managers</t>
  </si>
  <si>
    <t>(h)  overseeing the recording of purchase, storage and distribution transactions;</t>
  </si>
  <si>
    <t>(k)  planning and directing daily operations;</t>
  </si>
  <si>
    <t>Information and Communications Technology Services Managers</t>
  </si>
  <si>
    <t>(e)  overseeing the security of ICT systems;</t>
  </si>
  <si>
    <t>(f)  assigning, reviewing, managing and leading the work of systems analysts, programmers and other computer-related workers;</t>
  </si>
  <si>
    <t>Child Care Services Managers</t>
  </si>
  <si>
    <t>Education Managers</t>
  </si>
  <si>
    <t>Financial and Insurance Services Branch Managers</t>
  </si>
  <si>
    <t>(e)  monitoring credit extension decisions;</t>
  </si>
  <si>
    <t>(f)  conducting financial investigations;</t>
  </si>
  <si>
    <t>Professional Services Managers Not Elsewhere Classified</t>
  </si>
  <si>
    <t>(a)  providing overall direction and management for a service, facility, organization or centre;</t>
  </si>
  <si>
    <t>(d)  monitoring and evaluating resources devoted to the provision of services;</t>
  </si>
  <si>
    <t>Restaurant Managers</t>
  </si>
  <si>
    <t>planning and organizing special functions;</t>
  </si>
  <si>
    <t>conferring with customers to assess their satisfaction with meals and service;</t>
  </si>
  <si>
    <t>negotiating arrangements with clients and suppliers;</t>
  </si>
  <si>
    <t>Retail and Wholesale Trade Managers</t>
  </si>
  <si>
    <t>(e)  undertaking budgeting for the establishment;</t>
  </si>
  <si>
    <t>Sports, Recreation and Cultural Centre Managers</t>
  </si>
  <si>
    <t>(i)  ensuring compliance with health and safety regulations.</t>
  </si>
  <si>
    <t>Services Managers Not Elsewhere Classified</t>
  </si>
  <si>
    <t>cannot be determined</t>
  </si>
  <si>
    <t>Farming, Forestry and Fisheries Advisers</t>
  </si>
  <si>
    <t>(b)  advising on techniques for improving the production of crops, livestock and fish, and alternative production options;</t>
  </si>
  <si>
    <t>Industrial and Production Engineers</t>
  </si>
  <si>
    <t>(i)  advising management on new production methods, techniques and equipment;</t>
  </si>
  <si>
    <t>Civil Engineers</t>
  </si>
  <si>
    <t>Mechanical Engineers</t>
  </si>
  <si>
    <t>Engineering Professionals Not Elsewhere Classified</t>
  </si>
  <si>
    <t>(g)  assessing damage and providing calculations for marine salvage operations;</t>
  </si>
  <si>
    <t>Electrical Engineers</t>
  </si>
  <si>
    <t>(a)  advising on and designing power stations and systems which generate, transmit and distribute electrical power;</t>
  </si>
  <si>
    <t>Building Architects</t>
  </si>
  <si>
    <t>Landscape Architects</t>
  </si>
  <si>
    <t>Product and Garment Designers</t>
  </si>
  <si>
    <t>determining the objectives and constraints of the design brief by consulting with clients and stakeholders;</t>
  </si>
  <si>
    <t>detailing and documenting the selected design for production;</t>
  </si>
  <si>
    <t>preparing and commissioning prototypes and samples;</t>
  </si>
  <si>
    <t>Cartographers and Surveyors</t>
  </si>
  <si>
    <t>(d)  planning and conducting aerial photographic surveys;</t>
  </si>
  <si>
    <t>Graphic and Multimedia Designers</t>
  </si>
  <si>
    <t>undertaking research and analysing functional communication requirements;</t>
  </si>
  <si>
    <t>formulating design concepts for the subject to be communicated;</t>
  </si>
  <si>
    <t>preparing sketches, diagrams, illustrations and layouts to communicate design concepts;</t>
  </si>
  <si>
    <t>Nursing Professionals</t>
  </si>
  <si>
    <t>Non-routine manual physical</t>
  </si>
  <si>
    <t>Midwifery Professionals</t>
  </si>
  <si>
    <t>Traditional and Complementary Medicine Professionals</t>
  </si>
  <si>
    <t>Pharmacists</t>
  </si>
  <si>
    <t>(m) developing information and risks of particular drugs.</t>
  </si>
  <si>
    <t>Physiotherapists</t>
  </si>
  <si>
    <t>University and Higher Education Teachers</t>
  </si>
  <si>
    <t>(b)  preparing and delivering lectures and conducting tutorials, seminars and laboratory experiments;</t>
  </si>
  <si>
    <t>(h)  preparing scholarly books, papers or articles;</t>
  </si>
  <si>
    <t>Vocational Education Teachers</t>
  </si>
  <si>
    <t>Secondary Education Teachers</t>
  </si>
  <si>
    <t>(e)  preparing materials and classrooms for class activities;</t>
  </si>
  <si>
    <t>Primary School Teachers</t>
  </si>
  <si>
    <t>(e)  assigning and grading class work and homework;</t>
  </si>
  <si>
    <t>Early Childhood Educators</t>
  </si>
  <si>
    <t>Education Methods Specialists</t>
  </si>
  <si>
    <t>evaluating and advising on contents of courses and methods of examination</t>
  </si>
  <si>
    <t>documenting subjects and courses developed, and evaluating new courses;</t>
  </si>
  <si>
    <t>Special Needs Teachers</t>
  </si>
  <si>
    <t>Other Language Teachers</t>
  </si>
  <si>
    <t>(d)  assessing students’ progress;</t>
  </si>
  <si>
    <t>Other Music Teachers</t>
  </si>
  <si>
    <t>(e)  teaching students to read and write musical notation;</t>
  </si>
  <si>
    <t>(j)  arranging visits and tours to musical performances;</t>
  </si>
  <si>
    <t>Other Arts Teachers</t>
  </si>
  <si>
    <t>(c)  preparing and presenting material on the theory of the subject area being studied;</t>
  </si>
  <si>
    <t>Information Technology Trainers</t>
  </si>
  <si>
    <t>Teaching Professionals Not Elsewhere Classified</t>
  </si>
  <si>
    <t>(h)  preparing students for examinations and assessments;</t>
  </si>
  <si>
    <t>Accountants</t>
  </si>
  <si>
    <t>(d)  preparing or reporting on profit forecasts and budgets;</t>
  </si>
  <si>
    <t>(f)  auditing accounts and bookkeeping records;</t>
  </si>
  <si>
    <t>Financial Analysts</t>
  </si>
  <si>
    <t>Policy Administration Professionals</t>
  </si>
  <si>
    <t>Personnel and Careers Professionals</t>
  </si>
  <si>
    <t>Advertising and Marketing Professionals</t>
  </si>
  <si>
    <t>Public Relations Professionals</t>
  </si>
  <si>
    <t>(g)  commissioning and obtaining photographs and other illustrative material;</t>
  </si>
  <si>
    <t>Technical and Medical Sales Professionals (excluding ICT)</t>
  </si>
  <si>
    <t>Information and Communications Technology Sales Professionals</t>
  </si>
  <si>
    <t>(e)  updating customer records and preparing sales reports;</t>
  </si>
  <si>
    <t>Systems Analysts</t>
  </si>
  <si>
    <t>Software Developers</t>
  </si>
  <si>
    <t>Web and Multimedia Developers</t>
  </si>
  <si>
    <t>Applications Programmers</t>
  </si>
  <si>
    <t>Computer Network Professionals</t>
  </si>
  <si>
    <t>Social Work and Counselling Professionals</t>
  </si>
  <si>
    <t>Religious Professionals</t>
  </si>
  <si>
    <t>(b)  conducting religious services, rites and ceremonies;</t>
  </si>
  <si>
    <t>(d)  providing spiritual and moral guidance in accordance with the religion professed;</t>
  </si>
  <si>
    <t>(f)  preparing and presenting religious sermons;</t>
  </si>
  <si>
    <t>Authors and Related Writers</t>
  </si>
  <si>
    <t>(a)  conceiving, writing and editing novels, plays, scripts, poetry and other material for publication or presentation;</t>
  </si>
  <si>
    <t>Journalists</t>
  </si>
  <si>
    <t>Visual Artists</t>
  </si>
  <si>
    <t>selecting artistic media, method and materials;</t>
  </si>
  <si>
    <t>Musicians, Singers and Composers</t>
  </si>
  <si>
    <t>conducting instrumental or vocal groups;</t>
  </si>
  <si>
    <t>singing as a soloist or as a member of a vocal group or other band;</t>
  </si>
  <si>
    <t>Dancers and Choreographers</t>
  </si>
  <si>
    <t>Film, Stage and Related Directors and Producers</t>
  </si>
  <si>
    <t>Announcers on Radio, Television and Other Media</t>
  </si>
  <si>
    <t>(d)  studying background information in order to prepare for programmes or interviews;</t>
  </si>
  <si>
    <t>Creative and Performing Artists Not Elsewhere Classified</t>
  </si>
  <si>
    <t>(a)  performing amusing antics and telling funny stories;</t>
  </si>
  <si>
    <t>(c)  performing difficult and spectacular acrobatics, and gymnastic or juggling feats;</t>
  </si>
  <si>
    <t>(d)  training and performing with animals.</t>
  </si>
  <si>
    <t>Civil Engineering Technicians</t>
  </si>
  <si>
    <t>(f)  organizing maintenance and repairs;</t>
  </si>
  <si>
    <t>Electrical Engineering Technicians</t>
  </si>
  <si>
    <t>Electronics Engineering Technicians</t>
  </si>
  <si>
    <t>providing technical assistance in research and development of electronic equipment, or testing prototypes;</t>
  </si>
  <si>
    <t>Mechanical Engineering Technicians</t>
  </si>
  <si>
    <t>Mining and Metallurgical Technicians</t>
  </si>
  <si>
    <t>Draughtspersons</t>
  </si>
  <si>
    <t>Physical and Engineering Science Technicians Not Elsewhere Classified</t>
  </si>
  <si>
    <t>Routine manual</t>
  </si>
  <si>
    <t>Manufacturing Supervisors</t>
  </si>
  <si>
    <t>coordinating and supervising the activities of process control technicians, machine operators, assemblers and other manufacturing labourers;</t>
  </si>
  <si>
    <t>preparing cost estimates, records and reports;</t>
  </si>
  <si>
    <t>identifying shortage of staff or components;</t>
  </si>
  <si>
    <t>ensuring safety of workers;</t>
  </si>
  <si>
    <t>instructing and training new staff.</t>
  </si>
  <si>
    <t>Construction Supervisors</t>
  </si>
  <si>
    <t>examining and inspecting work progress;</t>
  </si>
  <si>
    <t>supervising construction sites and coordinating work with other construction projects;</t>
  </si>
  <si>
    <t>supervising the activities of building trades workers, labourers and other construction workers.</t>
  </si>
  <si>
    <t>Power Production Plant Operators</t>
  </si>
  <si>
    <t>Incinerator and Water Treatment Plant Operators</t>
  </si>
  <si>
    <t>Chemical Processing Plant Controllers</t>
  </si>
  <si>
    <t>adjusting equipment, valves, pumps, controls and process equipment;</t>
  </si>
  <si>
    <t>verifying equipment for malfunctions, carrying out routine operating tests and arranging for maintenance;</t>
  </si>
  <si>
    <t>analysing sample products, performing tests, recording data and writing production logs.</t>
  </si>
  <si>
    <t>Process Control Technicians Not Elsewhere Classified</t>
  </si>
  <si>
    <t>Agricultural Technicians</t>
  </si>
  <si>
    <t>Ships’ Engineers</t>
  </si>
  <si>
    <t>Ships’ Deck Officers and Pilots</t>
  </si>
  <si>
    <t>navigating vessels into and out of ports and through channels, straits and other waters where special knowledge is required;</t>
  </si>
  <si>
    <t>Medical and Pathology Laboratory Technicians</t>
  </si>
  <si>
    <t>analysing samples of biological material for chemical content or reaction;</t>
  </si>
  <si>
    <t>setting up, cleaning and maintaining laboratory equipment;</t>
  </si>
  <si>
    <t>analysing laboratory findings to check the accuracy of the results;</t>
  </si>
  <si>
    <t>obtaining specimens, cultivating, isolating and identifying microorganisms for analysis;</t>
  </si>
  <si>
    <t>examining cells stained with dye to locate abnormalities;</t>
  </si>
  <si>
    <t>inoculating fertilized eggs, broths, or other bacteriological media with organisms.</t>
  </si>
  <si>
    <t>Pharmaceutical Technicians and Assistants</t>
  </si>
  <si>
    <t>Medical and Dental Prosthetic Technicians</t>
  </si>
  <si>
    <t>interpreting prescriptions or specifications to determine the type of product or device to be fabricated, and the materials and tools that will be required;</t>
  </si>
  <si>
    <t>instructing patients in the use and care of prosthetic or orthotic devices.</t>
  </si>
  <si>
    <t>Veterinary Technicians and Assistants</t>
  </si>
  <si>
    <t>carrying out technical tasks connected with artificial insemination of animals;</t>
  </si>
  <si>
    <t>Dental Assistants and Therapists</t>
  </si>
  <si>
    <t>assisting dentists during complex dental procedures;</t>
  </si>
  <si>
    <t>taking impressions of the mouth and dental radiographs to support diagnosis and fitting of dental prosthetics.</t>
  </si>
  <si>
    <t>Medical Records and Health Information Technicians</t>
  </si>
  <si>
    <t>reviewing records for completeness, accuracy and compliance with regulations;</t>
  </si>
  <si>
    <t>supervising clerical and administrative workers involved in the maintenance of medical records.</t>
  </si>
  <si>
    <t>Community Health Workers</t>
  </si>
  <si>
    <t>Dispensing Opticians</t>
  </si>
  <si>
    <t>Physiotherapy Technicians and Assistants</t>
  </si>
  <si>
    <t>Environmental and Occupational Health Inspectors and Associates</t>
  </si>
  <si>
    <t>(c)  giving advice on environmental sanitary problems and techniques;</t>
  </si>
  <si>
    <t>Securities and Finance Dealers and Brokers</t>
  </si>
  <si>
    <t>Credit and Loans Officers</t>
  </si>
  <si>
    <t>completing credit and loan documentation.</t>
  </si>
  <si>
    <t>Accounting Associate Professionals</t>
  </si>
  <si>
    <t>supervising the work of accounts and bookkeeping clerks.</t>
  </si>
  <si>
    <t>Statistical, Mathematical and Related Associate Professionals</t>
  </si>
  <si>
    <t>(h)  supervising the work of statistical clerks.</t>
  </si>
  <si>
    <t>Valuers and Loss Assessors</t>
  </si>
  <si>
    <t>(e)  preparing reports of value, outlining the estimation factors and methods used.</t>
  </si>
  <si>
    <t>Insurance Representatives</t>
  </si>
  <si>
    <t>(e)  negotiating and placing reinsurance contracts;</t>
  </si>
  <si>
    <t>Commercial Sales Representatives</t>
  </si>
  <si>
    <t>(f)  reporting customers’ reactions and requirements to suppliers and manufacturers;</t>
  </si>
  <si>
    <t>Buyers</t>
  </si>
  <si>
    <t>Clearing and Forwarding Agents</t>
  </si>
  <si>
    <t>(b)  ensuring that insurance is in order;</t>
  </si>
  <si>
    <t>(d)  signing and issuing bills of lading;</t>
  </si>
  <si>
    <t>Conference and Event Planners</t>
  </si>
  <si>
    <t>organizing registration of participants;</t>
  </si>
  <si>
    <t>Real Estate Agents and Property Managers</t>
  </si>
  <si>
    <t>Business Services Agents Not Elsewhere Classified</t>
  </si>
  <si>
    <t>(a) obtaining information about services to be sold and needs of prospective buyers;</t>
  </si>
  <si>
    <t>Office Supervisors</t>
  </si>
  <si>
    <t>Legal Secretaries</t>
  </si>
  <si>
    <t>(g)  supervising the work of office support workers.</t>
  </si>
  <si>
    <t>Administrative and Executive Secretaries</t>
  </si>
  <si>
    <t>(a)  drafting administrative correspondence and minutes;</t>
  </si>
  <si>
    <t>(h)  supervising the work of clerical support workers.</t>
  </si>
  <si>
    <t>Medical Secretaries</t>
  </si>
  <si>
    <t>(d)  completing insurance and other claims forms;</t>
  </si>
  <si>
    <t>Customs and Border Inspectors</t>
  </si>
  <si>
    <t>(h)  when necessary, testifying in a court of law about the circumstances and results of investigations carried out.</t>
  </si>
  <si>
    <t>Government Tax and Excise Officials</t>
  </si>
  <si>
    <t>Police Inspectors and Detectives</t>
  </si>
  <si>
    <t>(e)  making arrests;</t>
  </si>
  <si>
    <t>Government Regulatory Associate Professionals Not Elsewhere Classified</t>
  </si>
  <si>
    <t>Social Work Associate Professionals</t>
  </si>
  <si>
    <t>Religious Associate Professionals</t>
  </si>
  <si>
    <t>(a)  undertaking religious works;</t>
  </si>
  <si>
    <t>Athletes and Sports Players</t>
  </si>
  <si>
    <t>(a)  participating in competitive sporting events;</t>
  </si>
  <si>
    <t>(e)  deciding on strategies in consultation with coaches;</t>
  </si>
  <si>
    <t>(g)  competing in sporting events;</t>
  </si>
  <si>
    <t>Sports Coaches, Instructors and Officials</t>
  </si>
  <si>
    <t>(k)  compiling scores and other athletic records.</t>
  </si>
  <si>
    <t>Photographers</t>
  </si>
  <si>
    <t>taking portrait photographs of persons and groups of persons;</t>
  </si>
  <si>
    <t>using airbrush, computer or other techniques to create the desired visual effect.</t>
  </si>
  <si>
    <t>Interior Designers and Decorators</t>
  </si>
  <si>
    <t>(h)  coordinating the construction and the decoration of interiors;</t>
  </si>
  <si>
    <t>(i)  designing and painting stage scenery;</t>
  </si>
  <si>
    <t>Chefs</t>
  </si>
  <si>
    <t>participating in the recruitment of kitchen staff and monitoring their performance;</t>
  </si>
  <si>
    <t>Other Artistic and Cultural Associate Professionals</t>
  </si>
  <si>
    <t>Information and Communications Technology Operations Technicians</t>
  </si>
  <si>
    <t>(a)  operating and controlling peripheral and related computer equipment;</t>
  </si>
  <si>
    <t>(d)  notifying supervisors or maintenance technicians of equipment malfunctions;</t>
  </si>
  <si>
    <t>Information and Communications Technology User Support Technicians</t>
  </si>
  <si>
    <t>Computer Network and Systems Technicians</t>
  </si>
  <si>
    <t>operating, maintaining and troubleshooting network systems;</t>
  </si>
  <si>
    <t>operating and maintaining data communications systems other than networks;</t>
  </si>
  <si>
    <t>assisting users with network and data communications problems;</t>
  </si>
  <si>
    <t>identifying areas needing upgraded equipment and software;</t>
  </si>
  <si>
    <t>installing computer hardware, network software, operating system software and applications software;</t>
  </si>
  <si>
    <t>performing start up and close down as well as backup and disaster recovery operations for computer networks.</t>
  </si>
  <si>
    <t>Web Technicians</t>
  </si>
  <si>
    <t>(f)  creating and modifying web pages;</t>
  </si>
  <si>
    <t>Broadcasting and Audiovisual Technicians</t>
  </si>
  <si>
    <t>controlling equipment to record sound;</t>
  </si>
  <si>
    <t>making emergency repairs to equipment.</t>
  </si>
  <si>
    <t>General Office Clerks</t>
  </si>
  <si>
    <t>(b)  sorting, opening and sending mail;</t>
  </si>
  <si>
    <t>(c)  photocopying and faxing documents;</t>
  </si>
  <si>
    <t>(e)  recording issue of equipment to staff;</t>
  </si>
  <si>
    <t>Secretaries (general)</t>
  </si>
  <si>
    <t>(c)  dealing with incoming or outgoing mail;</t>
  </si>
  <si>
    <t>(g)  organizing and supervising filing systems;</t>
  </si>
  <si>
    <t>Typists and Word Processing Operators</t>
  </si>
  <si>
    <t>(a)  typing written material from rough drafts, corrected copies, voice recordings or shorthand using a computer, word processor or typewriter;</t>
  </si>
  <si>
    <t>(b)  checking completed work for proper spelling, grammar, punctuation and formatting;</t>
  </si>
  <si>
    <t>(c)  gathering and arranging the material to be typed, following instructions;</t>
  </si>
  <si>
    <t>(g)  transcribing information recorded in shorthand and on sound recording equipment.</t>
  </si>
  <si>
    <t>Data Entry Clerks</t>
  </si>
  <si>
    <t>(d)  operating bookkeeping and calculating machines;</t>
  </si>
  <si>
    <t>Bank Tellers and Related Clerks</t>
  </si>
  <si>
    <t>(b)  crediting and debiting clients’ accounts;</t>
  </si>
  <si>
    <t>Bookmakers, Croupiers and Related Gaming Workers</t>
  </si>
  <si>
    <t>(b)  preparing and issuing lists of approximate odds;</t>
  </si>
  <si>
    <t>Pawnbrokers and Money-lenders</t>
  </si>
  <si>
    <t>Debt Collectors and Related Workers</t>
  </si>
  <si>
    <t>(a)  tracing and locating debtors;</t>
  </si>
  <si>
    <t>(e)  asking for and collecting charity payments.</t>
  </si>
  <si>
    <t>Travel Consultants and Clerks</t>
  </si>
  <si>
    <t>preparing itineraries;</t>
  </si>
  <si>
    <t>issuing tickets, boarding passes and vouchers;</t>
  </si>
  <si>
    <t>preparing bills and receiving payments;</t>
  </si>
  <si>
    <t>Contact Centre Information Clerks</t>
  </si>
  <si>
    <t>identifying requirements and entering events into a computer system;</t>
  </si>
  <si>
    <t>dispatching tasks to other units, when relevant;</t>
  </si>
  <si>
    <t>invoicing or handling payments, where necessary;</t>
  </si>
  <si>
    <t>advising clients of additional products or services.</t>
  </si>
  <si>
    <t>Hotel Receptionists</t>
  </si>
  <si>
    <t>contacting housekeeping or maintenance services when guests report problems;</t>
  </si>
  <si>
    <t>Inquiry Clerks</t>
  </si>
  <si>
    <t>Receptionists (general)</t>
  </si>
  <si>
    <t>(a)  receiving and welcoming visitors, guests or clients;</t>
  </si>
  <si>
    <t>(b)  making appointments for clients;</t>
  </si>
  <si>
    <t>(d)  directing clients to appropriate location or person;</t>
  </si>
  <si>
    <t>Client Information Workers Not Elsewhere Classified</t>
  </si>
  <si>
    <t>(c)  verifying the accuracy of information provided;</t>
  </si>
  <si>
    <t>(d)  initiating procedures to grant, modify, deny or terminate assistance;</t>
  </si>
  <si>
    <t>Accounting and Bookkeeping Clerks</t>
  </si>
  <si>
    <t>Statistical, Finance and Insurance Clerks</t>
  </si>
  <si>
    <t>Payroll Clerks</t>
  </si>
  <si>
    <t>Stock Clerks</t>
  </si>
  <si>
    <t>Production Clerks</t>
  </si>
  <si>
    <t>Transport Clerks</t>
  </si>
  <si>
    <t>(f)  preparing reports for management.</t>
  </si>
  <si>
    <t>Library Clerks</t>
  </si>
  <si>
    <t>(b)  placing books and other library materials on shelves;</t>
  </si>
  <si>
    <t>(d)  maintaining journal subscriptions;</t>
  </si>
  <si>
    <t>Coding, Proof- reading and Related clerks</t>
  </si>
  <si>
    <t>(e)  addressing circulars and envelopes by hand.</t>
  </si>
  <si>
    <t>Filing and Copying Clerks</t>
  </si>
  <si>
    <t>(b)  filing material in drawers, cabinets and storage boxes;</t>
  </si>
  <si>
    <t>(d)  keeping records of materials filed and removed;</t>
  </si>
  <si>
    <t>(e)  photocopying, scanning or faxing documents.</t>
  </si>
  <si>
    <t>Personnel Clerks</t>
  </si>
  <si>
    <t>Clerical Support Workers Not Elsewhere Classified</t>
  </si>
  <si>
    <t>Travel Attendants and Travel Stewards</t>
  </si>
  <si>
    <t>(d)  selling duty-free and other goods;</t>
  </si>
  <si>
    <t>(h)  administering first aid to passengers in distress;</t>
  </si>
  <si>
    <t>Transport Conductors</t>
  </si>
  <si>
    <t>(d)  opening and closing doors for passengers;</t>
  </si>
  <si>
    <t>(f)  signalling to drivers to stop or proceed;</t>
  </si>
  <si>
    <t>(h)  ensuring that safety regulations are respected;</t>
  </si>
  <si>
    <t>Travel Guides</t>
  </si>
  <si>
    <t>conducting educational activities for schoolchildren;</t>
  </si>
  <si>
    <t>Cooks</t>
  </si>
  <si>
    <t>planning meals, preparing and cooking foodstuffs;</t>
  </si>
  <si>
    <t>checking the quality of food;</t>
  </si>
  <si>
    <t>Waiters</t>
  </si>
  <si>
    <t>serving food and beverages to clients at tables;</t>
  </si>
  <si>
    <t>Bartenders</t>
  </si>
  <si>
    <t>collecting payment for sales, operating cash registers and balancing cash receipts;</t>
  </si>
  <si>
    <t>mixing ingredients to prepare cocktails and other drinks;</t>
  </si>
  <si>
    <t>serving snacks or other food items to customers at the bar.</t>
  </si>
  <si>
    <t>Hairdressers</t>
  </si>
  <si>
    <t>cutting, washing, tinting and waving hair;</t>
  </si>
  <si>
    <t>shaving or trimming beards and moustaches;</t>
  </si>
  <si>
    <t>giving scalp treatments;</t>
  </si>
  <si>
    <t>fitting wigs according to customers’ requirements;</t>
  </si>
  <si>
    <t>providing advice on hair care, beauty products and hairstyles;</t>
  </si>
  <si>
    <t>arranging appointments and collecting payments;</t>
  </si>
  <si>
    <t>cleaning work areas and sanitizing instruments.</t>
  </si>
  <si>
    <t>Beauticians and Related Workers</t>
  </si>
  <si>
    <t>giving facial and body massage;</t>
  </si>
  <si>
    <t>applying make-up to clients of a beauty parlour or to actors and other performers;</t>
  </si>
  <si>
    <t>using waxing, sugaring and depilation techniques to remove unwanted bodily hair;</t>
  </si>
  <si>
    <t>arranging appointments and collecting payments.</t>
  </si>
  <si>
    <t>Cleaning and Housekeeping Supervisors in Offices, Hotels and Other Establishments</t>
  </si>
  <si>
    <t>engaging, training, discharging, organizing and supervising helpers, cleaners and other housekeeping staff;</t>
  </si>
  <si>
    <t>purchasing or controlling the purchase of supplies;</t>
  </si>
  <si>
    <t>controlling storage and issue of supplies;</t>
  </si>
  <si>
    <t>supervising general welfare and conduct of individuals in institutions;</t>
  </si>
  <si>
    <t>sweeping or vacuum-cleaning, washing and polishing floors, furniture and other fixtures;</t>
  </si>
  <si>
    <t>making beds, cleaning bathrooms, supplying towels, soap and related items;</t>
  </si>
  <si>
    <t>cleaning kitchens and generally helping with kitchen work, including dishwashing;</t>
  </si>
  <si>
    <t>restocking mini-bars and replenishing items such as drinking glasses and writing equipment.</t>
  </si>
  <si>
    <t>Domestic Housekeepers</t>
  </si>
  <si>
    <t>(b)  purchasing or controlling the purchase of supplies;</t>
  </si>
  <si>
    <t>(c)  controlling storage and issue of supplies;</t>
  </si>
  <si>
    <t>Building Caretakers</t>
  </si>
  <si>
    <t>(g)  patrolling buildings to ensure security is maintained;</t>
  </si>
  <si>
    <t>Undertakers and Embalmers</t>
  </si>
  <si>
    <t>(e)  dressing human bodies and placing them in caskets;</t>
  </si>
  <si>
    <t>Personal Services Workers Not Elsewhere Classified</t>
  </si>
  <si>
    <t>(a)  accompanying clients to restaurants and other outings;</t>
  </si>
  <si>
    <t>(b)  acting as a dancing partner;</t>
  </si>
  <si>
    <t>Stall and Market Salespersons</t>
  </si>
  <si>
    <t>(e)  demonstrating and selling goods and accepting payment;</t>
  </si>
  <si>
    <t>Street Food Salespersons</t>
  </si>
  <si>
    <t>(b)  obtaining food and drinks for sale;</t>
  </si>
  <si>
    <t>Shopkeepers</t>
  </si>
  <si>
    <t>(d)  determining prices and displaying goods for sale;</t>
  </si>
  <si>
    <t>(g)  taking inventory of goods in stock.</t>
  </si>
  <si>
    <t>Shop Supervisors</t>
  </si>
  <si>
    <t>(c)  ensuring that customers receive prompt service;</t>
  </si>
  <si>
    <t>(h)  ensuring that safety procedures are enforced.</t>
  </si>
  <si>
    <t>Shop Sales Assistants</t>
  </si>
  <si>
    <t>Cashiers and Ticket Clerks</t>
  </si>
  <si>
    <t>(b)  giving change and issuing receipts;</t>
  </si>
  <si>
    <t>(g)  scanning, weighing and recording prices of goods;</t>
  </si>
  <si>
    <t>(h)  wrapping and placing merchandise in bags.</t>
  </si>
  <si>
    <t>Sales Demonstrators</t>
  </si>
  <si>
    <t>(c)  selling goods or directing customers to sales staff;</t>
  </si>
  <si>
    <t>Door-to-door Salespersons</t>
  </si>
  <si>
    <t>Contact Centre Salespersons</t>
  </si>
  <si>
    <t>promoting goods and services by telephone or electronic mail, following scripts and working from lists of contacts;</t>
  </si>
  <si>
    <t>arranging appointments for sales representatives;</t>
  </si>
  <si>
    <t>recording notes for follow-up action and updating marketing databases to reflect changes to the status of each customer;</t>
  </si>
  <si>
    <t>maintaining statistics of calls made and successes achieved;</t>
  </si>
  <si>
    <t>Service Station Attendants</t>
  </si>
  <si>
    <t>(c)  washing vehicle windscreens and windows;</t>
  </si>
  <si>
    <t>(e)  maintaining and operating automatic car wash facilities;</t>
  </si>
  <si>
    <t>(f)  collecting payments from customers for purchases;</t>
  </si>
  <si>
    <t>Food Service Counter Attendants</t>
  </si>
  <si>
    <t>(a)  serving food to customers at counters;</t>
  </si>
  <si>
    <t>(f)  packaging takeaway food;</t>
  </si>
  <si>
    <t>(h)  receiving payment for food items purchased.</t>
  </si>
  <si>
    <t>Child Care Workers</t>
  </si>
  <si>
    <t>(a)  assisting children to wash, dress and feed themselves;</t>
  </si>
  <si>
    <t>(g)  observing and monitoring children’s play activities;</t>
  </si>
  <si>
    <t>Teachers’ Aides</t>
  </si>
  <si>
    <t>(g)  distributing and collecting lesson material.</t>
  </si>
  <si>
    <t>Health Care Assistants</t>
  </si>
  <si>
    <t>Home-based Personal Care Workers</t>
  </si>
  <si>
    <t>providing support to parents and care for newborns during the postpartum period;</t>
  </si>
  <si>
    <t>Personal Care Workers in Health Services Not Elsewhere Classified</t>
  </si>
  <si>
    <t>cleaning and sterilizing surgical, dental and pharmaceutical instruments, bottles, beakers and other equipment;</t>
  </si>
  <si>
    <t>labelling drugs, chemicals and other pharmaceutical preparations and replenishing stock on shelves;</t>
  </si>
  <si>
    <t>lifting, turning and moving patients and transporting them in wheelchairs or on moveable beds;</t>
  </si>
  <si>
    <t>preparing patients for examination or treatment;</t>
  </si>
  <si>
    <t>setting up instrument trays, preparing materials, and assisting dentists or radiographers during procedures;</t>
  </si>
  <si>
    <t>exposing diagnostic X-rays.</t>
  </si>
  <si>
    <t>Firefighters</t>
  </si>
  <si>
    <t>(f)  informing the public about fire prevention.</t>
  </si>
  <si>
    <t>Police Officers</t>
  </si>
  <si>
    <t>Prison Guards</t>
  </si>
  <si>
    <t>(e)  patrolling prison areas to prevent escapes;</t>
  </si>
  <si>
    <t>Security Guards</t>
  </si>
  <si>
    <t>Protective Services Workers Not Elsewhere Classified</t>
  </si>
  <si>
    <t>patrolling beaches and swimming pools to prevent accidents and to rescue bathers from drowning;</t>
  </si>
  <si>
    <t>monitoring traffic flow to locate safe gaps through which pedestrians can cross streets;</t>
  </si>
  <si>
    <t>patrolling an assigned area to enforce parking regulations;</t>
  </si>
  <si>
    <t>directing traffic.</t>
  </si>
  <si>
    <t>Field Crop and Vegetable Growers</t>
  </si>
  <si>
    <t>selecting and sowing seeds, and planting seedlings;</t>
  </si>
  <si>
    <t>harvesting crops and destroying diseased or superfluous crops;</t>
  </si>
  <si>
    <t>storing and carrying out some processing of produce;</t>
  </si>
  <si>
    <t>Tree and Shrub Crop Growers</t>
  </si>
  <si>
    <t>Gardeners, Horticultural and Nursery Growers</t>
  </si>
  <si>
    <t>planting trees, hedges, garden plants and grass;</t>
  </si>
  <si>
    <t>producing saplings, bulbs and seeds and raising plants from seeds or cuttings;</t>
  </si>
  <si>
    <t>harvesting crops, inspecting, cleaning, grading, packaging, storing and loading products for sale or delivery to market;</t>
  </si>
  <si>
    <t>maintaining buildings, greenhouses and other structures, equipment and water supply systems;</t>
  </si>
  <si>
    <t>Mixed Crop Growers</t>
  </si>
  <si>
    <t>producing saplings, bulbs and seeds;</t>
  </si>
  <si>
    <t>Livestock and Dairy Producers</t>
  </si>
  <si>
    <t>milking animals by hand or using milking machines;</t>
  </si>
  <si>
    <t>Poultry Producers</t>
  </si>
  <si>
    <t>collecting and storing eggs and packaging them for sale or delivery to market;</t>
  </si>
  <si>
    <t>arranging the sale, purchase and transportation of stock, produce and supplies;</t>
  </si>
  <si>
    <t>dne</t>
  </si>
  <si>
    <t>Animal Producers Not Elsewhere Classified</t>
  </si>
  <si>
    <t>(b)  raising, feeding and tending animals;</t>
  </si>
  <si>
    <t>(g)  storing and carrying out some processing of produce;</t>
  </si>
  <si>
    <t>Mixed Crop and Animal Producers</t>
  </si>
  <si>
    <t>purchasing seeds, fertilizer, and other supplies;</t>
  </si>
  <si>
    <t>producing or buying fodder and other food supplies;</t>
  </si>
  <si>
    <t>breeding, raising and tending animals;</t>
  </si>
  <si>
    <t>Aquaculture Workers</t>
  </si>
  <si>
    <t>conducting and supervising stock examinations in order to identify diseases or parasites;</t>
  </si>
  <si>
    <t>delivering or marketing products;</t>
  </si>
  <si>
    <t>Inland and Coastal Waters Fishery Workers</t>
  </si>
  <si>
    <t>operating fishing vessels to, from and at fishing grounds;</t>
  </si>
  <si>
    <t>gathering various forms of aquatic life from shores and shallow waters;</t>
  </si>
  <si>
    <t>sorting and storing catch in holds with salt and ice;</t>
  </si>
  <si>
    <t>removing catches from fishing equipment, measuring them to ensure compliance with legal size and returning undesirable or illegal catches to the water;</t>
  </si>
  <si>
    <t>Subsistence Mixed Crop and Livestock Farmers</t>
  </si>
  <si>
    <t>(a)  preparing the soil, sowing, planting, tending and harvesting field crops;</t>
  </si>
  <si>
    <t>(b)  growing vegetables, fruit and other tree and shrub crops;</t>
  </si>
  <si>
    <t>(c)  gathering wild fruits, medicinal and other plants;</t>
  </si>
  <si>
    <t>(e)  fetching water and gathering firewood;</t>
  </si>
  <si>
    <t>(g)  building and maintaining houses and other shelters;</t>
  </si>
  <si>
    <t>(i)  selling or bartering some products at local markets.</t>
  </si>
  <si>
    <t>Bricklayers and Related Workers</t>
  </si>
  <si>
    <t>(b)  laying footpaths, kerbs and pavements;</t>
  </si>
  <si>
    <t>Stonemasons, Stone cutters, Splitters and Carvers</t>
  </si>
  <si>
    <t>driving wedges into quarried stone to break it into slabs or blocks;</t>
  </si>
  <si>
    <t>selecting and grading slabs and blocks of granite, marble and other stone;</t>
  </si>
  <si>
    <t>cutting and carving characters, figures or designs on stone blocks used for monuments or memorials;</t>
  </si>
  <si>
    <t>setting stone in the erection of monuments and memorials;</t>
  </si>
  <si>
    <t>repairing and replacing stonework on old buildings, churches and monuments.</t>
  </si>
  <si>
    <t>Carpenters and Joiners</t>
  </si>
  <si>
    <t>Building Frame and Related Trades Workers Not Elsewhere Classified</t>
  </si>
  <si>
    <t>(c)  demolishing buildings and other structures.</t>
  </si>
  <si>
    <t>Roofers</t>
  </si>
  <si>
    <t>Floor Layers and Tile Setters</t>
  </si>
  <si>
    <t>Insulation Workers</t>
  </si>
  <si>
    <t>cutting insulation material by size and shape;</t>
  </si>
  <si>
    <t>insulating refrigeration and air conditioning equipment.</t>
  </si>
  <si>
    <t>Glaziers</t>
  </si>
  <si>
    <t>Plumbers and Pipe Fitters</t>
  </si>
  <si>
    <t>Air Conditioning and Refrigeration Mechanics</t>
  </si>
  <si>
    <t>interpreting blueprints, drawings and other specifications;</t>
  </si>
  <si>
    <t>connecting piping and equipment by bolting, riveting, welding or brazing;</t>
  </si>
  <si>
    <t>testing systems, diagnosing faults and performing routine maintenance or servicing.</t>
  </si>
  <si>
    <t>Painters and Related Workers</t>
  </si>
  <si>
    <t>cleaning and preparing walls and other surfaces of buildings for painting or wallpapering;</t>
  </si>
  <si>
    <t>selecting and preparing paints to required colours by mixing pigments and additives;</t>
  </si>
  <si>
    <t>Spray Painters and Varnishers</t>
  </si>
  <si>
    <t>Metal Moulders and Coremakers</t>
  </si>
  <si>
    <t>making cores for use in metal moulds;</t>
  </si>
  <si>
    <t>positioning patterns inside mould sections and clamping sections together;</t>
  </si>
  <si>
    <t>cutting spouts, runner holes and sprue holes into moulds;</t>
  </si>
  <si>
    <t>Welders and Flame Cutters</t>
  </si>
  <si>
    <t>operating resistance-welding machines;</t>
  </si>
  <si>
    <t>brazing metal parts together;</t>
  </si>
  <si>
    <t>cutting metal pieces using gas flame or an electric arc;</t>
  </si>
  <si>
    <t>joining metal parts by hand soldering;</t>
  </si>
  <si>
    <t>Sheet Metal Workers</t>
  </si>
  <si>
    <t>marking sheet metal for cutting and shaping;</t>
  </si>
  <si>
    <t>Structural Metal Preparers and Erectors</t>
  </si>
  <si>
    <t>drilling, cutting and shaping structural steel in a workshop;</t>
  </si>
  <si>
    <t>erecting steel framework for buildings, bridges and other constructions;</t>
  </si>
  <si>
    <t>shaping and fitting structural steel plates of ships under construction or repair;</t>
  </si>
  <si>
    <t>riveting structural metal members by hand, machine or pneumatic riveter.</t>
  </si>
  <si>
    <t>Riggers and Cable Splicers</t>
  </si>
  <si>
    <t>Blacksmiths, Hammersmiths and Forging Press Workers</t>
  </si>
  <si>
    <t>shaping heated metal into forgings on power hammers equipped with open dies;</t>
  </si>
  <si>
    <t>operating closed-die drop hammers to forge metal articles;</t>
  </si>
  <si>
    <t>operating a power-press machine equipped with closed dies to forge metal articles;</t>
  </si>
  <si>
    <t>drawing wire;</t>
  </si>
  <si>
    <t>measuring and inspecting machine parts to ensure conformity with product specifications.</t>
  </si>
  <si>
    <t>Toolmakers and Related Workers</t>
  </si>
  <si>
    <t>fitting and assembling parts to make and repair jigs, fixtures and gauges;</t>
  </si>
  <si>
    <t>repairing and modifying sports guns and other small arms;</t>
  </si>
  <si>
    <t>making, fitting, assembling, repairing and installing lock parts and locks;</t>
  </si>
  <si>
    <t>making and repairing metal patterns for preparation of foundry moulds;</t>
  </si>
  <si>
    <t>Metal Working Machine Tool Setters and Operators</t>
  </si>
  <si>
    <t>setting one or more types of machine tool for production of metal articles in standardized series;</t>
  </si>
  <si>
    <t>performing similar tasks when machining plastics and other metal substitutes;</t>
  </si>
  <si>
    <t>changing worn machine accessories such as cutting tools and brushes, using hand tools.</t>
  </si>
  <si>
    <t>Metal Polishers, Wheel Grinders and Tool Sharpeners</t>
  </si>
  <si>
    <t>(c)  repairing, adjusting and sharpening saw blades and metal teeth of cylinders in textile carding machines;</t>
  </si>
  <si>
    <t>(d)  dressing grinding wheels according to specifications;</t>
  </si>
  <si>
    <t>detecting and diagnosing faults in engines and parts;</t>
  </si>
  <si>
    <t>replacing engine components or complete engines;</t>
  </si>
  <si>
    <t>Motor Vehicle Mechanics and Repairers</t>
  </si>
  <si>
    <t>installing, adjusting, servicing and replacing mechatronics components of motor vehicles;</t>
  </si>
  <si>
    <t>reassembling engines and parts after being repaired.</t>
  </si>
  <si>
    <t>Aircraft Engine Mechanics and Repairers</t>
  </si>
  <si>
    <t>fitting, examining, testing and servicing aircraft engines;</t>
  </si>
  <si>
    <t>Agricultural and Industrial Machinery Mechanics and Repairers</t>
  </si>
  <si>
    <t>(f)  operating newly repaired machinery and equipment to verify the adequacy of repairs;</t>
  </si>
  <si>
    <t>(g)  recording repairs and maintenance performed.</t>
  </si>
  <si>
    <t>Precision-instrument Makers and Repairers</t>
  </si>
  <si>
    <t>(k)  repairing and setting optical instruments such as microscopes, telescopes, theodolites and sextants;</t>
  </si>
  <si>
    <t>Musical Instrument Makers and Tuners</t>
  </si>
  <si>
    <t>(g)  installing new drumheads in percussion instruments;</t>
  </si>
  <si>
    <t>(i)  aligning pads and keys on reed or wind instruments;</t>
  </si>
  <si>
    <t>Jewellery and Precious metal Workers</t>
  </si>
  <si>
    <t>casting jewellery and other non-ferrous metal articles by hand;</t>
  </si>
  <si>
    <t>cutting designs in moulds or other materials to be used as models in the fabrication of metal and jewellery products;</t>
  </si>
  <si>
    <t>grinding, drilling and finishing jewel bearings for use in precision instruments such as compasses and chronometers;</t>
  </si>
  <si>
    <t>Glass Makers, Cutters, Grinders and Finishers</t>
  </si>
  <si>
    <t>(b)  blowing and bending glass tubing into specified shapes to form scientific apparatus such as flasks, retorts and pipettes;</t>
  </si>
  <si>
    <t>(e)  reading work orders to determine dimensions, cutting locations and quantities to cut;</t>
  </si>
  <si>
    <t>(j)  regulating oven temperatures according to glass types to be processed;</t>
  </si>
  <si>
    <t>(l)    spraying silver solution on glass to provide mirrored surface, using spray guns;</t>
  </si>
  <si>
    <t>Handicraft Workers in Wood, Basketry and Related Materials</t>
  </si>
  <si>
    <t>preparing wood, straw, rattan, reeds, shells or similar materials;</t>
  </si>
  <si>
    <t>carving floral and artistic designs on wooden surfaces for decorative purposes;</t>
  </si>
  <si>
    <t>painting freehand decorative designs on glass and pottery or porcelain ware;</t>
  </si>
  <si>
    <t>making wicker furniture from peeled and softened rattan, reeds, rushes, willow branches and similar materials;</t>
  </si>
  <si>
    <t>making various kinds of baskets by interlacing osier, rattan, reeds, rushes and similar materials;</t>
  </si>
  <si>
    <t>inserting rods around bottom edges between woven sections of bottom and bending them upright to serve as framework for sides;</t>
  </si>
  <si>
    <t>selecting and preparing brush materials such as bristles, nylon, fibres and wire, and setting them in brush base;</t>
  </si>
  <si>
    <t>selecting and preparing materials such as broom corn, bass, whisker and fibre, and fastening them to broom handles.</t>
  </si>
  <si>
    <t>Handicraft Workers in Textile, Leather and Related Materials</t>
  </si>
  <si>
    <t>(d)  spinning and winding yarn by hand;</t>
  </si>
  <si>
    <t>(e)  drawing warp threads into looms by hand;</t>
  </si>
  <si>
    <t>(f)  weaving plain or figured cloth, tapestry, lace, carpets or other fabrics on hand looms;</t>
  </si>
  <si>
    <t>(g)  making carpets by using a knotting technique;</t>
  </si>
  <si>
    <t>(i)  crocheting or making braid by hand;</t>
  </si>
  <si>
    <t>(j)  making nets by hand;</t>
  </si>
  <si>
    <t>(k)  grading and classifying natural textile fibres;</t>
  </si>
  <si>
    <t>(l)  washing wool fibres;</t>
  </si>
  <si>
    <t>(m)  cleaning and fluffing textile fibres;</t>
  </si>
  <si>
    <t>(n)  forming fibres into sliver, combing them, combining sliver into sliver laps or forming sliver into rove.</t>
  </si>
  <si>
    <t>Handicraft Workers Not Elsewhere Classified</t>
  </si>
  <si>
    <t>Printers</t>
  </si>
  <si>
    <t>(f)  loading paper into feeding mechanisms;</t>
  </si>
  <si>
    <t>Print Finishing and Binding Workers</t>
  </si>
  <si>
    <t>Building and Related Electricians</t>
  </si>
  <si>
    <t>measuring and laying out installation reference points;</t>
  </si>
  <si>
    <t>positioning and installing electrical switchboards;</t>
  </si>
  <si>
    <t>testing continuity of circuits.</t>
  </si>
  <si>
    <t>Electrical Mechanics and Fitters</t>
  </si>
  <si>
    <t>connecting electrical systems to the power supply;</t>
  </si>
  <si>
    <t>replacing and repairing defective parts.</t>
  </si>
  <si>
    <t>Electrical Line Installers and Repairers</t>
  </si>
  <si>
    <t>making joints in overhead and underground cables;</t>
  </si>
  <si>
    <t>climbing poles or using truck- mounted buckets to access equipment;</t>
  </si>
  <si>
    <t>Electronics Mechanics and Servicers</t>
  </si>
  <si>
    <t>reassembling, test operating and adjusting equipment;</t>
  </si>
  <si>
    <t>coordinating work with that of engineers, technicians and other maintenance personnel;</t>
  </si>
  <si>
    <t>keeping records of maintenance and repair work.</t>
  </si>
  <si>
    <t>Information and Communications Technology Installers and Servicers</t>
  </si>
  <si>
    <t>maintaining, troubleshooting, testing and repairing computers, data transmission equipment and computer peripherals;</t>
  </si>
  <si>
    <t>fitting and adjusting computer hardware;</t>
  </si>
  <si>
    <t>providing technical advice and information, and monitoring the performance of complex telecommunications networks and equipment;</t>
  </si>
  <si>
    <t>installing and repairing cabling for computer, radio, telephone and television transmission;</t>
  </si>
  <si>
    <t>joining telecommunications and data cables, and sealing sheathes;</t>
  </si>
  <si>
    <t>installing, maintaining and repairing antennae used in communications.</t>
  </si>
  <si>
    <t>Butchers, Fishmongers and Related Food Preparers</t>
  </si>
  <si>
    <t>slaughtering animals;</t>
  </si>
  <si>
    <t>flaying and trimming carcasses;</t>
  </si>
  <si>
    <t>boning, cutting and dressing meat and fish for sale or further processing;</t>
  </si>
  <si>
    <t>preparing ingredients and making sausages and similar products using chopping, mixing and shaping machines;</t>
  </si>
  <si>
    <t>curing meat, fish and other foods;</t>
  </si>
  <si>
    <t>operating smokehouses or ovens to smoke meat, fish and other foodstuffs;</t>
  </si>
  <si>
    <t>cooking or in other ways preparing meat, fish and related food items for sale;</t>
  </si>
  <si>
    <t>Bakers, Pastry- cooks and Confectionery Makers</t>
  </si>
  <si>
    <t>making bread, cakes, biscuits, pastries, pies and other flour products;</t>
  </si>
  <si>
    <t>combining measured ingredients in bowls of mixing, blending or cooking machinery;</t>
  </si>
  <si>
    <t>checking the quality of raw materials to ensure that standards and specifications are met;</t>
  </si>
  <si>
    <t>applying glazes, icings or other toppings to baked goods, using spatulas or brushes;</t>
  </si>
  <si>
    <t>monitoring oven temperatures and product appearance to determine baking times;</t>
  </si>
  <si>
    <t>Dairy Products Makers</t>
  </si>
  <si>
    <t>Fruit, Vegetable and Related Preservers</t>
  </si>
  <si>
    <t>(a)  extracting juices from various fruits;</t>
  </si>
  <si>
    <t>(b)  extracting oils from oil- bearing seeds, nuts or fruits;</t>
  </si>
  <si>
    <t>Cabinet-makers and Related Workers</t>
  </si>
  <si>
    <t>(f)  finishing surfaces of wooden articles or furniture.</t>
  </si>
  <si>
    <t>Tailors, Dressmakers, Furriers and Hatters</t>
  </si>
  <si>
    <t>making garment style changes, such as tapering trouser legs or narrowing lapels, and adding or removing padding;</t>
  </si>
  <si>
    <t>making and caring for costumes used in theatrical, television and motion picture productions;</t>
  </si>
  <si>
    <t>sewing and fastening together materials and hair strands to make wigs;</t>
  </si>
  <si>
    <t>making, altering, restyling and repairing fur garments and other fur articles;</t>
  </si>
  <si>
    <t>reclaiming furs or skins from old coats, gluing fabric to the interior of fur coats and trimming fur garments.</t>
  </si>
  <si>
    <t>Garment and Related Patternmakers and Cutters</t>
  </si>
  <si>
    <t>(g)  testing patterns by making and fitting sample garments;</t>
  </si>
  <si>
    <t>Sewing, Embroidery and Related Workers</t>
  </si>
  <si>
    <t>Shoemakers and Related Workers</t>
  </si>
  <si>
    <t>repairing belts, luggage, purses and similar products;</t>
  </si>
  <si>
    <t>taking plaster casts of deformed legs or feet  to prepare drawings;</t>
  </si>
  <si>
    <t>cutting out, shaping and padding parts for making leather articles;</t>
  </si>
  <si>
    <t>attaching accessories or ornamentation to decorate or protect products;</t>
  </si>
  <si>
    <t>Product Graders and Testers (excluding Foods and Beverages)</t>
  </si>
  <si>
    <t>inspecting and testing products, parts and materials for conformity with specifications and standards;</t>
  </si>
  <si>
    <t>grading and classifying natural textile fibres for spinning and winding;</t>
  </si>
  <si>
    <t>discarding or rejecting products, materials and equipment not meeting specifications;</t>
  </si>
  <si>
    <t>analysing and interpreting blueprints, data, manuals and other materials to determine specifications, inspection and testing procedures;</t>
  </si>
  <si>
    <t>notifying supervisors and other personnel of production problems, and assisting in identifying and correcting these problems;</t>
  </si>
  <si>
    <t>recording inspection or test data such as weights, temperatures, grades or moisture content, and quantities inspected or graded;</t>
  </si>
  <si>
    <t>marking items with details such as grade and acceptance or rejection status;</t>
  </si>
  <si>
    <t>measuring dimensions of products using instruments such as rulers, calipers, gauges or micrometers;</t>
  </si>
  <si>
    <t>analysing test data and making computations as necessary to determine test results.</t>
  </si>
  <si>
    <t>Fumigators and Other Pest and Weed Controllers</t>
  </si>
  <si>
    <t>operating and monitoring equipment for spraying pests and weeds;</t>
  </si>
  <si>
    <t>mixing chemicals according to instructions;</t>
  </si>
  <si>
    <t>lifting, pushing and swinging nozzles, hoses and tubes in order to direct spray over designated areas;</t>
  </si>
  <si>
    <t>filling sprayer tanks with water and chemicals;</t>
  </si>
  <si>
    <t>cleaning and servicing machinery to ensure operating efficiency.</t>
  </si>
  <si>
    <t>Miners and Quarriers</t>
  </si>
  <si>
    <t>(i) collecting mineral samples for laboratory analysis.</t>
  </si>
  <si>
    <t>Well Drillers and Borers and Related Workers</t>
  </si>
  <si>
    <t>(i)  closing and sealing wells no longer in use;</t>
  </si>
  <si>
    <t>(j)  supervising and train crew members.</t>
  </si>
  <si>
    <t>Cement, Stone and Other Mineral Products Machine Operators</t>
  </si>
  <si>
    <t>operating extrusion, moulding, mixing, pumping, compacting, grinding and cutting machinery to manufacture and finish precast concrete and stone products;</t>
  </si>
  <si>
    <t>operating plant and machines which weigh and mix sand, gravel, cement, water and other ingredients to make concrete;</t>
  </si>
  <si>
    <t>cutting, grinding, drilling, sandblasting and polishing concrete products and stone blocks, slabs and products to the specifications for the job;</t>
  </si>
  <si>
    <t>collecting and examining samples of mixtures and finished products for conformity with specifications and adjusting machine settings accordingly;</t>
  </si>
  <si>
    <t>checking and maintaining production records, including information about quantities, dimensions and types of materials and goods produced;</t>
  </si>
  <si>
    <t>arranging and assisting with plant and machinery maintenance and repair.</t>
  </si>
  <si>
    <t>Metal Processing Plant Operators</t>
  </si>
  <si>
    <t>Metal Finishing, Plating and Coating Machine Operators</t>
  </si>
  <si>
    <t>(b)  operating and monitoring electroplating equipment;</t>
  </si>
  <si>
    <t>(f)  operating and monitoring equipment used to impart a rust-resistant finish to metal articles by treating them with chemicals and heating them;</t>
  </si>
  <si>
    <t>Chemical Products Plant and Machine Operators</t>
  </si>
  <si>
    <t>(d) measuring, weighing and loading chemical ingredients following formulation cards;</t>
  </si>
  <si>
    <t>(e) making samples and performing routine chemical and physical tests of products and recording production data;</t>
  </si>
  <si>
    <t>Rubber Products Machine Operators</t>
  </si>
  <si>
    <t>operating and monitoring machines which produce sheets of rubber or rubberized fabric by a rolling process;</t>
  </si>
  <si>
    <t>operating and monitoring machines which build up tyres on a form, vulcanize tyres and mould or rebuild used tyres;</t>
  </si>
  <si>
    <t>examining outputs for defects and conformity to specifications;</t>
  </si>
  <si>
    <t>locating defects and repairing worn and faulty tyres by vulcanizing or other processes.</t>
  </si>
  <si>
    <t>Plastic Products Machine Operators</t>
  </si>
  <si>
    <t>encasing uncoated wire, cord, cable and optic fibre in plastic;</t>
  </si>
  <si>
    <t>recycling waste plastic materials;</t>
  </si>
  <si>
    <t>Paper Products Machine Operators</t>
  </si>
  <si>
    <t>Weaving and Knitting Machine Operators</t>
  </si>
  <si>
    <t>(d)  operating and monitoring looms on which yarn or twist is intersected and knotted at regular intervals to form mesh;</t>
  </si>
  <si>
    <t>(h)  operating and monitoring machines for knitting heels and toes of socks into ribs or tops cut from circular fabric;</t>
  </si>
  <si>
    <t>Sewing Machine Operators</t>
  </si>
  <si>
    <t>Laundry Machine Operators</t>
  </si>
  <si>
    <t>(e)  adding cleaning agents and starches to articles;</t>
  </si>
  <si>
    <t>(i)  packaging articles and preparing orders for despatch.</t>
  </si>
  <si>
    <t>Textile, Fur and Leather Products Machine Operators Not Elsewhere Classified</t>
  </si>
  <si>
    <t>Food and Related Products Machine Operators</t>
  </si>
  <si>
    <t>operating and monitoring machinery used to restrain, stun and slaughter animals and to trim carcasses into standard meat and fish cuts;</t>
  </si>
  <si>
    <t>setting, operating and attending machinery and ovens to mix, bake and otherwise prepare bread and flour confectionery products;</t>
  </si>
  <si>
    <t>processing tobacco leaves by machine to make cigarettes, cigars, pipe and other tobacco products.</t>
  </si>
  <si>
    <t>Packing, Bottling and Labelling Machine Operators</t>
  </si>
  <si>
    <t>Stationary Plant and Machine Operators Not Elsewhere Classified</t>
  </si>
  <si>
    <t>Mechanical Machinery Assemblers</t>
  </si>
  <si>
    <t>recording production and operational data on specified forms;</t>
  </si>
  <si>
    <t>inspecting and testing completed components and assemblies;</t>
  </si>
  <si>
    <t>rejecting faulty assemblies and components.</t>
  </si>
  <si>
    <t>Electrical and Electronic Equipment Assemblers</t>
  </si>
  <si>
    <t>Assemblers Not Elsewhere Classified</t>
  </si>
  <si>
    <t>(e)  rejecting faulty products.</t>
  </si>
  <si>
    <t>Motorcycle Drivers</t>
  </si>
  <si>
    <t>(b)  observing traffic rules and signals;</t>
  </si>
  <si>
    <t>(d)  keeping a record of journeys;</t>
  </si>
  <si>
    <t>(e)  delivering messages.</t>
  </si>
  <si>
    <t>Car, Taxi and Van Drivers</t>
  </si>
  <si>
    <t>driving and tending passenger vans, cars or taxis;</t>
  </si>
  <si>
    <t>assisting passengers with handling of luggage;</t>
  </si>
  <si>
    <t>collecting fares, payments for deliveries, or documents certifying deliveries;</t>
  </si>
  <si>
    <t>operating telecommunications equipment to report location and availability, and following directions of control centre;</t>
  </si>
  <si>
    <t>determining most appropriate route;</t>
  </si>
  <si>
    <t>assisting physically challenged passengers;</t>
  </si>
  <si>
    <t>Bus and Tram Drivers</t>
  </si>
  <si>
    <t>assisting passengers with luggage;</t>
  </si>
  <si>
    <t>observing traffic to ensure safe progress;</t>
  </si>
  <si>
    <t>Heavy Truck and Lorry Drivers</t>
  </si>
  <si>
    <t>determining the most appropriate routes;</t>
  </si>
  <si>
    <t>ensuring that goods are stowed and securely covered to prevent loss and damage;</t>
  </si>
  <si>
    <t>Mobile Farm and Forestry Plant Operators</t>
  </si>
  <si>
    <t>preparing and positioning plant for operation;</t>
  </si>
  <si>
    <t>adjusting speed, height and depth of implements;</t>
  </si>
  <si>
    <t>operating plant to hold, lift and cut trees;</t>
  </si>
  <si>
    <t>servicing machinery and performing minor repairs.</t>
  </si>
  <si>
    <t>Earthmoving and Related Plant Operators</t>
  </si>
  <si>
    <t>Crane, Hoist and Related Plant Operators</t>
  </si>
  <si>
    <t>operating and monitoring ski- lifts and similar equipment;</t>
  </si>
  <si>
    <t>Lifting Truck Operators</t>
  </si>
  <si>
    <t>inspecting equipment to identify wear and damage;</t>
  </si>
  <si>
    <t>Ships’ Deck Crews and Related Workers</t>
  </si>
  <si>
    <t>(b)  steering ships according to instructions;</t>
  </si>
  <si>
    <t>Domestic Cleaners and Helpers</t>
  </si>
  <si>
    <t>washing, ironing and mending linen and other textiles;</t>
  </si>
  <si>
    <t>washing dishes;</t>
  </si>
  <si>
    <t>helping with preparation, cooking and serving of meals and refreshments;</t>
  </si>
  <si>
    <t>purchasing food and various other household supplies;</t>
  </si>
  <si>
    <t>cleaning, disinfecting and deodorizing kitchens, bathrooms and toilets;</t>
  </si>
  <si>
    <t>cleaning windows and other glass surfaces.</t>
  </si>
  <si>
    <t>Cleaners and Helpers in Offices, Hotels and Other Establishments</t>
  </si>
  <si>
    <t>sweeping or vacuum cleaning, washing and polishing floors, furniture and other fixtures in buildings, coaches, buses, trams, trains and aircraft;</t>
  </si>
  <si>
    <t>picking up rubbish, emptying garbage containers and taking contents to waste areas to removal.</t>
  </si>
  <si>
    <t>Hand Launderers and Pressers</t>
  </si>
  <si>
    <t>(c)  replacing buttons and making minor repairs;</t>
  </si>
  <si>
    <t>Vehicle Cleaners</t>
  </si>
  <si>
    <t>(d)  washing tyres and wheel arches and blackening tyres;</t>
  </si>
  <si>
    <t>(e)  washing and polishing vehicle windows;</t>
  </si>
  <si>
    <t>(f)  emptying and cleaning compartments in vehicles.</t>
  </si>
  <si>
    <t>Other Cleaning Workers</t>
  </si>
  <si>
    <t>Crop Farm Labourers</t>
  </si>
  <si>
    <t>digging and shovelling to clear ditches or for other purposes;</t>
  </si>
  <si>
    <t>picking fruit, nuts, vegetables and other crops;</t>
  </si>
  <si>
    <t>planting and harvesting field crops such as rice, by hand;</t>
  </si>
  <si>
    <t>Livestock Farm Labourers</t>
  </si>
  <si>
    <t>(d)  monitoring livestock and reporting on their condition;</t>
  </si>
  <si>
    <t>(g)  collecting eggs and placing in incubators;</t>
  </si>
  <si>
    <t>Mixed Crop and Livestock Farm Labourers</t>
  </si>
  <si>
    <t>(h)  monitoring livestock and reporting on their condition;</t>
  </si>
  <si>
    <t>Garden and Horticultural Labourers</t>
  </si>
  <si>
    <t>(e)  cleaning gardens and removing rubbish;</t>
  </si>
  <si>
    <t>(g)  tending plants by hand watering and weeding;</t>
  </si>
  <si>
    <t>(h)  harvesting and packaging plants for sale and transport;</t>
  </si>
  <si>
    <t>(i)   performing minor repairs on fixtures, buildings, equipment and fences.</t>
  </si>
  <si>
    <t>Forestry Labourers</t>
  </si>
  <si>
    <t>(a)  digging holes for tree planting;</t>
  </si>
  <si>
    <t>(b)  stacking and loading logs and timber;</t>
  </si>
  <si>
    <t>(d)  maintaining look-out for fires in forests;</t>
  </si>
  <si>
    <t>(g)  collecting seeds and planting seedlings;</t>
  </si>
  <si>
    <t>operating fishing gear to catch fish and other marine life;</t>
  </si>
  <si>
    <t>Fishery and Aquaculture Labourers</t>
  </si>
  <si>
    <t>cleaning deck surfaces and fish hold;</t>
  </si>
  <si>
    <t>handling mooring lines during docking.</t>
  </si>
  <si>
    <t>Mining and Quarrying Labourers</t>
  </si>
  <si>
    <t>Civil Engineering Labourers</t>
  </si>
  <si>
    <t>(b)  shovelling and spreading gravel and related materials;</t>
  </si>
  <si>
    <t>(e)  cleaning work sites and removing obstructions.</t>
  </si>
  <si>
    <t>Building Construction Labourers</t>
  </si>
  <si>
    <t>(b)  mixing, pouring and spreading materials such as concrete, plaster and mortar;</t>
  </si>
  <si>
    <t>(d)  spreading sand, soil, gravel and similar materials;</t>
  </si>
  <si>
    <t>(f)  cleaning work sites and removing obstructions.</t>
  </si>
  <si>
    <t>Hand Packers</t>
  </si>
  <si>
    <t>filling bottles, cans, boxes, bags and other containers with products by hand;</t>
  </si>
  <si>
    <t>Manufacturing Labourers Not Elsewhere Classified</t>
  </si>
  <si>
    <t>(b)  loading and unloading vehicles, trucks and trolleys;</t>
  </si>
  <si>
    <t>Hand and Pedal Vehicle Drivers</t>
  </si>
  <si>
    <t>(a)  loading and unloading goods, or assisting passengers in getting on or off a vehicle;</t>
  </si>
  <si>
    <t>(e)  collecting fares or charges.</t>
  </si>
  <si>
    <t>Drivers of Animal- drawn Vehicles and Machinery</t>
  </si>
  <si>
    <t>(b)  loading or unloading goods, or assisting passengers in getting on or off a vehicle;</t>
  </si>
  <si>
    <t>(d)  collecting fares or charges;</t>
  </si>
  <si>
    <t>(e)  driving animals to haul wagons in mines or quarries;</t>
  </si>
  <si>
    <t>(f)  driving animals hitched to farm or other machinery;</t>
  </si>
  <si>
    <t>(g)  driving working elephants;</t>
  </si>
  <si>
    <t>(i)   grooming and feeding animals.</t>
  </si>
  <si>
    <t>Freight Handlers</t>
  </si>
  <si>
    <t>sorting cargo prior to loading and unloading.</t>
  </si>
  <si>
    <t>Shelf Fillers</t>
  </si>
  <si>
    <t>(c)  removing goods with past due use-by dates;</t>
  </si>
  <si>
    <t>(g)  directing customers to location of articles sought;</t>
  </si>
  <si>
    <t>Kitchen Helpers</t>
  </si>
  <si>
    <t>assembling dishes for service;</t>
  </si>
  <si>
    <t>preparing, cooking, toasting and heating simple food items.</t>
  </si>
  <si>
    <t>Street and Related Services Workers</t>
  </si>
  <si>
    <t>(a)  obtaining the materials necessary to perform services;</t>
  </si>
  <si>
    <t>(b)  approaching people on the street to offer services;</t>
  </si>
  <si>
    <t>(c)  cleaning and polishing shoes;</t>
  </si>
  <si>
    <t>(d)  cleaning and polishing car windows;</t>
  </si>
  <si>
    <t>(e)  running errands;</t>
  </si>
  <si>
    <t>(f)  assisting car drivers to find a parking place and ensuring that the car is not damaged during the driver’s absence;</t>
  </si>
  <si>
    <t>(g)  handing out leaflets and free newspapers;</t>
  </si>
  <si>
    <t>(h)  receiving immediate payment.</t>
  </si>
  <si>
    <t>Street Vendors (excluding Food)</t>
  </si>
  <si>
    <t>(c)  displaying goods or calling out to attract customers’ attention;</t>
  </si>
  <si>
    <t>(e)  receiving immediate payment.</t>
  </si>
  <si>
    <t>Garbage and Recycling Collectors</t>
  </si>
  <si>
    <t>riding on or in garbage and recycling trucks;</t>
  </si>
  <si>
    <t>lifting garbage bins and emptying contents into trucks and larger containers;</t>
  </si>
  <si>
    <t>unloading garbage and recycling trucks.</t>
  </si>
  <si>
    <t>Refuse Sorters</t>
  </si>
  <si>
    <t>(c)  placing recyclable items and materials in designated compartments and containers for storage or transportation;</t>
  </si>
  <si>
    <t>(f)  selling recyclable or reusable materials.</t>
  </si>
  <si>
    <t>Sweepers and Related Labourers</t>
  </si>
  <si>
    <t>(b)  shovelling snow;</t>
  </si>
  <si>
    <t>(c)  beating dust out of carpets by using a carpet-beater;</t>
  </si>
  <si>
    <t>Messengers, Package Deliverers and Luggage Porters</t>
  </si>
  <si>
    <t>(b)  delivering various goods to and from enterprises, shops, households and other places;</t>
  </si>
  <si>
    <t>(c)  carrying and delivering luggage at hotels, stations, airports, and elsewhere;</t>
  </si>
  <si>
    <t>(e)  planning and following the most efficient route;</t>
  </si>
  <si>
    <t>Odd-job Persons</t>
  </si>
  <si>
    <t>(b)  replacing defective items such as light bulbs;</t>
  </si>
  <si>
    <t>(d)  adjusting doors and windows;</t>
  </si>
  <si>
    <t>(e)  replacing tap washers;</t>
  </si>
  <si>
    <t>(f)  putting up handrails and grab rails;</t>
  </si>
  <si>
    <t>Meter Readers and Vending-machine Collectors</t>
  </si>
  <si>
    <t>(e)  proceeding along established routes to take readings of meter dials;</t>
  </si>
  <si>
    <t>Water and Firewood Collectors</t>
  </si>
  <si>
    <t>Elementary Workers Not Elsewhere Classified</t>
  </si>
  <si>
    <t>(e)  directing vehicle drivers to parking spaces;</t>
  </si>
  <si>
    <t>Manufacturing Managers</t>
  </si>
  <si>
    <t>Health Services Managers</t>
  </si>
  <si>
    <t>Aged Care Services Managers</t>
  </si>
  <si>
    <t>(d)  directing or conducting recruitment, hiring and training of personnel;</t>
  </si>
  <si>
    <t>Social Welfare Managers</t>
  </si>
  <si>
    <t>Hotel Managers</t>
  </si>
  <si>
    <t>(e)  assessing and reviewing customer satisfaction;</t>
  </si>
  <si>
    <t>(f)  overseeing accounting and purchasing activities;</t>
  </si>
  <si>
    <t>(g)  undertaking budgeting for the establishment;</t>
  </si>
  <si>
    <t>Physicists and Astronomers</t>
  </si>
  <si>
    <t>(k) preparing scientific papers and reports.</t>
  </si>
  <si>
    <t>Meteorologists</t>
  </si>
  <si>
    <t>Chemists</t>
  </si>
  <si>
    <t>(i)  preparing scientific papers and reports.</t>
  </si>
  <si>
    <t>Geologists and Geophysicists</t>
  </si>
  <si>
    <t>Mathematicians, Actuaries and Statisticians</t>
  </si>
  <si>
    <t>(i)  preparing scientific papers and reports;</t>
  </si>
  <si>
    <t>Biologists, Botanists, Zoologists and Related Professionals</t>
  </si>
  <si>
    <t>(b)  designing and conducting experiments and tests;</t>
  </si>
  <si>
    <t>Environmental Protection Professionals</t>
  </si>
  <si>
    <t>(g)  developing conservation plans.</t>
  </si>
  <si>
    <t>Environmental Engineers</t>
  </si>
  <si>
    <t>Chemical Engineers</t>
  </si>
  <si>
    <t>(f)  developing safety procedures to be employed;</t>
  </si>
  <si>
    <t>Mining Engineers, Metallurgists and Related Professionals</t>
  </si>
  <si>
    <t>(i)  examining deposits or mines to evaluate profitability.</t>
  </si>
  <si>
    <t>Electronics Engineers</t>
  </si>
  <si>
    <t>Telecommunications Engineers</t>
  </si>
  <si>
    <t>Town and Traffic Planners</t>
  </si>
  <si>
    <t>(f)  reviewing and evaluating environmental impact reports;</t>
  </si>
  <si>
    <t>(g)  planning and coordinating the development of land areas for parks, schools, institutions, airports, roadways and related projects, and for commercial, industrial and residential sites;</t>
  </si>
  <si>
    <t>Generalist Medical Practitioners</t>
  </si>
  <si>
    <t>(d)  performing surgery and other clinical procedures;</t>
  </si>
  <si>
    <t>(k)  planning and participating in programmes designed to prevent the occurrence and spread of common diseases.</t>
  </si>
  <si>
    <t>Specialist Medical Practitioners</t>
  </si>
  <si>
    <t>(e)  performing surgery of a general or specialized nature;</t>
  </si>
  <si>
    <t>(j)  performing autopsies to determine cause of death;</t>
  </si>
  <si>
    <t>(l)  planning and participating in programmes designed to prevent the occurrence and spread of specific diseases.</t>
  </si>
  <si>
    <t>Paramedical Practitioners</t>
  </si>
  <si>
    <t>Veterinarians</t>
  </si>
  <si>
    <t>(d)  rendering obstetric and dental services to animals;</t>
  </si>
  <si>
    <t>(g)  performing autopsies to determine cause of death;</t>
  </si>
  <si>
    <t>(i)  providing euthanasia services for animals.</t>
  </si>
  <si>
    <t>Dentists</t>
  </si>
  <si>
    <t>Environmental and Occupational Health and Hygiene Professionals</t>
  </si>
  <si>
    <t>Dieticians and Nutritionists</t>
  </si>
  <si>
    <t>Audiologists and Speech Therapists</t>
  </si>
  <si>
    <t>Optometrists and Ophthalmic Opticians</t>
  </si>
  <si>
    <t>Health Professionals Not Elsewhere Classified</t>
  </si>
  <si>
    <t>Financial and Investment Advisers</t>
  </si>
  <si>
    <t>(a)  building and maintaining a client base;</t>
  </si>
  <si>
    <t>(d)  arranging to buy and sell stocks and bonds for clients;</t>
  </si>
  <si>
    <t>Management and Organization Analysts</t>
  </si>
  <si>
    <t>(b)  analysing and evaluating current systems and structures;</t>
  </si>
  <si>
    <t>(d)  directing clients towards more efficient organization and developing solutions to organizational problems;</t>
  </si>
  <si>
    <t>Training and Staff Development Professionals</t>
  </si>
  <si>
    <t>(b)  setting human resource development objectives and evaluating learning outcomes;</t>
  </si>
  <si>
    <t>(e)  liaising with external training providers to arrange delivery of specific training and development programmes;</t>
  </si>
  <si>
    <t>Software and Applications Developers and Analysts Not Elsewhere Classified</t>
  </si>
  <si>
    <t>Database Designers and Administrators</t>
  </si>
  <si>
    <t>Systems Administrators</t>
  </si>
  <si>
    <t>(c)  diagnosing hardware and software problems;</t>
  </si>
  <si>
    <t>Database and Network Professionals Not Elsewhere Classified</t>
  </si>
  <si>
    <t>Lawyers</t>
  </si>
  <si>
    <t>(f)  accepting briefs and pleading in the higher court;</t>
  </si>
  <si>
    <t>(g)  acting as prosecutor on behalf of the government;</t>
  </si>
  <si>
    <t>Judges</t>
  </si>
  <si>
    <t>(a)  presiding over trials and hearings;</t>
  </si>
  <si>
    <t>Legal Professionals Not Elsewhere Classified</t>
  </si>
  <si>
    <t>(b)  drawing up legal documents and contracts;</t>
  </si>
  <si>
    <t>(c)  arranging property transfers;</t>
  </si>
  <si>
    <t>Archivists and Curators</t>
  </si>
  <si>
    <t>(d)  organizing, developing and maintaining collections of artistic, cultural, scientific or historically significant items;</t>
  </si>
  <si>
    <t>(g)  preparing scholarly papers and reports;</t>
  </si>
  <si>
    <t>Librarians and Related Information Professionals</t>
  </si>
  <si>
    <t>(c)  organizing, classifying and cataloguing library material;</t>
  </si>
  <si>
    <t>(h)  preparing scholarly papers and reports;</t>
  </si>
  <si>
    <t>Economists</t>
  </si>
  <si>
    <t>(j)  preparing scholarly papers and reports;</t>
  </si>
  <si>
    <t>Sociologists, Anthropologists and Related Professionals</t>
  </si>
  <si>
    <t>(g)  analysing and evaluating social data;</t>
  </si>
  <si>
    <t>(i)  preparing scholarly papers and reports.</t>
  </si>
  <si>
    <t>Philosophers, Historians and Political Scientists</t>
  </si>
  <si>
    <t>(h)  preparing scholarly papers and reports.</t>
  </si>
  <si>
    <t>Psychologists</t>
  </si>
  <si>
    <t>(c)  conducting counselling or therapeutic interviews with individuals and groups and providing follow-up services;</t>
  </si>
  <si>
    <t>(f)  preparing scholarly papers and reports;</t>
  </si>
  <si>
    <t>Translators, Interpreters and Other Linguists</t>
  </si>
  <si>
    <t>(f)  revising and correcting translated material.</t>
  </si>
  <si>
    <t>Actors</t>
  </si>
  <si>
    <t>Chemical Engineering Technicians</t>
  </si>
  <si>
    <t>Mining Supervisors</t>
  </si>
  <si>
    <t>Petroleum and Natural Gas Refining Plant Operators</t>
  </si>
  <si>
    <t>Metal Production Process Controllers</t>
  </si>
  <si>
    <t>Life Science Technicians (excluding Medical)</t>
  </si>
  <si>
    <t>(d) performing routine field and laboratory tests;</t>
  </si>
  <si>
    <t>(h) keeping detailed logs of worked performed;</t>
  </si>
  <si>
    <t>(i) using computers to develop models and analyse data;</t>
  </si>
  <si>
    <t>(l)  ordering and stocking laboratory supplies;</t>
  </si>
  <si>
    <t>(m) maintaining relevant databases.</t>
  </si>
  <si>
    <t>Forestry Technicians</t>
  </si>
  <si>
    <t>(h)  supervising forest tree nursery operations;</t>
  </si>
  <si>
    <t>(j)   preparing forest cultivation and cutting plans.</t>
  </si>
  <si>
    <t>Aircraft Pilots and Related Associate Professionals</t>
  </si>
  <si>
    <t>Air Traffic Controllers</t>
  </si>
  <si>
    <t>(c)  examining and approving flight plans;</t>
  </si>
  <si>
    <t>(g)  directing activities of all aircraft and service vehicles on or near airport runways;</t>
  </si>
  <si>
    <t>Air Traffic Safety Electronics Technicians</t>
  </si>
  <si>
    <t>(f)  developing, modifying and debugging system software;</t>
  </si>
  <si>
    <t>Medical Imaging and Therapeutic Equipment Technicians</t>
  </si>
  <si>
    <t>Nursing Associate professionals</t>
  </si>
  <si>
    <t>(c)  cleaning wounds and applying surgical dressings;</t>
  </si>
  <si>
    <t>(e)  assisting in planning and managing the care of individual patients;</t>
  </si>
  <si>
    <t>(f)  assisting in giving first-aid treatment in emergencies.</t>
  </si>
  <si>
    <t>Midwifery Associate professionals</t>
  </si>
  <si>
    <t>Traditional and Complementary Medicine Associate Professionals</t>
  </si>
  <si>
    <t>Medical Assistants</t>
  </si>
  <si>
    <t>Ambulance Workers</t>
  </si>
  <si>
    <t>Health Associate Professionals Not Elsewhere Classified</t>
  </si>
  <si>
    <t>(c)  administering therapeutic care and treatment to patients;</t>
  </si>
  <si>
    <t>(d ) performing certain basic clinical procedures such as administration of HIV antibody tests or insertion of intrauterine devices;</t>
  </si>
  <si>
    <t>Trade Brokers</t>
  </si>
  <si>
    <t>(b)  discussing buying or selling requirements of clients and giving advice accordingly;</t>
  </si>
  <si>
    <t>(c)  buying and selling cargo space on ships;</t>
  </si>
  <si>
    <t>Employment Agents and Contractors</t>
  </si>
  <si>
    <t>(a)  matching jobseekers with vacancies;</t>
  </si>
  <si>
    <t>(f)  advising on training schemes.</t>
  </si>
  <si>
    <t>Government Licensing Officials</t>
  </si>
  <si>
    <t>Government Social Benefits Officials</t>
  </si>
  <si>
    <t>Fitness and Recreation Instructors and Programme Leaders</t>
  </si>
  <si>
    <t>(c)  evaluating and monitoring clients’ abilities and fitness and recommending activities;</t>
  </si>
  <si>
    <t>(e)  instructing in the use of equipment;</t>
  </si>
  <si>
    <t>Gallery, Museum and Library Technicians</t>
  </si>
  <si>
    <t>(a)  mounting and preparing objects for display;</t>
  </si>
  <si>
    <t>(f)  cataloguing printed and recorded material;</t>
  </si>
  <si>
    <t>(h)  operating audiovisual and reprographic equipment;</t>
  </si>
  <si>
    <t>(i)  searching and verifying bibliographic data.</t>
  </si>
  <si>
    <t>Telecommunications Engineering Technicians</t>
  </si>
  <si>
    <t>Telephone Switchboard Operators</t>
  </si>
  <si>
    <t>(b)  making connections for outgoing calls;</t>
  </si>
  <si>
    <t>(d)  forwarding messages to staff or clients;</t>
  </si>
  <si>
    <t>Survey and Market Research Interviewers</t>
  </si>
  <si>
    <t>(d)  identifying and resolving inconsistencies in responses;</t>
  </si>
  <si>
    <t>Mail Carriers and Sorting Clerks</t>
  </si>
  <si>
    <t>Scribes and Related Workers</t>
  </si>
  <si>
    <t>Astrologers, Fortune-tellers and Related Workers</t>
  </si>
  <si>
    <t>(e) giving warnings and advice on possible courses of action;</t>
  </si>
  <si>
    <t>Companions and Valets</t>
  </si>
  <si>
    <t>(a)  bathing and feeding animals;</t>
  </si>
  <si>
    <t>Pet Groomers and Animal Care Workers</t>
  </si>
  <si>
    <t>(e)  sterilizing bottles, beakers and other equipment;</t>
  </si>
  <si>
    <t>Driving Instructors</t>
  </si>
  <si>
    <t>(b)  teaching road traffic regulations;</t>
  </si>
  <si>
    <t>(c)  teaching road craft and road safety;</t>
  </si>
  <si>
    <t>Fashion and Other Models</t>
  </si>
  <si>
    <t>Forestry and Related Workers</t>
  </si>
  <si>
    <t>(h)  sorting and storing catch in holds with salt and ice;</t>
  </si>
  <si>
    <t>Deep-sea Fishery Workers</t>
  </si>
  <si>
    <t>(g)  baiting, setting and hauling in fishing gear;</t>
  </si>
  <si>
    <t>(h)  cleaning, freezing, icing or salting catch on- or offshore;</t>
  </si>
  <si>
    <t>(i)   selecting and training vessel crews.</t>
  </si>
  <si>
    <t>Hunters and Trappers</t>
  </si>
  <si>
    <t>(a)  setting traps to catch mammals, birds or reptiles;</t>
  </si>
  <si>
    <t>(e)  repairing and maintaining equipment.</t>
  </si>
  <si>
    <t>Subsistence Crop Farmers</t>
  </si>
  <si>
    <t>(c)  fetching water and gathering firewood;</t>
  </si>
  <si>
    <t>(e)  building and maintaining houses and other shelters;</t>
  </si>
  <si>
    <t>(g)  selling or bartering some products at local markets.</t>
  </si>
  <si>
    <t>Subsistence Livestock Farmer</t>
  </si>
  <si>
    <t>(f)  breeding animals and helping with animal births;</t>
  </si>
  <si>
    <t>(h)  carrying out some processing of animal products;</t>
  </si>
  <si>
    <t>(i)  building and maintaining houses and other shelters;</t>
  </si>
  <si>
    <t>(k)  fetching water and gathering firewood;</t>
  </si>
  <si>
    <t>Subsistence Fishers, Hunters, Trappers and Gatherers</t>
  </si>
  <si>
    <t>(f)  building and maintaining houses and other shelters;</t>
  </si>
  <si>
    <t>(h)  selling or bartering some products at local markets.</t>
  </si>
  <si>
    <t>House Builders</t>
  </si>
  <si>
    <t>(d)  levelling floors to make them smooth and serviceable;</t>
  </si>
  <si>
    <t>(e)  maintaining and repairing existing structures;</t>
  </si>
  <si>
    <t>Concrete Placers, Concrete Finishers and Related Workers</t>
  </si>
  <si>
    <t>(c)  cementing openings in walls or casings for wells;</t>
  </si>
  <si>
    <t>(d)  finishing and smoothing surfaces of concrete structures;</t>
  </si>
  <si>
    <t>Plasterers</t>
  </si>
  <si>
    <t>Building Structure Cleaners</t>
  </si>
  <si>
    <t>Bicycle and Related Repairers</t>
  </si>
  <si>
    <t>(d)  changing tyres and controlling air pressure;</t>
  </si>
  <si>
    <t>(e)  spray-painting frames;</t>
  </si>
  <si>
    <t>Potters and Related Workers</t>
  </si>
  <si>
    <t>(a)  making articles of pottery and porcelain;</t>
  </si>
  <si>
    <t>(b)  making clay or plaster-of- paris moulds;</t>
  </si>
  <si>
    <t>Signwriters, Decorative Painters, Engravers and Etchers</t>
  </si>
  <si>
    <t>(e)  sketching or tracing designs or lettering onto work pieces or pattern materials to prepare patterns or stencils;</t>
  </si>
  <si>
    <t>Pre-press Technicians</t>
  </si>
  <si>
    <t>Food and Beverage Tasters and Graders</t>
  </si>
  <si>
    <t>(c)  discarding inferior products;</t>
  </si>
  <si>
    <t>(e)  weighing and measuring products.</t>
  </si>
  <si>
    <t>Tobacco Preparers and Tobacco Products Makers</t>
  </si>
  <si>
    <t>Wood Treaters</t>
  </si>
  <si>
    <t>(f)  cleaning, lubricating and adjusting equipment;</t>
  </si>
  <si>
    <t>Woodworking Machine Tool Setters and Operators</t>
  </si>
  <si>
    <t>(d)  installing and adjusting blades, cutter heads, boring- bits and sanding-belts, and using hand tools and rules;</t>
  </si>
  <si>
    <t>Upholsterers and Related Workers</t>
  </si>
  <si>
    <t>(i)   repairing raw hide coverings of artificial limbs;</t>
  </si>
  <si>
    <t>(l)   making quilts, cushions and mattresses.</t>
  </si>
  <si>
    <t>Pelt Dressers, Tanners and Fellmongers</t>
  </si>
  <si>
    <t>(c)  removing hair from skin or hides soaked in lime water;</t>
  </si>
  <si>
    <t>(d)  preparing hides by curing them with salt;</t>
  </si>
  <si>
    <t>(i)  tinting or dyeing furs to enhance natural shades of fur;</t>
  </si>
  <si>
    <t>(k)  dressing and applying dyes and stains to leather;</t>
  </si>
  <si>
    <t>(l)  stretching and smoothing dressed pelts;</t>
  </si>
  <si>
    <t>Underwater Divers</t>
  </si>
  <si>
    <t>(f)  reporting on the condition of wrecked ships;</t>
  </si>
  <si>
    <t>(g)  removing underwater obstructions;</t>
  </si>
  <si>
    <t>(h)  drilling holes for underwater blasting;</t>
  </si>
  <si>
    <t>Shotfirers and Blasters</t>
  </si>
  <si>
    <t>(c)  checking depth and cleanliness of blast holes;</t>
  </si>
  <si>
    <t>(d)  determining quantity and type of explosives to be used;</t>
  </si>
  <si>
    <t>(e)  loading explosives into blast holes;</t>
  </si>
  <si>
    <t>(i)  ensuring that all explosives are detonated, and reporting and attending to misfires;</t>
  </si>
  <si>
    <t>Craft and Related Workers Not Elsewhere Classified</t>
  </si>
  <si>
    <t>(b) grinding and polishing lens blanks.</t>
  </si>
  <si>
    <t>Mineral and Stone Processing Plant Operators</t>
  </si>
  <si>
    <t>Photographic Products Machine Operators</t>
  </si>
  <si>
    <t>(g)  performing photographic processing-related tasks;</t>
  </si>
  <si>
    <t>Fibre Preparing, Spinning and Winding Machine Operators</t>
  </si>
  <si>
    <t>Bleaching, Dyeing and Fabric Cleaning Machine Operators</t>
  </si>
  <si>
    <t>(e)  operating and monitoring machines that impregnate textiles with chemicals to render them waterproof;</t>
  </si>
  <si>
    <t>(f)  dyeing articles to change or restore their colours;</t>
  </si>
  <si>
    <t>(l)  cleaning machine filters and lubricating equipment.</t>
  </si>
  <si>
    <t>Fur and Leather Preparing Machine Operators</t>
  </si>
  <si>
    <t>(d)  operating and monitoring machines to reduce thickness of hide or skin to uniform size;</t>
  </si>
  <si>
    <t>(k)  maintaining and repairing vats and other machinery.</t>
  </si>
  <si>
    <t>Shoemaking and Related Machine Operators</t>
  </si>
  <si>
    <t>Pulp and Papermaking Plant Operators</t>
  </si>
  <si>
    <t>Wood Processing Plant Operators</t>
  </si>
  <si>
    <t>(e)  cleaning and lubricating sawmill equipment.</t>
  </si>
  <si>
    <t>Glass and Ceramics Plant Operators</t>
  </si>
  <si>
    <t>Steam Engine and Boiler Operators</t>
  </si>
  <si>
    <t>Locomotive Engine Drivers</t>
  </si>
  <si>
    <t>(b)  driving an underground or elevated passenger train;</t>
  </si>
  <si>
    <t>Railway Brake, Signal and Switch Operators</t>
  </si>
  <si>
    <t>Fast Food Preparers</t>
  </si>
  <si>
    <t>(d)  re-heating pre-prepared food;</t>
  </si>
  <si>
    <t>(f)  taking and serving food and beverage orders in eating places that specialize in fast service and carry-out food;</t>
  </si>
  <si>
    <t>Chemical and Physical Science Technicians</t>
  </si>
  <si>
    <t>task_type_5</t>
  </si>
  <si>
    <t>determining, formulating and directing policies of national, state, regional or local governments;</t>
  </si>
  <si>
    <t>presiding over or participating in the proceedings of legislative bodies and administrative councils of national, state, regional or local governments or legislative assemblies;</t>
  </si>
  <si>
    <t>task_type</t>
  </si>
  <si>
    <r>
      <rPr>
        <sz val="11"/>
        <rFont val="Calibri"/>
        <family val="2"/>
        <scheme val="minor"/>
      </rPr>
      <t>investigating matters of concern to the public and promoting the interests of the
constituencies which they represent;</t>
    </r>
  </si>
  <si>
    <r>
      <rPr>
        <sz val="11"/>
        <rFont val="Calibri"/>
        <family val="2"/>
        <scheme val="minor"/>
      </rPr>
      <t>attending community functions and meetings to provide service to the community, understand public opinion and provide information on government
plans;</t>
    </r>
  </si>
  <si>
    <r>
      <rPr>
        <sz val="11"/>
        <rFont val="Calibri"/>
        <family val="2"/>
        <scheme val="minor"/>
      </rPr>
      <t>advising national, state, regional or local governments and legislators on policy
matters;</t>
    </r>
  </si>
  <si>
    <r>
      <rPr>
        <sz val="11"/>
        <rFont val="Calibri"/>
        <family val="2"/>
        <scheme val="minor"/>
      </rPr>
      <t>coordinating activities with other senior government
managers and officials;</t>
    </r>
  </si>
  <si>
    <r>
      <rPr>
        <sz val="11"/>
        <rFont val="Calibri"/>
        <family val="2"/>
        <scheme val="minor"/>
      </rPr>
      <t>making presentations to legislative and other government committees
regarding policies, programmes or budgets;</t>
    </r>
  </si>
  <si>
    <r>
      <rPr>
        <sz val="11"/>
        <rFont val="Calibri"/>
        <family val="2"/>
        <scheme val="minor"/>
      </rPr>
      <t>overseeing the interpretation and implementation of government policies and
legislation by government departments and agencies.</t>
    </r>
  </si>
  <si>
    <r>
      <rPr>
        <sz val="11"/>
        <rFont val="Calibri"/>
        <family val="2"/>
        <scheme val="minor"/>
      </rPr>
      <t>reviewing the operations and results of the organization and reporting to boards of directors and governing bodies, the organization’s
membership and funding agencies;</t>
    </r>
  </si>
  <si>
    <r>
      <rPr>
        <sz val="11"/>
        <rFont val="Calibri"/>
        <family val="2"/>
        <scheme val="minor"/>
      </rPr>
      <t>planning, organizing and directing sections charged with implementing the organization's policies, programmes, rules and
regulations;</t>
    </r>
  </si>
  <si>
    <r>
      <rPr>
        <sz val="11"/>
        <rFont val="Calibri"/>
        <family val="2"/>
        <scheme val="minor"/>
      </rPr>
      <t>monitoring and evaluating performance of the organization or enterprise against established objectives
and policies;</t>
    </r>
  </si>
  <si>
    <r>
      <rPr>
        <sz val="11"/>
        <rFont val="Calibri"/>
        <family val="2"/>
        <scheme val="minor"/>
      </rPr>
      <t>representing the organization at official occasions and board meetings, in negotiations and
at conventions, public hearings and forums.</t>
    </r>
  </si>
  <si>
    <r>
      <rPr>
        <sz val="11"/>
        <rFont val="Calibri"/>
        <family val="2"/>
        <scheme val="minor"/>
      </rPr>
      <t>reviewing the operations and results of the enterprise or organization and reporting to
boards of directors and governing bodies;</t>
    </r>
  </si>
  <si>
    <r>
      <rPr>
        <sz val="11"/>
        <rFont val="Calibri"/>
        <family val="2"/>
        <scheme val="minor"/>
      </rPr>
      <t>monitoring and evaluating performance of the organization or enterprise
against established objectives and policies;</t>
    </r>
  </si>
  <si>
    <r>
      <rPr>
        <sz val="11"/>
        <rFont val="Calibri"/>
        <family val="2"/>
        <scheme val="minor"/>
      </rPr>
      <t>representing the organization at official occasions and board meetings, in negotiations and
at conventions, seminars, public hearings and forums;</t>
    </r>
  </si>
  <si>
    <r>
      <rPr>
        <sz val="11"/>
        <rFont val="Calibri"/>
        <family val="2"/>
        <scheme val="minor"/>
      </rPr>
      <t>planning, directing and coordinating the financial operations of an enterprise or
organization;</t>
    </r>
  </si>
  <si>
    <r>
      <rPr>
        <sz val="11"/>
        <rFont val="Calibri"/>
        <family val="2"/>
        <scheme val="minor"/>
      </rPr>
      <t>assessing the financial situation of the enterprise or organization, preparing
budgets and overseeing financial operations;</t>
    </r>
  </si>
  <si>
    <r>
      <rPr>
        <sz val="11"/>
        <rFont val="Calibri"/>
        <family val="2"/>
        <scheme val="minor"/>
      </rPr>
      <t>consulting with the chief executive and with managers of other departments or
sections;</t>
    </r>
  </si>
  <si>
    <r>
      <rPr>
        <sz val="11"/>
        <rFont val="Calibri"/>
        <family val="2"/>
        <scheme val="minor"/>
      </rPr>
      <t>establishing and managing budgets, controlling
expenditure and ensuring the efficient use of resources;</t>
    </r>
  </si>
  <si>
    <r>
      <rPr>
        <sz val="11"/>
        <rFont val="Calibri"/>
        <family val="2"/>
        <scheme val="minor"/>
      </rPr>
      <t>establishing and directing operational and administrative
procedures;</t>
    </r>
  </si>
  <si>
    <r>
      <rPr>
        <sz val="11"/>
        <rFont val="Calibri"/>
        <family val="2"/>
        <scheme val="minor"/>
      </rPr>
      <t>overseeing the selection,
training and performance of staff;</t>
    </r>
  </si>
  <si>
    <r>
      <rPr>
        <sz val="11"/>
        <rFont val="Calibri"/>
        <family val="2"/>
        <scheme val="minor"/>
      </rPr>
      <t>representing the enterprise or organization in dealings with
outside bodies.</t>
    </r>
  </si>
  <si>
    <r>
      <rPr>
        <sz val="11"/>
        <rFont val="Calibri"/>
        <family val="2"/>
        <scheme val="minor"/>
      </rPr>
      <t>planning, directing and coordinating the personnel and industrial relations activities,
policies and practices of an enterprise or organization;</t>
    </r>
  </si>
  <si>
    <r>
      <rPr>
        <sz val="11"/>
        <rFont val="Calibri"/>
        <family val="2"/>
        <scheme val="minor"/>
      </rPr>
      <t>planning and organizing procedures for recruitment, training, promotion, transfer
and dismissal of staff;</t>
    </r>
  </si>
  <si>
    <r>
      <rPr>
        <sz val="11"/>
        <rFont val="Calibri"/>
        <family val="2"/>
        <scheme val="minor"/>
      </rPr>
      <t>planning and organizing negotiations and procedures for determination of wage structures and level and for
consultation with workers on conditions of employment;</t>
    </r>
  </si>
  <si>
    <r>
      <rPr>
        <sz val="11"/>
        <rFont val="Calibri"/>
        <family val="2"/>
        <scheme val="minor"/>
      </rPr>
      <t>establishing and managing budgets, controlling expenditure and ensuring the
efficient use of resources;</t>
    </r>
  </si>
  <si>
    <r>
      <rPr>
        <sz val="11"/>
        <rFont val="Calibri"/>
        <family val="2"/>
        <scheme val="minor"/>
      </rPr>
      <t>overseeing the development and implementation of management information
systems;</t>
    </r>
  </si>
  <si>
    <r>
      <rPr>
        <sz val="11"/>
        <rFont val="Calibri"/>
        <family val="2"/>
        <scheme val="minor"/>
      </rPr>
      <t>ensuring compliance with standards and legislation relating to employees’ rights, health and safety, equal opportunity and related
concerns;</t>
    </r>
  </si>
  <si>
    <r>
      <rPr>
        <sz val="11"/>
        <rFont val="Calibri"/>
        <family val="2"/>
        <scheme val="minor"/>
      </rPr>
      <t>overseeing the selection, training and performance of staff for the entire enterprise
or organization;</t>
    </r>
  </si>
  <si>
    <r>
      <rPr>
        <sz val="11"/>
        <rFont val="Calibri"/>
        <family val="2"/>
        <scheme val="minor"/>
      </rPr>
      <t>consulting with senior management and with managers of other
departments;</t>
    </r>
  </si>
  <si>
    <r>
      <rPr>
        <sz val="11"/>
        <rFont val="Calibri"/>
        <family val="2"/>
        <scheme val="minor"/>
      </rPr>
      <t>representing the enterprise or
organization in dealings with outside bodies.</t>
    </r>
  </si>
  <si>
    <r>
      <rPr>
        <sz val="11"/>
        <rFont val="Calibri"/>
        <family val="2"/>
        <scheme val="minor"/>
      </rPr>
      <t>(a)  developing, implementing and monitoring strategic plans,
programmes, policies, processes, systems and procedures to achieve goals,
objectives and work standards;</t>
    </r>
  </si>
  <si>
    <r>
      <rPr>
        <sz val="11"/>
        <rFont val="Calibri"/>
        <family val="2"/>
        <scheme val="minor"/>
      </rPr>
      <t>(b)  developing, directing, administering and
participating in policy research and analysis;</t>
    </r>
  </si>
  <si>
    <r>
      <rPr>
        <sz val="11"/>
        <rFont val="Calibri"/>
        <family val="2"/>
        <scheme val="minor"/>
      </rPr>
      <t>(c)  coordinating the implementation of policies and
practices;</t>
    </r>
  </si>
  <si>
    <r>
      <rPr>
        <sz val="11"/>
        <rFont val="Calibri"/>
        <family val="2"/>
        <scheme val="minor"/>
      </rPr>
      <t>(d)  establishing activity measures and measurements
of accountability;</t>
    </r>
  </si>
  <si>
    <r>
      <rPr>
        <sz val="11"/>
        <rFont val="Calibri"/>
        <family val="2"/>
        <scheme val="minor"/>
      </rPr>
      <t>(f)  leading and managing the activities of policy
development and strategic
planning staff;</t>
    </r>
  </si>
  <si>
    <r>
      <rPr>
        <sz val="11"/>
        <rFont val="Calibri"/>
        <family val="2"/>
        <scheme val="minor"/>
      </rPr>
      <t>(g)  overseeing the selection, training and performance of
staff;</t>
    </r>
  </si>
  <si>
    <r>
      <rPr>
        <sz val="11"/>
        <rFont val="Calibri"/>
        <family val="2"/>
        <scheme val="minor"/>
      </rPr>
      <t>(h)  consulting with senior management and with
managers of other
departments;</t>
    </r>
  </si>
  <si>
    <r>
      <rPr>
        <sz val="11"/>
        <rFont val="Calibri"/>
        <family val="2"/>
        <scheme val="minor"/>
      </rPr>
      <t>(i)  representing the enterprise or organization in negotiations, and at
conventions, seminars, public hearings and forums.</t>
    </r>
  </si>
  <si>
    <r>
      <rPr>
        <sz val="11"/>
        <rFont val="Calibri"/>
        <family val="2"/>
        <scheme val="minor"/>
      </rPr>
      <t>(a)  providing administrative, strategic planning and
operational support, research and advice to senior management on matters such as the management of building facilities and administrative
services;</t>
    </r>
  </si>
  <si>
    <r>
      <rPr>
        <sz val="11"/>
        <rFont val="Calibri"/>
        <family val="2"/>
        <scheme val="minor"/>
      </rPr>
      <t>(b)  developing and managing the organization’s
administrative and physical resources;</t>
    </r>
  </si>
  <si>
    <r>
      <rPr>
        <sz val="11"/>
        <rFont val="Calibri"/>
        <family val="2"/>
        <scheme val="minor"/>
      </rPr>
      <t>(c)  developing and implementing administrative and procedural statements and guidelines for use by staff in
the organization;</t>
    </r>
  </si>
  <si>
    <r>
      <rPr>
        <sz val="11"/>
        <rFont val="Calibri"/>
        <family val="2"/>
        <scheme val="minor"/>
      </rPr>
      <t>(d)  analysing complex resource management issues and initiatives that affect the organization, and  preparing
associated reports,
correspondence and submissions;</t>
    </r>
  </si>
  <si>
    <r>
      <rPr>
        <sz val="11"/>
        <rFont val="Calibri"/>
        <family val="2"/>
        <scheme val="minor"/>
      </rPr>
      <t>(f)  leading, managing and developing administrative
staff to ensure smooth business operations and the provision of accurate and timely information;</t>
    </r>
  </si>
  <si>
    <r>
      <rPr>
        <sz val="11"/>
        <rFont val="Calibri"/>
        <family val="2"/>
        <scheme val="minor"/>
      </rPr>
      <t>(g)  representing the enterprise or organization in negotiations, and at
conventions, seminars, public hearings and forums;</t>
    </r>
  </si>
  <si>
    <r>
      <rPr>
        <sz val="11"/>
        <rFont val="Calibri"/>
        <family val="2"/>
        <scheme val="minor"/>
      </rPr>
      <t>(h)  establishing and managing budgets, controlling
expenditure and ensuring the efficient use of resources;</t>
    </r>
  </si>
  <si>
    <r>
      <rPr>
        <sz val="11"/>
        <rFont val="Calibri"/>
        <family val="2"/>
        <scheme val="minor"/>
      </rPr>
      <t>(j)  overseeing the selection, training and performance of
staff.</t>
    </r>
  </si>
  <si>
    <r>
      <rPr>
        <sz val="11"/>
        <rFont val="Calibri"/>
        <family val="2"/>
        <scheme val="minor"/>
      </rPr>
      <t>(c)  establishing and directing operational and administrative procedures related to sales and
marketing activities;</t>
    </r>
  </si>
  <si>
    <r>
      <rPr>
        <sz val="11"/>
        <rFont val="Calibri"/>
        <family val="2"/>
        <scheme val="minor"/>
      </rPr>
      <t>(d)  leading and managing the activities of sales and
marketing staff;</t>
    </r>
  </si>
  <si>
    <r>
      <rPr>
        <sz val="11"/>
        <rFont val="Calibri"/>
        <family val="2"/>
        <scheme val="minor"/>
      </rPr>
      <t>(f)  establishing and managing budgets and controlling expenditure to ensure the
efficient use of resources;</t>
    </r>
  </si>
  <si>
    <r>
      <rPr>
        <sz val="11"/>
        <rFont val="Calibri"/>
        <family val="2"/>
        <scheme val="minor"/>
      </rPr>
      <t>(a)  planning, directing and coordinating the advertising and public relations activities
of an enterprise or organization;</t>
    </r>
  </si>
  <si>
    <r>
      <rPr>
        <sz val="11"/>
        <rFont val="Calibri"/>
        <family val="2"/>
        <scheme val="minor"/>
      </rPr>
      <t>(b)  negotiating advertising contracts with clients or with
newspapers, radio and television stations, sports and
cultural organizations and advertising agencies;</t>
    </r>
  </si>
  <si>
    <r>
      <rPr>
        <sz val="11"/>
        <rFont val="Calibri"/>
        <family val="2"/>
        <scheme val="minor"/>
      </rPr>
      <t>(c)  planning and managing information programmes to inform legislators, the mass media and the general public
about the plans, accomplishments and points of view of the enterprise or
organization;</t>
    </r>
  </si>
  <si>
    <r>
      <rPr>
        <sz val="11"/>
        <rFont val="Calibri"/>
        <family val="2"/>
        <scheme val="minor"/>
      </rPr>
      <t>Advertising and Public Relations
Managers</t>
    </r>
  </si>
  <si>
    <r>
      <rPr>
        <sz val="11"/>
        <rFont val="Calibri"/>
        <family val="2"/>
        <scheme val="minor"/>
      </rPr>
      <t>(d)  leading and managing the activities of advertising and
public relations staff;</t>
    </r>
  </si>
  <si>
    <r>
      <rPr>
        <sz val="11"/>
        <rFont val="Calibri"/>
        <family val="2"/>
        <scheme val="minor"/>
      </rPr>
      <t>(e)  establishing and managing budgets and controlling
expenditure and ensuring the
efficient use of resources;</t>
    </r>
  </si>
  <si>
    <r>
      <rPr>
        <sz val="11"/>
        <rFont val="Calibri"/>
        <family val="2"/>
        <scheme val="minor"/>
      </rPr>
      <t>(f)  establishing and directing operational and administrative
procedures;</t>
    </r>
  </si>
  <si>
    <r>
      <rPr>
        <sz val="11"/>
        <rFont val="Calibri"/>
        <family val="2"/>
        <scheme val="minor"/>
      </rPr>
      <t>Advertising and
Public Relations Managers</t>
    </r>
  </si>
  <si>
    <r>
      <rPr>
        <sz val="11"/>
        <rFont val="Calibri"/>
        <family val="2"/>
        <scheme val="minor"/>
      </rPr>
      <t>(h)  overseeing the selection, training and performance of
staff.</t>
    </r>
  </si>
  <si>
    <r>
      <rPr>
        <sz val="11"/>
        <rFont val="Calibri"/>
        <family val="2"/>
        <scheme val="minor"/>
      </rPr>
      <t>(a)   planning, directing and coordinating research and development activities, in- house or commissioned from
external research organizations, to develop new or improved technical processes, products,
knowledge, or utilization of materials;</t>
    </r>
  </si>
  <si>
    <r>
      <rPr>
        <sz val="11"/>
        <rFont val="Calibri"/>
        <family val="2"/>
        <scheme val="minor"/>
      </rPr>
      <t>(b)   planning the overall research and development
programme of an enterprise or organization, specifying goals and budgetary requirements;</t>
    </r>
  </si>
  <si>
    <r>
      <rPr>
        <sz val="11"/>
        <rFont val="Calibri"/>
        <family val="2"/>
        <scheme val="minor"/>
      </rPr>
      <t>(c)   leading and managing the activities of research and
development staff;</t>
    </r>
  </si>
  <si>
    <r>
      <rPr>
        <sz val="11"/>
        <rFont val="Calibri"/>
        <family val="2"/>
        <scheme val="minor"/>
      </rPr>
      <t>(d)   establishing and managing budgets, controlling expenditure and ensuring the
efficient use of resources;</t>
    </r>
  </si>
  <si>
    <r>
      <rPr>
        <sz val="11"/>
        <rFont val="Calibri"/>
        <family val="2"/>
        <scheme val="minor"/>
      </rPr>
      <t>(e)   establishing and directing operational and administrative
procedures;</t>
    </r>
  </si>
  <si>
    <r>
      <rPr>
        <sz val="11"/>
        <rFont val="Calibri"/>
        <family val="2"/>
        <scheme val="minor"/>
      </rPr>
      <t>Research and
Development Managers</t>
    </r>
  </si>
  <si>
    <r>
      <rPr>
        <sz val="11"/>
        <rFont val="Calibri"/>
        <family val="2"/>
        <scheme val="minor"/>
      </rPr>
      <t>Research and Development
Managers</t>
    </r>
  </si>
  <si>
    <r>
      <rPr>
        <sz val="11"/>
        <rFont val="Calibri"/>
        <family val="2"/>
        <scheme val="minor"/>
      </rPr>
      <t>(h)   representing the enterprise or organization at conventions, seminars and
conferences.</t>
    </r>
  </si>
  <si>
    <r>
      <rPr>
        <sz val="11"/>
        <rFont val="Calibri"/>
        <family val="2"/>
        <scheme val="minor"/>
      </rPr>
      <t>monitoring agricultural and forestry market activity and planning production to meet
contract requirements and market demand</t>
    </r>
  </si>
  <si>
    <r>
      <rPr>
        <sz val="11"/>
        <rFont val="Calibri"/>
        <family val="2"/>
        <scheme val="minor"/>
      </rPr>
      <t>establishing and managing budgets, monitoring production output and costs, recording information such as farm management practices, and preparing financial and
operational reports</t>
    </r>
  </si>
  <si>
    <r>
      <rPr>
        <sz val="11"/>
        <rFont val="Calibri"/>
        <family val="2"/>
        <scheme val="minor"/>
      </rPr>
      <t>contracting with farmers or independent owners for production of crops and
livestock, or for management of production</t>
    </r>
  </si>
  <si>
    <r>
      <rPr>
        <sz val="11"/>
        <rFont val="Calibri"/>
        <family val="2"/>
        <scheme val="minor"/>
      </rPr>
      <t>planning the type, intensity and sequence of farm operations (e.g. determining the best times for planting,
spraying and harvesting)</t>
    </r>
  </si>
  <si>
    <r>
      <rPr>
        <sz val="11"/>
        <rFont val="Calibri"/>
        <family val="2"/>
        <scheme val="minor"/>
      </rPr>
      <t>directing and coordinating activities such as planting, irrigation, chemical
application, harvesting and grading</t>
    </r>
  </si>
  <si>
    <r>
      <rPr>
        <sz val="11"/>
        <rFont val="Calibri"/>
        <family val="2"/>
        <scheme val="minor"/>
      </rPr>
      <t>inspecting plantations and fields to determine maturity dates of crops, or to estimate potential damage from
weather</t>
    </r>
  </si>
  <si>
    <r>
      <rPr>
        <sz val="11"/>
        <rFont val="Calibri"/>
        <family val="2"/>
        <scheme val="minor"/>
      </rPr>
      <t>(a)  monitoring aquaculture and fishery market activity and planning production and
fishing activities to meet contract requirements and
market demand;</t>
    </r>
  </si>
  <si>
    <r>
      <rPr>
        <sz val="11"/>
        <rFont val="Calibri"/>
        <family val="2"/>
        <scheme val="minor"/>
      </rPr>
      <t>(b)  establishing and managing budgets, monitoring
production output and costs, recording information such as fisheries management practices, and preparing
financial and operational reports;</t>
    </r>
  </si>
  <si>
    <r>
      <rPr>
        <sz val="11"/>
        <rFont val="Calibri"/>
        <family val="2"/>
        <scheme val="minor"/>
      </rPr>
      <t>(c)  conferring with buyers to arrange for the sale of produce
and catches;</t>
    </r>
  </si>
  <si>
    <r>
      <rPr>
        <sz val="11"/>
        <rFont val="Calibri"/>
        <family val="2"/>
        <scheme val="minor"/>
      </rPr>
      <t>(d)  contracting with fishing skippers or owners of vessels
and aquaculture farms for fishing and aquaculture
operations, or for management of production;</t>
    </r>
  </si>
  <si>
    <r>
      <rPr>
        <sz val="11"/>
        <rFont val="Calibri"/>
        <family val="2"/>
        <scheme val="minor"/>
      </rPr>
      <t>(e)  conducting and organizing aquaculture or fishery stock
examinations in order to identify diseases or parasites;</t>
    </r>
  </si>
  <si>
    <r>
      <rPr>
        <sz val="11"/>
        <rFont val="Calibri"/>
        <family val="2"/>
        <scheme val="minor"/>
      </rPr>
      <t>(f)  devising and coordinating activities to improve fish
hatching and growth rates, and
to prevent disease in hatcheries;</t>
    </r>
  </si>
  <si>
    <r>
      <rPr>
        <sz val="11"/>
        <rFont val="Calibri"/>
        <family val="2"/>
        <scheme val="minor"/>
      </rPr>
      <t>(g)  monitoring environments to maintain or improve
conditions for aquatic life;</t>
    </r>
  </si>
  <si>
    <r>
      <rPr>
        <sz val="11"/>
        <rFont val="Calibri"/>
        <family val="2"/>
        <scheme val="minor"/>
      </rPr>
      <t>(h)  directing and monitoring trapping and spawning of fish, egg incubation and fry rearing,
applying knowledge of
management and fish culturing techniques;</t>
    </r>
  </si>
  <si>
    <r>
      <rPr>
        <sz val="11"/>
        <rFont val="Calibri"/>
        <family val="2"/>
        <scheme val="minor"/>
      </rPr>
      <t>(i)  coordinating the selection and maintenance of brood
stock;</t>
    </r>
  </si>
  <si>
    <r>
      <rPr>
        <sz val="11"/>
        <rFont val="Calibri"/>
        <family val="2"/>
        <scheme val="minor"/>
      </rPr>
      <t>(j)  directing and monitoring the transfer of mature fish to
lakes, ponds, streams or commercial tanks;</t>
    </r>
  </si>
  <si>
    <r>
      <rPr>
        <sz val="11"/>
        <rFont val="Calibri"/>
        <family val="2"/>
        <scheme val="minor"/>
      </rPr>
      <t>(l)  organizing operations such as maintenance of ships, boats
and equipment;</t>
    </r>
  </si>
  <si>
    <r>
      <rPr>
        <sz val="11"/>
        <rFont val="Calibri"/>
        <family val="2"/>
        <scheme val="minor"/>
      </rPr>
      <t>(m) overseeing the selection, training and performance of aquaculture or fishery workers
and contractors.</t>
    </r>
  </si>
  <si>
    <r>
      <rPr>
        <sz val="11"/>
        <rFont val="Calibri"/>
        <family val="2"/>
        <scheme val="minor"/>
      </rPr>
      <t>(a)  conferring with other managers to set production quotas, plan extraction sites
and develop policies for the removal of raw materials;</t>
    </r>
  </si>
  <si>
    <r>
      <rPr>
        <sz val="11"/>
        <rFont val="Calibri"/>
        <family val="2"/>
        <scheme val="minor"/>
      </rPr>
      <t>(b)  evaluating efficiency of production sites to determine
adequacy of personnel, equipment and technologies used, and make changes to
work schedules or equipment when necessary;</t>
    </r>
  </si>
  <si>
    <r>
      <rPr>
        <sz val="11"/>
        <rFont val="Calibri"/>
        <family val="2"/>
        <scheme val="minor"/>
      </rPr>
      <t>(c)  planning details of production activities in terms of output quality and quantity, cost, time available and labour
requirements;</t>
    </r>
  </si>
  <si>
    <r>
      <rPr>
        <sz val="11"/>
        <rFont val="Calibri"/>
        <family val="2"/>
        <scheme val="minor"/>
      </rPr>
      <t>(d)  controlling the operation of plant and quality
procedures through planning of maintenance, designation of operating hours and supply of
equipment;</t>
    </r>
  </si>
  <si>
    <r>
      <rPr>
        <sz val="11"/>
        <rFont val="Calibri"/>
        <family val="2"/>
        <scheme val="minor"/>
      </rPr>
      <t>(e)  establishing and managing budgets, monitoring
production output and costs,
and adjusting processes and resources to minimize costs;</t>
    </r>
  </si>
  <si>
    <r>
      <rPr>
        <sz val="11"/>
        <rFont val="Calibri"/>
        <family val="2"/>
        <scheme val="minor"/>
      </rPr>
      <t>(f)  overseeing the acquisition and installation of new plant
and equipment;</t>
    </r>
  </si>
  <si>
    <r>
      <rPr>
        <sz val="11"/>
        <rFont val="Calibri"/>
        <family val="2"/>
        <scheme val="minor"/>
      </rPr>
      <t>(g)  controlling the preparation of production records and
reports;</t>
    </r>
  </si>
  <si>
    <r>
      <rPr>
        <sz val="11"/>
        <rFont val="Calibri"/>
        <family val="2"/>
        <scheme val="minor"/>
      </rPr>
      <t>(h)  coordinating the implementation of health and
safety requirements;</t>
    </r>
  </si>
  <si>
    <r>
      <rPr>
        <sz val="11"/>
        <rFont val="Calibri"/>
        <family val="2"/>
        <scheme val="minor"/>
      </rPr>
      <t>(i)  researching and implementing regulatory and
statutory requirements affecting mineral extraction operations and the
environment;</t>
    </r>
  </si>
  <si>
    <r>
      <rPr>
        <sz val="11"/>
        <rFont val="Calibri"/>
        <family val="2"/>
        <scheme val="minor"/>
      </rPr>
      <t>(c)  negotiating with building owners, property developers and subcontractors involved in
the construction process to ensure projects are completed on time and within budget;</t>
    </r>
  </si>
  <si>
    <r>
      <rPr>
        <sz val="11"/>
        <rFont val="Calibri"/>
        <family val="2"/>
        <scheme val="minor"/>
      </rPr>
      <t>(e)  operating and
implementing coordinated work programmes for sites;</t>
    </r>
  </si>
  <si>
    <r>
      <rPr>
        <sz val="11"/>
        <rFont val="Calibri"/>
        <family val="2"/>
        <scheme val="minor"/>
      </rPr>
      <t>(f)  ensuring adherence to building legislation and standards of performance,
quality, cost and safety;</t>
    </r>
  </si>
  <si>
    <r>
      <rPr>
        <sz val="11"/>
        <rFont val="Calibri"/>
        <family val="2"/>
        <scheme val="minor"/>
      </rPr>
      <t>(h)  building under contract, or subcontracting specialized
building services;</t>
    </r>
  </si>
  <si>
    <r>
      <rPr>
        <sz val="11"/>
        <rFont val="Calibri"/>
        <family val="2"/>
        <scheme val="minor"/>
      </rPr>
      <t>(i)  arranging building inspections by relevant
authorities;</t>
    </r>
  </si>
  <si>
    <r>
      <rPr>
        <sz val="11"/>
        <rFont val="Calibri"/>
        <family val="2"/>
        <scheme val="minor"/>
      </rPr>
      <t>(j)  establishing and managing budgets, controlling
expenditure and ensuring the
efficient use of resources;</t>
    </r>
  </si>
  <si>
    <r>
      <rPr>
        <sz val="11"/>
        <rFont val="Calibri"/>
        <family val="2"/>
        <scheme val="minor"/>
      </rPr>
      <t>(k)  overseeing the selection, training and performance of
staff and subcontractors.</t>
    </r>
  </si>
  <si>
    <r>
      <rPr>
        <sz val="11"/>
        <rFont val="Calibri"/>
        <family val="2"/>
        <scheme val="minor"/>
      </rPr>
      <t>(a)  determining, implementing and monitoring
purchasing, storage and
distribution strategies, policies and plans;</t>
    </r>
  </si>
  <si>
    <r>
      <rPr>
        <sz val="11"/>
        <rFont val="Calibri"/>
        <family val="2"/>
        <scheme val="minor"/>
      </rPr>
      <t>(b)  preparing and implementing plans to
maintain required stock levels at minimum cost;</t>
    </r>
  </si>
  <si>
    <r>
      <rPr>
        <sz val="11"/>
        <rFont val="Calibri"/>
        <family val="2"/>
        <scheme val="minor"/>
      </rPr>
      <t>(c)  negotiating contracts with suppliers to meet quality, cost
and delivery requirements;</t>
    </r>
  </si>
  <si>
    <r>
      <rPr>
        <sz val="11"/>
        <rFont val="Calibri"/>
        <family val="2"/>
        <scheme val="minor"/>
      </rPr>
      <t>(d)  monitoring and reviewing storage and inventory systems to meet supply requirements,
and control stock levels;</t>
    </r>
  </si>
  <si>
    <r>
      <rPr>
        <sz val="11"/>
        <rFont val="Calibri"/>
        <family val="2"/>
        <scheme val="minor"/>
      </rPr>
      <t>(e)  overseeing the dispatch of road vehicles, trains, vessels
or aircraft;</t>
    </r>
  </si>
  <si>
    <r>
      <rPr>
        <sz val="11"/>
        <rFont val="Calibri"/>
        <family val="2"/>
        <scheme val="minor"/>
      </rPr>
      <t>(f)  operating recording systems to track all
movements of goods, and
ensuring reordering and restocking at optimal times;</t>
    </r>
  </si>
  <si>
    <r>
      <rPr>
        <sz val="11"/>
        <rFont val="Calibri"/>
        <family val="2"/>
        <scheme val="minor"/>
      </rPr>
      <t>(g)  liaising with other departments and customers concerning requirements for outward goods and associated
forwarding transportation;</t>
    </r>
  </si>
  <si>
    <r>
      <rPr>
        <sz val="11"/>
        <rFont val="Calibri"/>
        <family val="2"/>
        <scheme val="minor"/>
      </rPr>
      <t>(i)  establishing and managing budgets, controlling
expenditure and ensuring the efficient use of resources;</t>
    </r>
  </si>
  <si>
    <r>
      <rPr>
        <sz val="11"/>
        <rFont val="Calibri"/>
        <family val="2"/>
        <scheme val="minor"/>
      </rPr>
      <t>(j)  establishing and directing operational and administrative
procedures;</t>
    </r>
  </si>
  <si>
    <r>
      <rPr>
        <sz val="11"/>
        <rFont val="Calibri"/>
        <family val="2"/>
        <scheme val="minor"/>
      </rPr>
      <t>(l)  overseeing the selection, training and performance of
staff.</t>
    </r>
  </si>
  <si>
    <r>
      <rPr>
        <sz val="11"/>
        <rFont val="Calibri"/>
        <family val="2"/>
        <scheme val="minor"/>
      </rPr>
      <t>(a)  consulting with users, management, vendors and
technicians to assess computing needs and system requirements, and specifying
technology to meet those needs;</t>
    </r>
  </si>
  <si>
    <r>
      <rPr>
        <sz val="11"/>
        <rFont val="Calibri"/>
        <family val="2"/>
        <scheme val="minor"/>
      </rPr>
      <t>(b)  formulating and directing information and
communication technology (ICT) strategies, policies and plans;</t>
    </r>
  </si>
  <si>
    <r>
      <rPr>
        <sz val="11"/>
        <rFont val="Calibri"/>
        <family val="2"/>
        <scheme val="minor"/>
      </rPr>
      <t>(c)  directing the selection and installation of ICT resources
and the provision of user training;</t>
    </r>
  </si>
  <si>
    <r>
      <rPr>
        <sz val="11"/>
        <rFont val="Calibri"/>
        <family val="2"/>
        <scheme val="minor"/>
      </rPr>
      <t>(d)  directing ICT operations, analysing workflow, establishing priorities,
developing standards and setting deadlines;</t>
    </r>
  </si>
  <si>
    <r>
      <rPr>
        <sz val="11"/>
        <rFont val="Calibri"/>
        <family val="2"/>
        <scheme val="minor"/>
      </rPr>
      <t>(g)  evaluating the
organization’s technology use and needs and recommending improvements such as hardware and software upgrades;</t>
    </r>
  </si>
  <si>
    <r>
      <rPr>
        <sz val="11"/>
        <rFont val="Calibri"/>
        <family val="2"/>
        <scheme val="minor"/>
      </rPr>
      <t>(i)  establishing and directing operational and administrative
procedures;</t>
    </r>
  </si>
  <si>
    <r>
      <rPr>
        <sz val="11"/>
        <rFont val="Calibri"/>
        <family val="2"/>
        <scheme val="minor"/>
      </rPr>
      <t>(j)  overseeing the selection, training and performance of
staff;</t>
    </r>
  </si>
  <si>
    <r>
      <rPr>
        <sz val="11"/>
        <rFont val="Calibri"/>
        <family val="2"/>
        <scheme val="minor"/>
      </rPr>
      <t>(k)  representing the enterprise or organization at ICT-related
conventions, seminars and conferences.</t>
    </r>
  </si>
  <si>
    <r>
      <rPr>
        <sz val="11"/>
        <rFont val="Calibri"/>
        <family val="2"/>
        <scheme val="minor"/>
      </rPr>
      <t>(a)  developing and implementing programmes to enhance the physical, social,
emotional and intellectual development of young
children;</t>
    </r>
  </si>
  <si>
    <r>
      <rPr>
        <sz val="11"/>
        <rFont val="Calibri"/>
        <family val="2"/>
        <scheme val="minor"/>
      </rPr>
      <t>(b)  establishing and monitoring budgets and determining allocation of funds for staff, supplies, materials, equipment and
maintenance;</t>
    </r>
  </si>
  <si>
    <r>
      <rPr>
        <sz val="11"/>
        <rFont val="Calibri"/>
        <family val="2"/>
        <scheme val="minor"/>
      </rPr>
      <t>(c)  overseeing and coordinating the provision of care for children in before- school, after-school, day and
vacation care centres;</t>
    </r>
  </si>
  <si>
    <r>
      <rPr>
        <sz val="11"/>
        <rFont val="Calibri"/>
        <family val="2"/>
        <scheme val="minor"/>
      </rPr>
      <t>(d)  directing and supervising child carers in providing care
and supervision for young
children;</t>
    </r>
  </si>
  <si>
    <r>
      <rPr>
        <sz val="11"/>
        <rFont val="Calibri"/>
        <family val="2"/>
        <scheme val="minor"/>
      </rPr>
      <t>(e)  managing physical facilities and making sure all buildings and equipment are
maintained to ensure the centre is a safe area for
children, staff and visitors;</t>
    </r>
  </si>
  <si>
    <r>
      <rPr>
        <sz val="11"/>
        <rFont val="Calibri"/>
        <family val="2"/>
        <scheme val="minor"/>
      </rPr>
      <t>(f)  reviewing and interpreting government codes, and
developing procedures to meet
codes (e.g. concerning safety and security);</t>
    </r>
  </si>
  <si>
    <r>
      <rPr>
        <sz val="11"/>
        <rFont val="Calibri"/>
        <family val="2"/>
        <scheme val="minor"/>
      </rPr>
      <t>(g)  monitoring children’s progress and conferring with
parents or guardians;</t>
    </r>
  </si>
  <si>
    <r>
      <rPr>
        <sz val="11"/>
        <rFont val="Calibri"/>
        <family val="2"/>
        <scheme val="minor"/>
      </rPr>
      <t>(h)  preparing and maintaining records and accounts for a
child care centre;</t>
    </r>
  </si>
  <si>
    <r>
      <rPr>
        <sz val="11"/>
        <rFont val="Calibri"/>
        <family val="2"/>
        <scheme val="minor"/>
      </rPr>
      <t>(i)  recruiting and evaluating staff and coordinating their
professional development.</t>
    </r>
  </si>
  <si>
    <r>
      <rPr>
        <sz val="11"/>
        <rFont val="Calibri"/>
        <family val="2"/>
        <scheme val="minor"/>
      </rPr>
      <t>(a)  determining educational programmes based on
frameworks established by education authorities and
governing bodies;</t>
    </r>
  </si>
  <si>
    <r>
      <rPr>
        <sz val="11"/>
        <rFont val="Calibri"/>
        <family val="2"/>
        <scheme val="minor"/>
      </rPr>
      <t>(b)  implementing systems and procedures to monitor school
performance and student enrolments;</t>
    </r>
  </si>
  <si>
    <r>
      <rPr>
        <sz val="11"/>
        <rFont val="Calibri"/>
        <family val="2"/>
        <scheme val="minor"/>
      </rPr>
      <t>(c)  directing administrative and clerical activities
concerning student admissions and educational services;</t>
    </r>
  </si>
  <si>
    <r>
      <rPr>
        <sz val="11"/>
        <rFont val="Calibri"/>
        <family val="2"/>
        <scheme val="minor"/>
      </rPr>
      <t>(d)  controlling administrative operations such as budget
planning, report preparation, and expenditure on supplies,
equipment and services;</t>
    </r>
  </si>
  <si>
    <r>
      <rPr>
        <sz val="11"/>
        <rFont val="Calibri"/>
        <family val="2"/>
        <scheme val="minor"/>
      </rPr>
      <t>(e)  providing leadership and guidance to teaching,
academic and administrative staff as well as to students;</t>
    </r>
  </si>
  <si>
    <r>
      <rPr>
        <sz val="11"/>
        <rFont val="Calibri"/>
        <family val="2"/>
        <scheme val="minor"/>
      </rPr>
      <t>(f)  evaluating the work of teachers and lecturers by
visiting classrooms, observing teaching methods, reviewing instructional objectives and
examining learning materials;</t>
    </r>
  </si>
  <si>
    <r>
      <rPr>
        <sz val="11"/>
        <rFont val="Calibri"/>
        <family val="2"/>
        <scheme val="minor"/>
      </rPr>
      <t>(g)  promoting the educational programme, and representing the service or institution in the
wider community;</t>
    </r>
  </si>
  <si>
    <r>
      <rPr>
        <sz val="11"/>
        <rFont val="Calibri"/>
        <family val="2"/>
        <scheme val="minor"/>
      </rPr>
      <t>(h)  supervising the maintenance of educational
facilities;</t>
    </r>
  </si>
  <si>
    <r>
      <rPr>
        <sz val="11"/>
        <rFont val="Calibri"/>
        <family val="2"/>
        <scheme val="minor"/>
      </rPr>
      <t>(i)  developing and enforcing a disciplinary code to create a
safe and conducive environment for students and
teachers;</t>
    </r>
  </si>
  <si>
    <r>
      <rPr>
        <sz val="11"/>
        <rFont val="Calibri"/>
        <family val="2"/>
        <scheme val="minor"/>
      </rPr>
      <t>(j)  organizing and implementing methods of raising additional funds in conjunction with parent and
community groups and sponsors;</t>
    </r>
  </si>
  <si>
    <r>
      <rPr>
        <sz val="11"/>
        <rFont val="Calibri"/>
        <family val="2"/>
        <scheme val="minor"/>
      </rPr>
      <t>(k)  controlling selection, training and supervision of
staff.</t>
    </r>
  </si>
  <si>
    <r>
      <rPr>
        <sz val="11"/>
        <rFont val="Calibri"/>
        <family val="2"/>
        <scheme val="minor"/>
      </rPr>
      <t>(a)  planning, directing and coordinating the activities of
staff in the branch;</t>
    </r>
  </si>
  <si>
    <r>
      <rPr>
        <sz val="11"/>
        <rFont val="Calibri"/>
        <family val="2"/>
        <scheme val="minor"/>
      </rPr>
      <t>(b)  establishing and maintaining relationships with
individual and business customers;</t>
    </r>
  </si>
  <si>
    <r>
      <rPr>
        <sz val="11"/>
        <rFont val="Calibri"/>
        <family val="2"/>
        <scheme val="minor"/>
      </rPr>
      <t>(c)  providing advice and assistance to customers on their financial and insurance needs and on matters such as changes in law that may affect
customers;</t>
    </r>
  </si>
  <si>
    <r>
      <rPr>
        <sz val="11"/>
        <rFont val="Calibri"/>
        <family val="2"/>
        <scheme val="minor"/>
      </rPr>
      <t>(d)  examining, evaluating and processing loan and insurance
applications;</t>
    </r>
  </si>
  <si>
    <r>
      <rPr>
        <sz val="11"/>
        <rFont val="Calibri"/>
        <family val="2"/>
        <scheme val="minor"/>
      </rPr>
      <t>(g)  overseeing the flow of cash and financial instruments,
and the preparation of
financial and regulatory reports;</t>
    </r>
  </si>
  <si>
    <r>
      <rPr>
        <sz val="11"/>
        <rFont val="Calibri"/>
        <family val="2"/>
        <scheme val="minor"/>
      </rPr>
      <t>(h)  approving or rejecting, or coordinating the approval or rejection of, lines of credit for commercial, real estate and
personal loans;</t>
    </r>
  </si>
  <si>
    <r>
      <rPr>
        <sz val="11"/>
        <rFont val="Calibri"/>
        <family val="2"/>
        <scheme val="minor"/>
      </rPr>
      <t>(i)  coordinating cooperation with other branches of the
company;</t>
    </r>
  </si>
  <si>
    <r>
      <rPr>
        <sz val="11"/>
        <rFont val="Calibri"/>
        <family val="2"/>
        <scheme val="minor"/>
      </rPr>
      <t>(j)  managing budgets, controlling expenditure and ensuring the efficient use of
resources;</t>
    </r>
  </si>
  <si>
    <r>
      <rPr>
        <sz val="11"/>
        <rFont val="Calibri"/>
        <family val="2"/>
        <scheme val="minor"/>
      </rPr>
      <t>(k)  overseeing the selection, training and performance of
staff.</t>
    </r>
  </si>
  <si>
    <r>
      <rPr>
        <sz val="11"/>
        <rFont val="Calibri"/>
        <family val="2"/>
        <scheme val="minor"/>
      </rPr>
      <t>(b)  developing, implementing and monitoring procedures, policies and standards for
staff;</t>
    </r>
  </si>
  <si>
    <r>
      <rPr>
        <sz val="11"/>
        <rFont val="Calibri"/>
        <family val="2"/>
        <scheme val="minor"/>
      </rPr>
      <t>(c)  directing, supervising and evaluating the work activities
of professional, technical, clerical, service, maintenance and other personnel;</t>
    </r>
  </si>
  <si>
    <r>
      <rPr>
        <sz val="11"/>
        <rFont val="Calibri"/>
        <family val="2"/>
        <scheme val="minor"/>
      </rPr>
      <t>(e)  controlling administrative operations such as budget
planning, report preparation, and expenditure on supplies, equipment and services;</t>
    </r>
  </si>
  <si>
    <r>
      <rPr>
        <sz val="11"/>
        <rFont val="Calibri"/>
        <family val="2"/>
        <scheme val="minor"/>
      </rPr>
      <t>(f)  planning, directing and coordinating the provision of
services;</t>
    </r>
  </si>
  <si>
    <r>
      <rPr>
        <sz val="11"/>
        <rFont val="Calibri"/>
        <family val="2"/>
        <scheme val="minor"/>
      </rPr>
      <t>(g)  coordinating cooperation with other service provision agencies in the same or related
fields;</t>
    </r>
  </si>
  <si>
    <r>
      <rPr>
        <sz val="11"/>
        <rFont val="Calibri"/>
        <family val="2"/>
        <scheme val="minor"/>
      </rPr>
      <t>(h)  managing budgets, controlling expenditure and ensuring the efficient use of
resources;</t>
    </r>
  </si>
  <si>
    <r>
      <rPr>
        <sz val="11"/>
        <rFont val="Calibri"/>
        <family val="2"/>
        <scheme val="minor"/>
      </rPr>
      <t>(i)  overseeing the selection, training and performance of
staff.</t>
    </r>
  </si>
  <si>
    <r>
      <rPr>
        <sz val="11"/>
        <rFont val="Calibri"/>
        <family val="2"/>
        <scheme val="minor"/>
      </rPr>
      <t>planning menus in consultation with chefs and
cooks;</t>
    </r>
  </si>
  <si>
    <r>
      <rPr>
        <sz val="11"/>
        <rFont val="Calibri"/>
        <family val="2"/>
        <scheme val="minor"/>
      </rPr>
      <t>arranging the purchasing and
pricing of goods according to budget;</t>
    </r>
  </si>
  <si>
    <r>
      <rPr>
        <sz val="11"/>
        <rFont val="Calibri"/>
        <family val="2"/>
        <scheme val="minor"/>
      </rPr>
      <t>maintaining records of stock levels and financial
transactions;</t>
    </r>
  </si>
  <si>
    <r>
      <rPr>
        <sz val="11"/>
        <rFont val="Calibri"/>
        <family val="2"/>
        <scheme val="minor"/>
      </rPr>
      <t>ensuring that dining, kitchen and food storage facilities comply with health regulations
and are clean, functional and of suitable appearance;</t>
    </r>
  </si>
  <si>
    <r>
      <rPr>
        <sz val="11"/>
        <rFont val="Calibri"/>
        <family val="2"/>
        <scheme val="minor"/>
      </rPr>
      <t>selecting staff, setting staff work schedules, and training
and supervising waiting and kitchen staff;</t>
    </r>
  </si>
  <si>
    <r>
      <rPr>
        <sz val="11"/>
        <rFont val="Calibri"/>
        <family val="2"/>
        <scheme val="minor"/>
      </rPr>
      <t>taking reservations, greeting guests and assisting in taking
orders;</t>
    </r>
  </si>
  <si>
    <r>
      <rPr>
        <sz val="11"/>
        <rFont val="Calibri"/>
        <family val="2"/>
        <scheme val="minor"/>
      </rPr>
      <t>ensuring compliance with
occupational health and safety regulations.</t>
    </r>
  </si>
  <si>
    <r>
      <rPr>
        <sz val="11"/>
        <rFont val="Calibri"/>
        <family val="2"/>
        <scheme val="minor"/>
      </rPr>
      <t>(a)  determining product mix, stock levels and service
standards;</t>
    </r>
  </si>
  <si>
    <r>
      <rPr>
        <sz val="11"/>
        <rFont val="Calibri"/>
        <family val="2"/>
        <scheme val="minor"/>
      </rPr>
      <t>(b)  formulating and implementing purchasing and marketing policies, and setting
prices;</t>
    </r>
  </si>
  <si>
    <r>
      <rPr>
        <sz val="11"/>
        <rFont val="Calibri"/>
        <family val="2"/>
        <scheme val="minor"/>
      </rPr>
      <t>(c)  promoting and advertising the establishment’s goods and
services;</t>
    </r>
  </si>
  <si>
    <r>
      <rPr>
        <sz val="11"/>
        <rFont val="Calibri"/>
        <family val="2"/>
        <scheme val="minor"/>
      </rPr>
      <t>(d)  maintaining records of stock levels and financial
transactions;</t>
    </r>
  </si>
  <si>
    <r>
      <rPr>
        <sz val="11"/>
        <rFont val="Calibri"/>
        <family val="2"/>
        <scheme val="minor"/>
      </rPr>
      <t>(f)  controlling selection, training and supervision of
staff;</t>
    </r>
  </si>
  <si>
    <r>
      <rPr>
        <sz val="11"/>
        <rFont val="Calibri"/>
        <family val="2"/>
        <scheme val="minor"/>
      </rPr>
      <t>(g)  ensuring compliance with occupational health and safety
regulations.</t>
    </r>
  </si>
  <si>
    <r>
      <rPr>
        <sz val="11"/>
        <rFont val="Calibri"/>
        <family val="2"/>
        <scheme val="minor"/>
      </rPr>
      <t>(a)  planning and organizing the range and mix of
entertainment, attractions, cultural activities and sports and fitness programmes to be
offered by the centre;</t>
    </r>
  </si>
  <si>
    <r>
      <rPr>
        <sz val="11"/>
        <rFont val="Calibri"/>
        <family val="2"/>
        <scheme val="minor"/>
      </rPr>
      <t>(b)  ensuring that facilities are kept clean and in good
condition;</t>
    </r>
  </si>
  <si>
    <r>
      <rPr>
        <sz val="11"/>
        <rFont val="Calibri"/>
        <family val="2"/>
        <scheme val="minor"/>
      </rPr>
      <t>(c)  keeping abreast of new trends and developments in
the creative arts and arranging theatrical productions and performances by bands and
orchestras;</t>
    </r>
  </si>
  <si>
    <r>
      <rPr>
        <sz val="11"/>
        <rFont val="Calibri"/>
        <family val="2"/>
        <scheme val="minor"/>
      </rPr>
      <t>(d)  advising on the facilities available and promoting
publicity in relation to events, shows and activities;</t>
    </r>
  </si>
  <si>
    <r>
      <rPr>
        <sz val="11"/>
        <rFont val="Calibri"/>
        <family val="2"/>
        <scheme val="minor"/>
      </rPr>
      <t>(e)  checking and keeping custody of all cash receipts and making regular stock
checks;</t>
    </r>
  </si>
  <si>
    <r>
      <rPr>
        <sz val="11"/>
        <rFont val="Calibri"/>
        <family val="2"/>
        <scheme val="minor"/>
      </rPr>
      <t>(f)  establishing and managing budgets, controlling
expenditure and ensuring the efficient use of resources;</t>
    </r>
  </si>
  <si>
    <r>
      <rPr>
        <sz val="11"/>
        <rFont val="Calibri"/>
        <family val="2"/>
        <scheme val="minor"/>
      </rPr>
      <t>(h)  controlling the selection, supervision and performance
of staff;</t>
    </r>
  </si>
  <si>
    <r>
      <rPr>
        <sz val="11"/>
        <rFont val="Calibri"/>
        <family val="2"/>
        <scheme val="minor"/>
      </rPr>
      <t>(a)  collecting and analysing data and samples related to produce, feed, soil, water quality and other factors
affecting farm, forest or fishery production;</t>
    </r>
  </si>
  <si>
    <r>
      <rPr>
        <sz val="11"/>
        <rFont val="Calibri"/>
        <family val="2"/>
        <scheme val="minor"/>
      </rPr>
      <t>(c)  advising on livestock and crop disease, control of pests and weeds, soil improvement, animal husbandry and feeding
programmes;</t>
    </r>
  </si>
  <si>
    <r>
      <rPr>
        <sz val="11"/>
        <rFont val="Calibri"/>
        <family val="2"/>
        <scheme val="minor"/>
      </rPr>
      <t>(d)  studying the environmental factors
affecting commercial crop production, pasture growth, animal breeding, fish stocks and the growth and health of
forest trees;</t>
    </r>
  </si>
  <si>
    <r>
      <rPr>
        <sz val="11"/>
        <rFont val="Calibri"/>
        <family val="2"/>
        <scheme val="minor"/>
      </rPr>
      <t>(e)  studying the effects of cultivation techniques, soils, insects, diseases and fisheries
practices on animal, crop, forestry and fisheries yield;</t>
    </r>
  </si>
  <si>
    <r>
      <rPr>
        <sz val="11"/>
        <rFont val="Calibri"/>
        <family val="2"/>
        <scheme val="minor"/>
      </rPr>
      <t>(f)  studying fish migration, growth, feeding and spawning,
and devising methods of collecting, fertilizing,
incubating and hatching fish eggs;</t>
    </r>
  </si>
  <si>
    <r>
      <rPr>
        <sz val="11"/>
        <rFont val="Calibri"/>
        <family val="2"/>
        <scheme val="minor"/>
      </rPr>
      <t>(g)  researching into characteristics, use capability and productivity of soils, and
applying findings to development of improved agricultural, horticultural and
forestry practices;</t>
    </r>
  </si>
  <si>
    <r>
      <rPr>
        <sz val="11"/>
        <rFont val="Calibri"/>
        <family val="2"/>
        <scheme val="minor"/>
      </rPr>
      <t>(h)  developing procedures and techniques for solving agricultural problems and improving the efficiency of
production;</t>
    </r>
  </si>
  <si>
    <r>
      <rPr>
        <sz val="11"/>
        <rFont val="Calibri"/>
        <family val="2"/>
        <scheme val="minor"/>
      </rPr>
      <t>(i)   managing forest and fisheries resources to
maximize their long-term commercial, recreational and
environmental benefits;</t>
    </r>
  </si>
  <si>
    <r>
      <rPr>
        <sz val="11"/>
        <rFont val="Calibri"/>
        <family val="2"/>
        <scheme val="minor"/>
      </rPr>
      <t>(j)   studying the propagation and culture of forest trees, methods for improving the growth of stock, and the effects of thinning on forest
yields;</t>
    </r>
  </si>
  <si>
    <r>
      <rPr>
        <sz val="11"/>
        <rFont val="Calibri"/>
        <family val="2"/>
        <scheme val="minor"/>
      </rPr>
      <t>(k)  investigating, planning and implementing
management procedures to cope with the effects of fires, floods, droughts, soil erosion,
pests and diseases;</t>
    </r>
  </si>
  <si>
    <r>
      <rPr>
        <sz val="11"/>
        <rFont val="Calibri"/>
        <family val="2"/>
        <scheme val="minor"/>
      </rPr>
      <t>(l)   preparing scientific reports and conducting
advisory information sessions and lectures for farming, forestry and fishing
communities and other groups.</t>
    </r>
  </si>
  <si>
    <r>
      <rPr>
        <sz val="11"/>
        <rFont val="Calibri"/>
        <family val="2"/>
        <scheme val="minor"/>
      </rPr>
      <t>(a)  studying functional statements, organizational
charts and project information to determine functions and responsibilities of workers and
work units and to identify areas of duplication;</t>
    </r>
  </si>
  <si>
    <r>
      <rPr>
        <sz val="11"/>
        <rFont val="Calibri"/>
        <family val="2"/>
        <scheme val="minor"/>
      </rPr>
      <t>(b)  establishing work measurement programmes and
analysing work samples to develop standards for labour
utilization;</t>
    </r>
  </si>
  <si>
    <r>
      <rPr>
        <sz val="11"/>
        <rFont val="Calibri"/>
        <family val="2"/>
        <scheme val="minor"/>
      </rPr>
      <t>(c)  analysing workforce utilization, facility layout,
operational data and production schedules and costs to determine optimum worker
and equipment efficiencies;</t>
    </r>
  </si>
  <si>
    <r>
      <rPr>
        <sz val="11"/>
        <rFont val="Calibri"/>
        <family val="2"/>
        <scheme val="minor"/>
      </rPr>
      <t>(d)  developing specifications for manufacture, and determining materials,
equipment, piping, material flows, capacities and layout of
plant and systems;</t>
    </r>
  </si>
  <si>
    <r>
      <rPr>
        <sz val="11"/>
        <rFont val="Calibri"/>
        <family val="2"/>
        <scheme val="minor"/>
      </rPr>
      <t>(e)  organizing and managing project labour and the delivery
of materials, plant and
equipment;</t>
    </r>
  </si>
  <si>
    <r>
      <rPr>
        <sz val="11"/>
        <rFont val="Calibri"/>
        <family val="2"/>
        <scheme val="minor"/>
      </rPr>
      <t>(f)  establishing standards and policies for installation,
modification, quality control, testing, inspection and maintenance according to
engineering principles and safety regulations;</t>
    </r>
  </si>
  <si>
    <r>
      <rPr>
        <sz val="11"/>
        <rFont val="Calibri"/>
        <family val="2"/>
        <scheme val="minor"/>
      </rPr>
      <t>(g)  inspecting plant to improve and maintain
performance;</t>
    </r>
  </si>
  <si>
    <r>
      <rPr>
        <sz val="11"/>
        <rFont val="Calibri"/>
        <family val="2"/>
        <scheme val="minor"/>
      </rPr>
      <t>(h)  directing the maintenance of plant buildings and
equipment, and coordinating the requirements for new
designs, surveys and maintenance schedules;</t>
    </r>
  </si>
  <si>
    <r>
      <rPr>
        <sz val="11"/>
        <rFont val="Calibri"/>
        <family val="2"/>
        <scheme val="minor"/>
      </rPr>
      <t>(j)  liaising with materials buying, storing and controlling departments to ensure a steady
flow of supplies.</t>
    </r>
  </si>
  <si>
    <r>
      <rPr>
        <sz val="11"/>
        <rFont val="Calibri"/>
        <family val="2"/>
        <scheme val="minor"/>
      </rPr>
      <t>(a)  conducting research and developing new or improved theories and methods related
to civil engineering;</t>
    </r>
  </si>
  <si>
    <r>
      <rPr>
        <sz val="11"/>
        <rFont val="Calibri"/>
        <family val="2"/>
        <scheme val="minor"/>
      </rPr>
      <t>(b)  advising on and designing structures such as bridges, dams, docks, roads, airports, railways, canals, pipelines, waste-disposal and flood- control systems, and industrial
and other large buildings;</t>
    </r>
  </si>
  <si>
    <r>
      <rPr>
        <sz val="11"/>
        <rFont val="Calibri"/>
        <family val="2"/>
        <scheme val="minor"/>
      </rPr>
      <t>(c)  determining and specifying construction
methods, materials and quality
standards, and directing construction work;</t>
    </r>
  </si>
  <si>
    <r>
      <rPr>
        <sz val="11"/>
        <rFont val="Calibri"/>
        <family val="2"/>
        <scheme val="minor"/>
      </rPr>
      <t>(d)  establishing control systems to ensure efficient functioning of structures as
well as safety and
environmental protection;</t>
    </r>
  </si>
  <si>
    <r>
      <rPr>
        <sz val="11"/>
        <rFont val="Calibri"/>
        <family val="2"/>
        <scheme val="minor"/>
      </rPr>
      <t>(e)  organizing and directing maintenance and repair of existing civil engineering
structures;</t>
    </r>
  </si>
  <si>
    <r>
      <rPr>
        <sz val="11"/>
        <rFont val="Calibri"/>
        <family val="2"/>
        <scheme val="minor"/>
      </rPr>
      <t>(f)  analysing the behaviour of soil and rock when placed under pressure by proposed
structures and designing structural foundations;</t>
    </r>
  </si>
  <si>
    <r>
      <rPr>
        <sz val="11"/>
        <rFont val="Calibri"/>
        <family val="2"/>
        <scheme val="minor"/>
      </rPr>
      <t>(g)  analysing the stability of structures and testing the behaviour and durability of
materials used in their
construction.</t>
    </r>
  </si>
  <si>
    <r>
      <rPr>
        <sz val="11"/>
        <rFont val="Calibri"/>
        <family val="2"/>
        <scheme val="minor"/>
      </rPr>
      <t>(a)  advising on and designing machinery and tools for manufacturing, mining,
construction, agricultural, and other industrial purposes;</t>
    </r>
  </si>
  <si>
    <r>
      <rPr>
        <sz val="11"/>
        <rFont val="Calibri"/>
        <family val="2"/>
        <scheme val="minor"/>
      </rPr>
      <t>(b)  advising on and designing steam, internal combustion and other non-electric motors
and engines used for propulsion of railway locomotives, road vehicles or
aircraft, or for driving industrial or other machinery;</t>
    </r>
  </si>
  <si>
    <r>
      <rPr>
        <sz val="11"/>
        <rFont val="Calibri"/>
        <family val="2"/>
        <scheme val="minor"/>
      </rPr>
      <t>(d)  advising on and designing airframes, undercarriages and other equipment for aircraft as well as suspension systems,
brakes, vehicle bodies and
other components of road vehicles;</t>
    </r>
  </si>
  <si>
    <r>
      <rPr>
        <sz val="11"/>
        <rFont val="Calibri"/>
        <family val="2"/>
        <scheme val="minor"/>
      </rPr>
      <t>(e)  advising on and designing non-electrical parts of
apparatus or products such as word processors, computers, precision instruments, cameras
and projectors;</t>
    </r>
  </si>
  <si>
    <r>
      <rPr>
        <sz val="11"/>
        <rFont val="Calibri"/>
        <family val="2"/>
        <scheme val="minor"/>
      </rPr>
      <t>(f)  establishing control standards and procedures to ensure efficient functioning
and safety of machines, machinery, tools, motors, engines, industrial plant,
equipment or systems;</t>
    </r>
  </si>
  <si>
    <r>
      <rPr>
        <sz val="11"/>
        <rFont val="Calibri"/>
        <family val="2"/>
        <scheme val="minor"/>
      </rPr>
      <t>(g)  ensuring that equipment, operation and maintenance
comply with design
specifications and safety standards.</t>
    </r>
  </si>
  <si>
    <r>
      <rPr>
        <sz val="11"/>
        <rFont val="Calibri"/>
        <family val="2"/>
        <scheme val="minor"/>
      </rPr>
      <t>(a)  applying knowledge of engineering to the design,
development and evaluation of biological and health systems and products such as artificial organs, prostheses, and
instrumentation;</t>
    </r>
  </si>
  <si>
    <r>
      <rPr>
        <sz val="11"/>
        <rFont val="Calibri"/>
        <family val="2"/>
        <scheme val="minor"/>
      </rPr>
      <t>(c)  designing components of optical instruments such as
lenses, microscopes, telescopes, lasers, optical disc systems and other equipment
that utilize the properties of light;</t>
    </r>
  </si>
  <si>
    <r>
      <rPr>
        <sz val="11"/>
        <rFont val="Calibri"/>
        <family val="2"/>
        <scheme val="minor"/>
      </rPr>
      <t>(d)  designing, testing, and coordinating the development of explosive ordnance material to meet military procurement
specifications;</t>
    </r>
  </si>
  <si>
    <r>
      <rPr>
        <sz val="11"/>
        <rFont val="Calibri"/>
        <family val="2"/>
        <scheme val="minor"/>
      </rPr>
      <t>(e)  designing and overseeing the construction and operation of nuclear reactors and power
plants and nuclear fuels reprocessing and reclamation
systems;</t>
    </r>
  </si>
  <si>
    <r>
      <rPr>
        <sz val="11"/>
        <rFont val="Calibri"/>
        <family val="2"/>
        <scheme val="minor"/>
      </rPr>
      <t>(f)  designing and developing nuclear equipment such as
reactor cores, radiation shielding and associated instrumentation and control
mechanisms;</t>
    </r>
  </si>
  <si>
    <r>
      <rPr>
        <sz val="11"/>
        <rFont val="Calibri"/>
        <family val="2"/>
        <scheme val="minor"/>
      </rPr>
      <t>(h)  studying and advising on engineering aspects of particular manufacturing processes, such as those related to glass, ceramics, textiles, leather products,
wood and printing;</t>
    </r>
  </si>
  <si>
    <r>
      <rPr>
        <sz val="11"/>
        <rFont val="Calibri"/>
        <family val="2"/>
        <scheme val="minor"/>
      </rPr>
      <t>(i)  identifying potential hazards and introducing safety
procedures and devices.</t>
    </r>
  </si>
  <si>
    <r>
      <rPr>
        <sz val="11"/>
        <rFont val="Calibri"/>
        <family val="2"/>
        <scheme val="minor"/>
      </rPr>
      <t>(b)  supervising, controlling and monitoring the operation
of electrical generation,
transmission and distribution systems;</t>
    </r>
  </si>
  <si>
    <r>
      <rPr>
        <sz val="11"/>
        <rFont val="Calibri"/>
        <family val="2"/>
        <scheme val="minor"/>
      </rPr>
      <t>(c)  advising on and designing systems for electrical motors, electrical traction and other
equipment, or electrical
domestic appliances;</t>
    </r>
  </si>
  <si>
    <r>
      <rPr>
        <sz val="11"/>
        <rFont val="Calibri"/>
        <family val="2"/>
        <scheme val="minor"/>
      </rPr>
      <t>(d)  specifying electrical installation and application in industrial and other buildings
and objects;</t>
    </r>
  </si>
  <si>
    <r>
      <rPr>
        <sz val="11"/>
        <rFont val="Calibri"/>
        <family val="2"/>
        <scheme val="minor"/>
      </rPr>
      <t>(e)  establishing control standards and procedures to monitor performance and safety of electrical generating
and distribution systems, motors and equipment;</t>
    </r>
  </si>
  <si>
    <r>
      <rPr>
        <sz val="11"/>
        <rFont val="Calibri"/>
        <family val="2"/>
        <scheme val="minor"/>
      </rPr>
      <t>(f)  determining manufacturing methods for electrical systems,
as well as maintenance and repair of existing electrical systems, motors and
equipment.</t>
    </r>
  </si>
  <si>
    <r>
      <rPr>
        <sz val="11"/>
        <rFont val="Calibri"/>
        <family val="2"/>
        <scheme val="minor"/>
      </rPr>
      <t>(a)  developing new or
improved architectural theories and methods;</t>
    </r>
  </si>
  <si>
    <r>
      <rPr>
        <sz val="11"/>
        <rFont val="Calibri"/>
        <family val="2"/>
        <scheme val="minor"/>
      </rPr>
      <t>(b)  inspecting sites and consulting clients,
management and other stakeholders to determine type, style and size of proposed buildings and
alterations to existing buildings;</t>
    </r>
  </si>
  <si>
    <r>
      <rPr>
        <sz val="11"/>
        <rFont val="Calibri"/>
        <family val="2"/>
        <scheme val="minor"/>
      </rPr>
      <t>(c)  providing information regarding designs, materials
and estimated building times;</t>
    </r>
  </si>
  <si>
    <r>
      <rPr>
        <sz val="11"/>
        <rFont val="Calibri"/>
        <family val="2"/>
        <scheme val="minor"/>
      </rPr>
      <t>(d)  preparing project documentation, including
sketches and scale drawings, and integrating structural, mechanical and aesthetic
elements in final designs;</t>
    </r>
  </si>
  <si>
    <r>
      <rPr>
        <sz val="11"/>
        <rFont val="Calibri"/>
        <family val="2"/>
        <scheme val="minor"/>
      </rPr>
      <t>(e)  writing specifications and contract documents for use by builders and calling tenders on
behalf of clients;</t>
    </r>
  </si>
  <si>
    <r>
      <rPr>
        <sz val="11"/>
        <rFont val="Calibri"/>
        <family val="2"/>
        <scheme val="minor"/>
      </rPr>
      <t>(f)  making necessary contacts to ensure feasibility of projects
regarding style, cost, timing
and compliance with regulations;</t>
    </r>
  </si>
  <si>
    <r>
      <rPr>
        <sz val="11"/>
        <rFont val="Calibri"/>
        <family val="2"/>
        <scheme val="minor"/>
      </rPr>
      <t>(g)  identifying and finding best solutions for problems
regarding function and quality of interior environments of buildings and making necessary designs, drawings
and plans;</t>
    </r>
  </si>
  <si>
    <r>
      <rPr>
        <sz val="11"/>
        <rFont val="Calibri"/>
        <family val="2"/>
        <scheme val="minor"/>
      </rPr>
      <t>(h)  monitoring construction or rehabilitation work to ensure compliance with specifications
and quality standards;</t>
    </r>
  </si>
  <si>
    <r>
      <rPr>
        <sz val="11"/>
        <rFont val="Calibri"/>
        <family val="2"/>
        <scheme val="minor"/>
      </rPr>
      <t>(i)  maintaining technical liaison and consultancy with
other relevant specialists.</t>
    </r>
  </si>
  <si>
    <r>
      <rPr>
        <sz val="11"/>
        <rFont val="Calibri"/>
        <family val="2"/>
        <scheme val="minor"/>
      </rPr>
      <t>(a)  developing new or improved theories and
methods and providing advice
on policy related to landscape architecture;</t>
    </r>
  </si>
  <si>
    <r>
      <rPr>
        <sz val="11"/>
        <rFont val="Calibri"/>
        <family val="2"/>
        <scheme val="minor"/>
      </rPr>
      <t>(b)  inspecting sites and consulting clients,
management and other stakeholders to determine type, style and size of
proposed buildings, parks, roads and other open spaces;</t>
    </r>
  </si>
  <si>
    <r>
      <rPr>
        <sz val="11"/>
        <rFont val="Calibri"/>
        <family val="2"/>
        <scheme val="minor"/>
      </rPr>
      <t>(c)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t>
    </r>
  </si>
  <si>
    <r>
      <rPr>
        <sz val="11"/>
        <rFont val="Calibri"/>
        <family val="2"/>
        <scheme val="minor"/>
      </rPr>
      <t>(d)  preparing reports, strategic plans, site plans, working
drawings, specifications and cost estimates for land development, showing location and details of proposals, including ground
modelling, structures, vegetation and access;</t>
    </r>
  </si>
  <si>
    <r>
      <rPr>
        <sz val="11"/>
        <rFont val="Calibri"/>
        <family val="2"/>
        <scheme val="minor"/>
      </rPr>
      <t>(e)  writing specifications and contract documents for use by builders and civil engineering contractors and calling tenders
on behalf of clients;</t>
    </r>
  </si>
  <si>
    <r>
      <rPr>
        <sz val="11"/>
        <rFont val="Calibri"/>
        <family val="2"/>
        <scheme val="minor"/>
      </rPr>
      <t>(g)  identifying and finding best solutions for problems
regarding function and quality of exterior environments and
making necessary designs, drawings and plans;</t>
    </r>
  </si>
  <si>
    <r>
      <rPr>
        <sz val="11"/>
        <rFont val="Calibri"/>
        <family val="2"/>
        <scheme val="minor"/>
      </rPr>
      <t>formulating design concepts for clothing, textiles, industrial, commercial and
consumer products, and jewellery;</t>
    </r>
  </si>
  <si>
    <r>
      <rPr>
        <sz val="11"/>
        <rFont val="Calibri"/>
        <family val="2"/>
        <scheme val="minor"/>
      </rPr>
      <t>harmonizing aesthetic considerations with technical, functional, ecological and
production requirements;</t>
    </r>
  </si>
  <si>
    <r>
      <rPr>
        <sz val="11"/>
        <rFont val="Calibri"/>
        <family val="2"/>
        <scheme val="minor"/>
      </rPr>
      <t>preparing sketches, diagrams, illustrations, plans, samples and models to communicate
design concepts;</t>
    </r>
  </si>
  <si>
    <r>
      <rPr>
        <sz val="11"/>
        <rFont val="Calibri"/>
        <family val="2"/>
        <scheme val="minor"/>
      </rPr>
      <t>negotiating design solutions with clients, management, and
sales and manufacturing staff;</t>
    </r>
  </si>
  <si>
    <r>
      <rPr>
        <sz val="11"/>
        <rFont val="Calibri"/>
        <family val="2"/>
        <scheme val="minor"/>
      </rPr>
      <t>selecting, specifying and recommending functional and aesthetic materials, production methods and finishes for
manufacture;</t>
    </r>
  </si>
  <si>
    <r>
      <rPr>
        <sz val="11"/>
        <rFont val="Calibri"/>
        <family val="2"/>
        <scheme val="minor"/>
      </rPr>
      <t>supervising the preparation of patterns, programmes and
tooling, and of the manufacturing process.</t>
    </r>
  </si>
  <si>
    <r>
      <rPr>
        <sz val="11"/>
        <rFont val="Calibri"/>
        <family val="2"/>
        <scheme val="minor"/>
      </rPr>
      <t>(a)  surveying, measuring and describing land surfaces,
mines, underground surfaces, sea, river and lake beds;</t>
    </r>
  </si>
  <si>
    <r>
      <rPr>
        <sz val="11"/>
        <rFont val="Calibri"/>
        <family val="2"/>
        <scheme val="minor"/>
      </rPr>
      <t>(b)  noting exact position of various features and recording
survey data in digital form;</t>
    </r>
  </si>
  <si>
    <r>
      <rPr>
        <sz val="11"/>
        <rFont val="Calibri"/>
        <family val="2"/>
        <scheme val="minor"/>
      </rPr>
      <t>(c)  making charts and maps to be used in determining
navigable waters and channels
and in planning construction of marine structures;</t>
    </r>
  </si>
  <si>
    <r>
      <rPr>
        <sz val="11"/>
        <rFont val="Calibri"/>
        <family val="2"/>
        <scheme val="minor"/>
      </rPr>
      <t>(e)  designing, compiling and revising maps and charts using aerial and other photographs,
satellite imagery, survey documents and data, existing maps and records, reports and
statistics;</t>
    </r>
  </si>
  <si>
    <r>
      <rPr>
        <sz val="11"/>
        <rFont val="Calibri"/>
        <family val="2"/>
        <scheme val="minor"/>
      </rPr>
      <t>(f)  undertaking research and development of surveying and
photogrammetric measurement systems, cadastral systems and land
information systems;</t>
    </r>
  </si>
  <si>
    <r>
      <rPr>
        <sz val="11"/>
        <rFont val="Calibri"/>
        <family val="2"/>
        <scheme val="minor"/>
      </rPr>
      <t>(g)  studying and advising on technical, aesthetic and economic aspects of map
production;</t>
    </r>
  </si>
  <si>
    <r>
      <rPr>
        <sz val="11"/>
        <rFont val="Calibri"/>
        <family val="2"/>
        <scheme val="minor"/>
      </rPr>
      <t>(h)  maintaining technical liaison and consultancy with
other relevant specialists.</t>
    </r>
  </si>
  <si>
    <r>
      <rPr>
        <sz val="11"/>
        <rFont val="Calibri"/>
        <family val="2"/>
        <scheme val="minor"/>
      </rPr>
      <t>designing complex graphics and animation to satisfy functional, aesthetic and creative requirements of the
design brief;</t>
    </r>
  </si>
  <si>
    <r>
      <rPr>
        <sz val="11"/>
        <rFont val="Calibri"/>
        <family val="2"/>
        <scheme val="minor"/>
      </rPr>
      <t>creating two-dimensional and three-dimensional images depicting objects in motion or illustrating a process, using
computer animation or modelling programmes;</t>
    </r>
  </si>
  <si>
    <r>
      <rPr>
        <sz val="11"/>
        <rFont val="Calibri"/>
        <family val="2"/>
        <scheme val="minor"/>
      </rPr>
      <t>Graphic and Multimedia
Designers</t>
    </r>
  </si>
  <si>
    <r>
      <rPr>
        <sz val="11"/>
        <rFont val="Calibri"/>
        <family val="2"/>
        <scheme val="minor"/>
      </rPr>
      <t>negotiating design solutions with clients, management,
sales and production staff;</t>
    </r>
  </si>
  <si>
    <r>
      <rPr>
        <sz val="11"/>
        <rFont val="Calibri"/>
        <family val="2"/>
        <scheme val="minor"/>
      </rPr>
      <t>selecting, specifying or recommending functional and aesthetic materials and media
for publication, delivery or display;</t>
    </r>
  </si>
  <si>
    <r>
      <rPr>
        <sz val="11"/>
        <rFont val="Calibri"/>
        <family val="2"/>
        <scheme val="minor"/>
      </rPr>
      <t>supervising or carrying out production in the chosen
media.</t>
    </r>
  </si>
  <si>
    <r>
      <rPr>
        <sz val="11"/>
        <rFont val="Calibri"/>
        <family val="2"/>
        <scheme val="minor"/>
      </rPr>
      <t>(a)  planning, providing and evaluating nursing care for patients according to the practice and standards of
modern nursing;</t>
    </r>
  </si>
  <si>
    <r>
      <rPr>
        <sz val="11"/>
        <rFont val="Calibri"/>
        <family val="2"/>
        <scheme val="minor"/>
      </rPr>
      <t>(b)  coordinating the care of patients in consultation with other health professionals and
members of health teams;</t>
    </r>
  </si>
  <si>
    <r>
      <rPr>
        <sz val="11"/>
        <rFont val="Calibri"/>
        <family val="2"/>
        <scheme val="minor"/>
      </rPr>
      <t>(c)  developing and implementing care plans for
the biological, social and psychological treatment of
patients in collaboration with other health professionals;</t>
    </r>
  </si>
  <si>
    <r>
      <rPr>
        <sz val="11"/>
        <rFont val="Calibri"/>
        <family val="2"/>
        <scheme val="minor"/>
      </rPr>
      <t>(d)  planning and providing personal care, treatments and
therapies including administering medications, and monitoring responses to
treatment or care plan;</t>
    </r>
  </si>
  <si>
    <r>
      <rPr>
        <sz val="11"/>
        <rFont val="Calibri"/>
        <family val="2"/>
        <scheme val="minor"/>
      </rPr>
      <t>(e)  cleaning wounds and applying surgical dressings
and bandages;</t>
    </r>
  </si>
  <si>
    <r>
      <rPr>
        <sz val="11"/>
        <rFont val="Calibri"/>
        <family val="2"/>
        <scheme val="minor"/>
      </rPr>
      <t>(f)  monitoring pain and discomfort experienced by patients and alleviating pain using a variety of therapies,
including the use of painkilling drugs;</t>
    </r>
  </si>
  <si>
    <r>
      <rPr>
        <sz val="11"/>
        <rFont val="Calibri"/>
        <family val="2"/>
        <scheme val="minor"/>
      </rPr>
      <t>(g)  planning and participating in health education
programmes, health promotion and nurse education activities in clinical and community
settings;</t>
    </r>
  </si>
  <si>
    <r>
      <rPr>
        <sz val="11"/>
        <rFont val="Calibri"/>
        <family val="2"/>
        <scheme val="minor"/>
      </rPr>
      <t>(h)  answering questions from patients and families and
providing information about
prevention of ill-health, treatment and care;</t>
    </r>
  </si>
  <si>
    <r>
      <rPr>
        <sz val="11"/>
        <rFont val="Calibri"/>
        <family val="2"/>
        <scheme val="minor"/>
      </rPr>
      <t>(i)  supervising and coordinating the work of other nursing, health and personal
care workers;</t>
    </r>
  </si>
  <si>
    <r>
      <rPr>
        <sz val="11"/>
        <rFont val="Calibri"/>
        <family val="2"/>
        <scheme val="minor"/>
      </rPr>
      <t>(j)  conducting research on nursing practices and
procedures and disseminating findings such as through
scientific papers and reports.</t>
    </r>
  </si>
  <si>
    <r>
      <rPr>
        <sz val="11"/>
        <rFont val="Calibri"/>
        <family val="2"/>
        <scheme val="minor"/>
      </rPr>
      <t>(a)  planning, providing and evaluating care and support
services for women and babies before, during and after pregnancy and childbirth according to the practice and
standards of modern midwifery care;</t>
    </r>
  </si>
  <si>
    <r>
      <rPr>
        <sz val="11"/>
        <rFont val="Calibri"/>
        <family val="2"/>
        <scheme val="minor"/>
      </rPr>
      <t>(b)  providing advice to women and families and conducting community
education on health, nutrition, hygiene, exercise, birth and emergency plans, breastfeeding, infant care, family planning and contraception, lifestyle and other topics related to
pregnancy and childbirth;</t>
    </r>
  </si>
  <si>
    <r>
      <rPr>
        <sz val="11"/>
        <rFont val="Calibri"/>
        <family val="2"/>
        <scheme val="minor"/>
      </rPr>
      <t>(c)  assessing progress during pregnancy and childbirth,
managing complications and recognizing warning signs requiring referral to a medical
doctor with specialized skills in obstetrics;</t>
    </r>
  </si>
  <si>
    <r>
      <rPr>
        <sz val="11"/>
        <rFont val="Calibri"/>
        <family val="2"/>
        <scheme val="minor"/>
      </rPr>
      <t>(d)  monitoring the health status of newborns, managing complications and recognizing
warning signs requiring referral to a medical doctor with specialized skills in
neonatology;</t>
    </r>
  </si>
  <si>
    <r>
      <rPr>
        <sz val="11"/>
        <rFont val="Calibri"/>
        <family val="2"/>
        <scheme val="minor"/>
      </rPr>
      <t>(e)  monitoring  pain and discomfort experienced by women during labour and delivery and alleviating pain using a variety of therapies,
including the use of painkilling drugs;</t>
    </r>
  </si>
  <si>
    <r>
      <rPr>
        <sz val="11"/>
        <rFont val="Calibri"/>
        <family val="2"/>
        <scheme val="minor"/>
      </rPr>
      <t>(f)   reporting births to government authorities to meet legal and professional
requirements;</t>
    </r>
  </si>
  <si>
    <r>
      <rPr>
        <sz val="11"/>
        <rFont val="Calibri"/>
        <family val="2"/>
        <scheme val="minor"/>
      </rPr>
      <t>(g)  conducting research on midwifery practices and
procedures and disseminating findings such as through
scientific papers and reports;</t>
    </r>
  </si>
  <si>
    <r>
      <rPr>
        <sz val="11"/>
        <rFont val="Calibri"/>
        <family val="2"/>
        <scheme val="minor"/>
      </rPr>
      <t>(h)  planning and conducting midwifery education activities
in clinical and community
settings.</t>
    </r>
  </si>
  <si>
    <r>
      <rPr>
        <sz val="11"/>
        <rFont val="Calibri"/>
        <family val="2"/>
        <scheme val="minor"/>
      </rPr>
      <t>(a)  conducting physical examinations of patients and interviewing them and their families to determine their
health status;</t>
    </r>
  </si>
  <si>
    <r>
      <rPr>
        <sz val="11"/>
        <rFont val="Calibri"/>
        <family val="2"/>
        <scheme val="minor"/>
      </rPr>
      <t>(c)  evaluating and documenting patients’
progress through treatment plans;</t>
    </r>
  </si>
  <si>
    <r>
      <rPr>
        <sz val="11"/>
        <rFont val="Calibri"/>
        <family val="2"/>
        <scheme val="minor"/>
      </rPr>
      <t>(d)  providing health, nutrition and lifestyle advice to individuals, families and
communities;</t>
    </r>
  </si>
  <si>
    <r>
      <rPr>
        <sz val="11"/>
        <rFont val="Calibri"/>
        <family val="2"/>
        <scheme val="minor"/>
      </rPr>
      <t>(e)  prescribing and preparing traditional medicines, such as
herbal, plant, mineral and animal extracts, to stimulate the body’s capacity for self-
healing;</t>
    </r>
  </si>
  <si>
    <r>
      <rPr>
        <sz val="11"/>
        <rFont val="Calibri"/>
        <family val="2"/>
        <scheme val="minor"/>
      </rPr>
      <t>(f)  exchanging  information about patients with other
health care workers as needed
to ensure continuing and comprehensive health care;</t>
    </r>
  </si>
  <si>
    <r>
      <rPr>
        <sz val="11"/>
        <rFont val="Calibri"/>
        <family val="2"/>
        <scheme val="minor"/>
      </rPr>
      <t>(g)  conducting research into traditional and complementary medicines and treatments and disseminating findings such as through scientific papers and
reports.</t>
    </r>
  </si>
  <si>
    <r>
      <rPr>
        <sz val="11"/>
        <rFont val="Calibri"/>
        <family val="2"/>
        <scheme val="minor"/>
      </rPr>
      <t>(a)  receiving prescriptions for medicinal products from medical doctors and other
health professionals, checking patients’ medicine histories, and ensuring proper dosage and methods of administration and drug compatibility before
dispensing;</t>
    </r>
  </si>
  <si>
    <r>
      <rPr>
        <sz val="11"/>
        <rFont val="Calibri"/>
        <family val="2"/>
        <scheme val="minor"/>
      </rPr>
      <t>(b)  preparing or supervising the preparation and labelling of liquid medicines, ointments,
powders, tablets and other
medications to fill prescriptions;</t>
    </r>
  </si>
  <si>
    <r>
      <rPr>
        <sz val="11"/>
        <rFont val="Calibri"/>
        <family val="2"/>
        <scheme val="minor"/>
      </rPr>
      <t>(c)  providing information and advice to prescribers and
clients regarding drug interactions, incompatibility and contraindications, side
effects, dosage and proper medication storage;</t>
    </r>
  </si>
  <si>
    <r>
      <rPr>
        <sz val="11"/>
        <rFont val="Calibri"/>
        <family val="2"/>
        <scheme val="minor"/>
      </rPr>
      <t>(d)  collaborating with other health care professionals to plan, monitor, review, and
evaluate the quality and effectiveness of the medicine therapy of individual patients,
and the effectiveness of particular drugs or therapies;</t>
    </r>
  </si>
  <si>
    <r>
      <rPr>
        <sz val="11"/>
        <rFont val="Calibri"/>
        <family val="2"/>
        <scheme val="minor"/>
      </rPr>
      <t>(e)  maintaining prescription files and recording the issue of narcotics, poisons and habit- forming drugs in accordance
with legal and professional requirements;</t>
    </r>
  </si>
  <si>
    <r>
      <rPr>
        <sz val="11"/>
        <rFont val="Calibri"/>
        <family val="2"/>
        <scheme val="minor"/>
      </rPr>
      <t>(f)  storing and preserving vaccines, serums and other
drugs subject to deterioration;</t>
    </r>
  </si>
  <si>
    <r>
      <rPr>
        <sz val="11"/>
        <rFont val="Calibri"/>
        <family val="2"/>
        <scheme val="minor"/>
      </rPr>
      <t>(g)  advising clients on and supplying non-prescription medicines and diagnostic and therapeutic aids for common
conditions;</t>
    </r>
  </si>
  <si>
    <r>
      <rPr>
        <sz val="11"/>
        <rFont val="Calibri"/>
        <family val="2"/>
        <scheme val="minor"/>
      </rPr>
      <t>(h)  supervising and coordinating the work of pharmacy technicians,
pharmacy interns and pharmacy sales assistants;</t>
    </r>
  </si>
  <si>
    <r>
      <rPr>
        <sz val="11"/>
        <rFont val="Calibri"/>
        <family val="2"/>
        <scheme val="minor"/>
      </rPr>
      <t>(i)  conducting research to develop and improve
pharmaceuticals, cosmetics and related chemical products;</t>
    </r>
  </si>
  <si>
    <r>
      <rPr>
        <sz val="11"/>
        <rFont val="Calibri"/>
        <family val="2"/>
        <scheme val="minor"/>
      </rPr>
      <t>(j)  conferring with chemists, engineering professionals and
other professionals about manufacturing techniques and
ingredients;</t>
    </r>
  </si>
  <si>
    <r>
      <rPr>
        <sz val="11"/>
        <rFont val="Calibri"/>
        <family val="2"/>
        <scheme val="minor"/>
      </rPr>
      <t>(k)  testing and analysing drugs to determine their
identity, purity and strength in relation to specified standards;</t>
    </r>
  </si>
  <si>
    <r>
      <rPr>
        <sz val="11"/>
        <rFont val="Calibri"/>
        <family val="2"/>
        <scheme val="minor"/>
      </rPr>
      <t>(l)   evaluating labels, packaging and advertising of
drug products;</t>
    </r>
  </si>
  <si>
    <r>
      <rPr>
        <sz val="11"/>
        <rFont val="Calibri"/>
        <family val="2"/>
        <scheme val="minor"/>
      </rPr>
      <t>(a)  administering muscle, nerve, joint functional ability and other tests to identify and assess physical problems of
patients;</t>
    </r>
  </si>
  <si>
    <r>
      <rPr>
        <sz val="11"/>
        <rFont val="Calibri"/>
        <family val="2"/>
        <scheme val="minor"/>
      </rPr>
      <t>(b)  establishing treatment goals with patients and
designing treatment programmes to reduce physical pain, strengthen muscles, improve cardiothoracic, cardiovascular and respiratory functions, restore joint mobility and
improve balance and coordination;</t>
    </r>
  </si>
  <si>
    <r>
      <rPr>
        <sz val="11"/>
        <rFont val="Calibri"/>
        <family val="2"/>
        <scheme val="minor"/>
      </rPr>
      <t>(c)  developing, implementing and monitoring programmes
and treatments using the therapeutic properties of exercise, heat, cold, massage, manipulation, hydrotherapy, electrotherapy, ultraviolet and infra-red light and ultrasound
in the treatment of patients;</t>
    </r>
  </si>
  <si>
    <r>
      <rPr>
        <sz val="11"/>
        <rFont val="Calibri"/>
        <family val="2"/>
        <scheme val="minor"/>
      </rPr>
      <t>(d)  instructing patients and their families in procedures to be continued outside clinical
settings;</t>
    </r>
  </si>
  <si>
    <r>
      <rPr>
        <sz val="11"/>
        <rFont val="Calibri"/>
        <family val="2"/>
        <scheme val="minor"/>
      </rPr>
      <t>(f)  developing and implementing programmes for screening and prevention of common physical ailments and
disorders;</t>
    </r>
  </si>
  <si>
    <r>
      <rPr>
        <sz val="11"/>
        <rFont val="Calibri"/>
        <family val="2"/>
        <scheme val="minor"/>
      </rPr>
      <t>(g)  supervising the work of physiotherapy assistants and
others.</t>
    </r>
  </si>
  <si>
    <r>
      <rPr>
        <sz val="11"/>
        <rFont val="Calibri"/>
        <family val="2"/>
        <scheme val="minor"/>
      </rPr>
      <t>(a)  designing and modifying curricula and preparing
courses of study in accordance with requirements;</t>
    </r>
  </si>
  <si>
    <r>
      <rPr>
        <sz val="11"/>
        <rFont val="Calibri"/>
        <family val="2"/>
        <scheme val="minor"/>
      </rPr>
      <t>(c)  stimulating discussion and independent thought among
students;</t>
    </r>
  </si>
  <si>
    <r>
      <rPr>
        <sz val="11"/>
        <rFont val="Calibri"/>
        <family val="2"/>
        <scheme val="minor"/>
      </rPr>
      <t>(d)  supervising, where appropriate, experimental and practical work undertaken by
students;</t>
    </r>
  </si>
  <si>
    <r>
      <rPr>
        <sz val="11"/>
        <rFont val="Calibri"/>
        <family val="2"/>
        <scheme val="minor"/>
      </rPr>
      <t>(e)  administering, evaluating and marking examination
papers and tests;</t>
    </r>
  </si>
  <si>
    <r>
      <rPr>
        <sz val="11"/>
        <rFont val="Calibri"/>
        <family val="2"/>
        <scheme val="minor"/>
      </rPr>
      <t>(f)  directing research of postgraduate students or other
members of department;</t>
    </r>
  </si>
  <si>
    <r>
      <rPr>
        <sz val="11"/>
        <rFont val="Calibri"/>
        <family val="2"/>
        <scheme val="minor"/>
      </rPr>
      <t>(g)  researching into and developing concepts, theories and operational methods for application in industrial and
other fields;</t>
    </r>
  </si>
  <si>
    <r>
      <rPr>
        <sz val="11"/>
        <rFont val="Calibri"/>
        <family val="2"/>
        <scheme val="minor"/>
      </rPr>
      <t>(i)  participating in departmental and faculty
meetings and in conferences and seminars.</t>
    </r>
  </si>
  <si>
    <r>
      <rPr>
        <sz val="11"/>
        <rFont val="Calibri"/>
        <family val="2"/>
        <scheme val="minor"/>
      </rPr>
      <t>(a)  developing curricula and planning course content and
methods of instruction;</t>
    </r>
  </si>
  <si>
    <r>
      <rPr>
        <sz val="11"/>
        <rFont val="Calibri"/>
        <family val="2"/>
        <scheme val="minor"/>
      </rPr>
      <t>(b)  determining training needs of students or workers and liaising with individuals, industry and other education sectors to ensure provision of relevant education and training
programmes;</t>
    </r>
  </si>
  <si>
    <r>
      <rPr>
        <sz val="11"/>
        <rFont val="Calibri"/>
        <family val="2"/>
        <scheme val="minor"/>
      </rPr>
      <t>(c)  presenting lectures and conducting discussions to
increase students’ knowledge and competence;</t>
    </r>
  </si>
  <si>
    <r>
      <rPr>
        <sz val="11"/>
        <rFont val="Calibri"/>
        <family val="2"/>
        <scheme val="minor"/>
      </rPr>
      <t>(d)  instructing and monitoring students in the use of tools, equipment and materials and the prevention of injury and
damage;</t>
    </r>
  </si>
  <si>
    <r>
      <rPr>
        <sz val="11"/>
        <rFont val="Calibri"/>
        <family val="2"/>
        <scheme val="minor"/>
      </rPr>
      <t>(e)  observing and evaluating students’ work to determine progress, provide feedback and make suggestions for
improvement;</t>
    </r>
  </si>
  <si>
    <r>
      <rPr>
        <sz val="11"/>
        <rFont val="Calibri"/>
        <family val="2"/>
        <scheme val="minor"/>
      </rPr>
      <t>(f)  administering oral, written or performance tests to
measure progress, evaluate
training effectiveness and assess competency;</t>
    </r>
  </si>
  <si>
    <r>
      <rPr>
        <sz val="11"/>
        <rFont val="Calibri"/>
        <family val="2"/>
        <scheme val="minor"/>
      </rPr>
      <t>(g)  preparing reports and maintaining records such as student grades, attendance rolls and training activity
details;</t>
    </r>
  </si>
  <si>
    <r>
      <rPr>
        <sz val="11"/>
        <rFont val="Calibri"/>
        <family val="2"/>
        <scheme val="minor"/>
      </rPr>
      <t>(h)  supervising independent or group projects, field
placements, laboratory work
or other training;</t>
    </r>
  </si>
  <si>
    <r>
      <rPr>
        <sz val="11"/>
        <rFont val="Calibri"/>
        <family val="2"/>
        <scheme val="minor"/>
      </rPr>
      <t>(i)  providing individualized instruction and tutorial or
remedial instruction;</t>
    </r>
  </si>
  <si>
    <r>
      <rPr>
        <sz val="11"/>
        <rFont val="Calibri"/>
        <family val="2"/>
        <scheme val="minor"/>
      </rPr>
      <t>(j)  conducting on-the-job training sessions to teach and
demonstrate principles, techniques, procedures or methods of designated
subjects.</t>
    </r>
  </si>
  <si>
    <r>
      <rPr>
        <sz val="11"/>
        <rFont val="Calibri"/>
        <family val="2"/>
        <scheme val="minor"/>
      </rPr>
      <t>(a)  designing and modifying curricula and preparing
educational courses of study in
accordance with curriculum guidelines;</t>
    </r>
  </si>
  <si>
    <r>
      <rPr>
        <sz val="11"/>
        <rFont val="Calibri"/>
        <family val="2"/>
        <scheme val="minor"/>
      </rPr>
      <t>(b)  establishing and enforcing rules for behaviour and
procedures for maintaining order among students;</t>
    </r>
  </si>
  <si>
    <r>
      <rPr>
        <sz val="11"/>
        <rFont val="Calibri"/>
        <family val="2"/>
        <scheme val="minor"/>
      </rPr>
      <t>(c)  preparing and giving lessons, discussions, and
demonstrations in one or more subjects;</t>
    </r>
  </si>
  <si>
    <r>
      <rPr>
        <sz val="11"/>
        <rFont val="Calibri"/>
        <family val="2"/>
        <scheme val="minor"/>
      </rPr>
      <t>(d)  establishing clear objectives for all lessons, units, and projects and
communicating those
objectives to students;</t>
    </r>
  </si>
  <si>
    <r>
      <rPr>
        <sz val="11"/>
        <rFont val="Calibri"/>
        <family val="2"/>
        <scheme val="minor"/>
      </rPr>
      <t>(f)  adapting teaching methods and instructional materials to meet students’ varying needs
and interests;</t>
    </r>
  </si>
  <si>
    <r>
      <rPr>
        <sz val="11"/>
        <rFont val="Calibri"/>
        <family val="2"/>
        <scheme val="minor"/>
      </rPr>
      <t>(g)  observing and evaluating students’ performance and
behaviour;</t>
    </r>
  </si>
  <si>
    <r>
      <rPr>
        <sz val="11"/>
        <rFont val="Calibri"/>
        <family val="2"/>
        <scheme val="minor"/>
      </rPr>
      <t>(h)  preparing, administering and marking tests,
assignments and examinations to evaluate pupils' progress;</t>
    </r>
  </si>
  <si>
    <r>
      <rPr>
        <sz val="11"/>
        <rFont val="Calibri"/>
        <family val="2"/>
        <scheme val="minor"/>
      </rPr>
      <t>(i)  preparing reports about pupils’ work and conferring
with other teachers and parents;</t>
    </r>
  </si>
  <si>
    <r>
      <rPr>
        <sz val="11"/>
        <rFont val="Calibri"/>
        <family val="2"/>
        <scheme val="minor"/>
      </rPr>
      <t>(j)  participating in meetings concerning the school’s
educational or organizational
policies;</t>
    </r>
  </si>
  <si>
    <r>
      <rPr>
        <sz val="11"/>
        <rFont val="Calibri"/>
        <family val="2"/>
        <scheme val="minor"/>
      </rPr>
      <t>(k)  planning, organizing and participating in school
activities such as excursions, sporting events and concerts.</t>
    </r>
  </si>
  <si>
    <r>
      <rPr>
        <sz val="11"/>
        <rFont val="Calibri"/>
        <family val="2"/>
        <scheme val="minor"/>
      </rPr>
      <t>(a)  preparing daily and longer term lesson plans in
accordance with curriculum
guidelines;</t>
    </r>
  </si>
  <si>
    <r>
      <rPr>
        <sz val="11"/>
        <rFont val="Calibri"/>
        <family val="2"/>
        <scheme val="minor"/>
      </rPr>
      <t>(b)  instructing children individually and in groups,
using various teaching methods and materials (e.g. computers, books, games),
adapting to children’s varying needs;</t>
    </r>
  </si>
  <si>
    <r>
      <rPr>
        <sz val="11"/>
        <rFont val="Calibri"/>
        <family val="2"/>
        <scheme val="minor"/>
      </rPr>
      <t>(c)  maintaining discipline and good working habits in the
classroom;</t>
    </r>
  </si>
  <si>
    <r>
      <rPr>
        <sz val="11"/>
        <rFont val="Calibri"/>
        <family val="2"/>
        <scheme val="minor"/>
      </rPr>
      <t>(d)  planning and conducting activities with the children such as sporting activities,
concerts and excursions;</t>
    </r>
  </si>
  <si>
    <r>
      <rPr>
        <sz val="11"/>
        <rFont val="Calibri"/>
        <family val="2"/>
        <scheme val="minor"/>
      </rPr>
      <t>(f)  preparing, administering and grading tests and assignments to evaluate
children’s progress;</t>
    </r>
  </si>
  <si>
    <r>
      <rPr>
        <sz val="11"/>
        <rFont val="Calibri"/>
        <family val="2"/>
        <scheme val="minor"/>
      </rPr>
      <t>(g)  observing and evaluating children’s performance and
behaviour;</t>
    </r>
  </si>
  <si>
    <r>
      <rPr>
        <sz val="11"/>
        <rFont val="Calibri"/>
        <family val="2"/>
        <scheme val="minor"/>
      </rPr>
      <t>(h)  supervising children during classes and at other times in the school day, including the playground
during breaks;</t>
    </r>
  </si>
  <si>
    <r>
      <rPr>
        <sz val="11"/>
        <rFont val="Calibri"/>
        <family val="2"/>
        <scheme val="minor"/>
      </rPr>
      <t>(i)  participating in staff meetings and other sessions,
and conferring with other teachers concerning
educational issues;</t>
    </r>
  </si>
  <si>
    <r>
      <rPr>
        <sz val="11"/>
        <rFont val="Calibri"/>
        <family val="2"/>
        <scheme val="minor"/>
      </rPr>
      <t>(j)  preparing for and attending parent meetings to discuss
children’s progress and
problems.</t>
    </r>
  </si>
  <si>
    <r>
      <rPr>
        <sz val="11"/>
        <rFont val="Calibri"/>
        <family val="2"/>
        <scheme val="minor"/>
      </rPr>
      <t>(a)  planning and organizing individual and group activities
designed to facilitate the development of children’s
motor, cooperative and social
skills, confidence and understanding;</t>
    </r>
  </si>
  <si>
    <r>
      <rPr>
        <sz val="11"/>
        <rFont val="Calibri"/>
        <family val="2"/>
        <scheme val="minor"/>
      </rPr>
      <t>(b)  promoting language development through
storytelling, role play, songs, rhymes and informal
conversations and discussions;</t>
    </r>
  </si>
  <si>
    <r>
      <rPr>
        <sz val="11"/>
        <rFont val="Calibri"/>
        <family val="2"/>
        <scheme val="minor"/>
      </rPr>
      <t>(c)  leading children in activities that provide
opportunities for creative expression through the media of art, dramatic play, music
and physical fitness;</t>
    </r>
  </si>
  <si>
    <r>
      <rPr>
        <sz val="11"/>
        <rFont val="Calibri"/>
        <family val="2"/>
        <scheme val="minor"/>
      </rPr>
      <t>(d)  observing children in order to evaluate progress and
to detect signs of
developmental, emotional or health-related problems;</t>
    </r>
  </si>
  <si>
    <r>
      <rPr>
        <sz val="11"/>
        <rFont val="Calibri"/>
        <family val="2"/>
        <scheme val="minor"/>
      </rPr>
      <t>(e)  observing and assessing nutritional health, welfare and safety needs of students and identifying factors which may
impede students’ progress;</t>
    </r>
  </si>
  <si>
    <r>
      <rPr>
        <sz val="11"/>
        <rFont val="Calibri"/>
        <family val="2"/>
        <scheme val="minor"/>
      </rPr>
      <t>(f)  supervising children’s activities to ensure safety and
resolve conflicts;</t>
    </r>
  </si>
  <si>
    <r>
      <rPr>
        <sz val="11"/>
        <rFont val="Calibri"/>
        <family val="2"/>
        <scheme val="minor"/>
      </rPr>
      <t>(g)  guiding and assisting children in the development of
proper eating, dressing and toilet habits;</t>
    </r>
  </si>
  <si>
    <r>
      <rPr>
        <sz val="11"/>
        <rFont val="Calibri"/>
        <family val="2"/>
        <scheme val="minor"/>
      </rPr>
      <t>(h)  discussing progress or problems of children with
parents and other staff members and identifying appropriate actions and
referrals to other services;</t>
    </r>
  </si>
  <si>
    <r>
      <rPr>
        <sz val="11"/>
        <rFont val="Calibri"/>
        <family val="2"/>
        <scheme val="minor"/>
      </rPr>
      <t>(i)  establishing and maintaining collaborative relationships with other service providers working
with young children.</t>
    </r>
  </si>
  <si>
    <r>
      <rPr>
        <sz val="11"/>
        <rFont val="Calibri"/>
        <family val="2"/>
        <scheme val="minor"/>
      </rPr>
      <t>researching into current developments in curricula, teaching methods and other educational practices, and advising on necessary changes
and possible improvements;</t>
    </r>
  </si>
  <si>
    <r>
      <rPr>
        <sz val="11"/>
        <rFont val="Calibri"/>
        <family val="2"/>
        <scheme val="minor"/>
      </rPr>
      <t>researching into audiovisual and other teaching aids and advising on, planning and organizing their introduction
in educational establishments;</t>
    </r>
  </si>
  <si>
    <r>
      <rPr>
        <sz val="11"/>
        <rFont val="Calibri"/>
        <family val="2"/>
        <scheme val="minor"/>
      </rPr>
      <t>providing ongoing professional development, training and consultative
services to teachers;</t>
    </r>
  </si>
  <si>
    <r>
      <rPr>
        <sz val="11"/>
        <rFont val="Calibri"/>
        <family val="2"/>
        <scheme val="minor"/>
      </rPr>
      <t>organizing and conducting workshops and conferences to train teachers in new
programmes and methods;</t>
    </r>
  </si>
  <si>
    <r>
      <rPr>
        <sz val="11"/>
        <rFont val="Calibri"/>
        <family val="2"/>
        <scheme val="minor"/>
      </rPr>
      <t>developing the structure, content and objectives of new educational courses and
programmes;</t>
    </r>
  </si>
  <si>
    <r>
      <rPr>
        <sz val="11"/>
        <rFont val="Calibri"/>
        <family val="2"/>
        <scheme val="minor"/>
      </rPr>
      <t>visiting schools periodically and conferring with administrative and teaching staff on questions relating to curricula, teaching methods,
equipment and other matters;</t>
    </r>
  </si>
  <si>
    <r>
      <rPr>
        <sz val="11"/>
        <rFont val="Calibri"/>
        <family val="2"/>
        <scheme val="minor"/>
      </rPr>
      <t>visiting classrooms to observe teaching techniques and to evaluate teachers’ performance and scholastic
results obtained;</t>
    </r>
  </si>
  <si>
    <r>
      <rPr>
        <sz val="11"/>
        <rFont val="Calibri"/>
        <family val="2"/>
        <scheme val="minor"/>
      </rPr>
      <t>preparing reports and making recommendations to educational authorities concerning possible changes and improvements in
curricula, teaching methods, and other matters.</t>
    </r>
  </si>
  <si>
    <r>
      <rPr>
        <sz val="11"/>
        <rFont val="Calibri"/>
        <family val="2"/>
        <scheme val="minor"/>
      </rPr>
      <t>(a)  assessing students’ abilities and limitations with regard to intellectual, physical,
social and emotional impairments, exceptional intellectual gifts, or other
special situations;</t>
    </r>
  </si>
  <si>
    <r>
      <rPr>
        <sz val="11"/>
        <rFont val="Calibri"/>
        <family val="2"/>
        <scheme val="minor"/>
      </rPr>
      <t>(b)  designing or modifying curricula and preparing and
delivering programmes, lessons and activities adapted to students’ abilities and
needs;</t>
    </r>
  </si>
  <si>
    <r>
      <rPr>
        <sz val="11"/>
        <rFont val="Calibri"/>
        <family val="2"/>
        <scheme val="minor"/>
      </rPr>
      <t>(c)  giving instruction on an individual or group basis using
special techniques or aids
appropriate to students’ needs;</t>
    </r>
  </si>
  <si>
    <r>
      <rPr>
        <sz val="11"/>
        <rFont val="Calibri"/>
        <family val="2"/>
        <scheme val="minor"/>
      </rPr>
      <t>(d)  employing special educational strategies and
techniques during instruction to improve the development of sensory- and perceptual-motor
skills, language, cognition and memory;</t>
    </r>
  </si>
  <si>
    <r>
      <rPr>
        <sz val="11"/>
        <rFont val="Calibri"/>
        <family val="2"/>
        <scheme val="minor"/>
      </rPr>
      <t>(e)  establishing and enforcing rules for behaviour and
policies and procedures to maintain order among
students;</t>
    </r>
  </si>
  <si>
    <r>
      <rPr>
        <sz val="11"/>
        <rFont val="Calibri"/>
        <family val="2"/>
        <scheme val="minor"/>
      </rPr>
      <t>(f)  teaching academic subjects and practical and self-help
skills to students with hearing, sight and other impairments;</t>
    </r>
  </si>
  <si>
    <r>
      <rPr>
        <sz val="11"/>
        <rFont val="Calibri"/>
        <family val="2"/>
        <scheme val="minor"/>
      </rPr>
      <t>(g)  stimulating and developing students’
confidence, interests, abilities,
manual skills and coordination;</t>
    </r>
  </si>
  <si>
    <r>
      <rPr>
        <sz val="11"/>
        <rFont val="Calibri"/>
        <family val="2"/>
        <scheme val="minor"/>
      </rPr>
      <t>(h)  conferring with other staff members to plan and schedule
lessons for special needs
students;</t>
    </r>
  </si>
  <si>
    <r>
      <rPr>
        <sz val="11"/>
        <rFont val="Calibri"/>
        <family val="2"/>
        <scheme val="minor"/>
      </rPr>
      <t>(i)  preparing and maintaining student data and other records
and submitting reports;</t>
    </r>
  </si>
  <si>
    <r>
      <rPr>
        <sz val="11"/>
        <rFont val="Calibri"/>
        <family val="2"/>
        <scheme val="minor"/>
      </rPr>
      <t>(j)  administering various forms of assessment and
evaluating progress of each
student;</t>
    </r>
  </si>
  <si>
    <r>
      <rPr>
        <sz val="11"/>
        <rFont val="Calibri"/>
        <family val="2"/>
        <scheme val="minor"/>
      </rPr>
      <t>(k)  conferring with students, parents, head teachers and other relevant professionals
involved in the students’ care to develop individual educational plans designed to promote students’
development.</t>
    </r>
  </si>
  <si>
    <r>
      <rPr>
        <sz val="11"/>
        <rFont val="Calibri"/>
        <family val="2"/>
        <scheme val="minor"/>
      </rPr>
      <t>(a)  assessing the level of ability and the extent of language difficulties of students,  and establishing students’ needs and learning
goals;</t>
    </r>
  </si>
  <si>
    <r>
      <rPr>
        <sz val="11"/>
        <rFont val="Calibri"/>
        <family val="2"/>
        <scheme val="minor"/>
      </rPr>
      <t>(b)  planning, preparing and delivering lessons and
workshops for groups and individuals, with content and rate of progression adapted to
students’ abilities and needs;</t>
    </r>
  </si>
  <si>
    <r>
      <rPr>
        <sz val="11"/>
        <rFont val="Calibri"/>
        <family val="2"/>
        <scheme val="minor"/>
      </rPr>
      <t>(c)  designing and producing teaching materials and
adapting existing materials;</t>
    </r>
  </si>
  <si>
    <r>
      <rPr>
        <sz val="11"/>
        <rFont val="Calibri"/>
        <family val="2"/>
        <scheme val="minor"/>
      </rPr>
      <t>(e)  assisting students in classroom settings where subjects are taught in a language other than the
students’ native language;</t>
    </r>
  </si>
  <si>
    <r>
      <rPr>
        <sz val="11"/>
        <rFont val="Calibri"/>
        <family val="2"/>
        <scheme val="minor"/>
      </rPr>
      <t>(f)  providing assistance to other teachers by designing special teaching programmes
for students still learning the main language of instruction;</t>
    </r>
  </si>
  <si>
    <r>
      <rPr>
        <sz val="11"/>
        <rFont val="Calibri"/>
        <family val="2"/>
        <scheme val="minor"/>
      </rPr>
      <t>(g)  assigning and correcting work, and preparing and
grading exams;</t>
    </r>
  </si>
  <si>
    <r>
      <rPr>
        <sz val="11"/>
        <rFont val="Calibri"/>
        <family val="2"/>
        <scheme val="minor"/>
      </rPr>
      <t>(h)  assessing, recording and reporting on students’
progress.</t>
    </r>
  </si>
  <si>
    <r>
      <rPr>
        <sz val="11"/>
        <rFont val="Calibri"/>
        <family val="2"/>
        <scheme val="minor"/>
      </rPr>
      <t>(a)  assessing the students’ level of ability and
determining needs and
learning goals;</t>
    </r>
  </si>
  <si>
    <r>
      <rPr>
        <sz val="11"/>
        <rFont val="Calibri"/>
        <family val="2"/>
        <scheme val="minor"/>
      </rPr>
      <t>(b)  planning, preparing and delivering programmes of
study, lessons and workshops
for individual students and groups;</t>
    </r>
  </si>
  <si>
    <r>
      <rPr>
        <sz val="11"/>
        <rFont val="Calibri"/>
        <family val="2"/>
        <scheme val="minor"/>
      </rPr>
      <t>(c)  preparing and presenting material on the theory and
interpretation of music;</t>
    </r>
  </si>
  <si>
    <r>
      <rPr>
        <sz val="11"/>
        <rFont val="Calibri"/>
        <family val="2"/>
        <scheme val="minor"/>
      </rPr>
      <t>(d)  instructing and demonstrating practical aspects of singing or of
playing a particular
instrument;</t>
    </r>
  </si>
  <si>
    <r>
      <rPr>
        <sz val="11"/>
        <rFont val="Calibri"/>
        <family val="2"/>
        <scheme val="minor"/>
      </rPr>
      <t>(f)  assigning exercises and teaching pieces of music
relevant to students’ level of ability, interests and talents;</t>
    </r>
  </si>
  <si>
    <r>
      <rPr>
        <sz val="11"/>
        <rFont val="Calibri"/>
        <family val="2"/>
        <scheme val="minor"/>
      </rPr>
      <t>(g)  assessing students and offering advice, criticism and
encouragement;</t>
    </r>
  </si>
  <si>
    <r>
      <rPr>
        <sz val="11"/>
        <rFont val="Calibri"/>
        <family val="2"/>
        <scheme val="minor"/>
      </rPr>
      <t>(h)  revising curricula, course content, course materials and
methods of instruction;</t>
    </r>
  </si>
  <si>
    <r>
      <rPr>
        <sz val="11"/>
        <rFont val="Calibri"/>
        <family val="2"/>
        <scheme val="minor"/>
      </rPr>
      <t>(i)  preparing students for examinations, performances
and assessments;</t>
    </r>
  </si>
  <si>
    <r>
      <rPr>
        <sz val="11"/>
        <rFont val="Calibri"/>
        <family val="2"/>
        <scheme val="minor"/>
      </rPr>
      <t>(k)  organizing and assisting in auditions or performances of
students’ work.</t>
    </r>
  </si>
  <si>
    <r>
      <rPr>
        <sz val="11"/>
        <rFont val="Calibri"/>
        <family val="2"/>
        <scheme val="minor"/>
      </rPr>
      <t>(a)  assessing the students’ level of ability and
determining learning needs;</t>
    </r>
  </si>
  <si>
    <r>
      <rPr>
        <sz val="11"/>
        <rFont val="Calibri"/>
        <family val="2"/>
        <scheme val="minor"/>
      </rPr>
      <t>(b)  planning, preparing and delivering programmes of
study, lessons and workshops for individual students and
groups;</t>
    </r>
  </si>
  <si>
    <r>
      <rPr>
        <sz val="11"/>
        <rFont val="Calibri"/>
        <family val="2"/>
        <scheme val="minor"/>
      </rPr>
      <t>(d)  instructing and demonstrating practical aspects of drama, dance,
visual or other arts;</t>
    </r>
  </si>
  <si>
    <r>
      <rPr>
        <sz val="11"/>
        <rFont val="Calibri"/>
        <family val="2"/>
        <scheme val="minor"/>
      </rPr>
      <t>(e)  assigning exercises and work relevant to students’ level of ability, interests and
talents;</t>
    </r>
  </si>
  <si>
    <r>
      <rPr>
        <sz val="11"/>
        <rFont val="Calibri"/>
        <family val="2"/>
        <scheme val="minor"/>
      </rPr>
      <t>(f)  assessing students and offering advice, criticism and
encouragement;</t>
    </r>
  </si>
  <si>
    <r>
      <rPr>
        <sz val="11"/>
        <rFont val="Calibri"/>
        <family val="2"/>
        <scheme val="minor"/>
      </rPr>
      <t>(g)  revising curricula, course content, course materials and
methods of instruction;</t>
    </r>
  </si>
  <si>
    <r>
      <rPr>
        <sz val="11"/>
        <rFont val="Calibri"/>
        <family val="2"/>
        <scheme val="minor"/>
      </rPr>
      <t>(h)  preparing students for examinations, performance
and assessments;</t>
    </r>
  </si>
  <si>
    <r>
      <rPr>
        <sz val="11"/>
        <rFont val="Calibri"/>
        <family val="2"/>
        <scheme val="minor"/>
      </rPr>
      <t>(i)  arranging visits and tours to exhibitions and
performances;</t>
    </r>
  </si>
  <si>
    <r>
      <rPr>
        <sz val="11"/>
        <rFont val="Calibri"/>
        <family val="2"/>
        <scheme val="minor"/>
      </rPr>
      <t>(j)  organizing and assisting in performances or exhibitions of
students’ work.</t>
    </r>
  </si>
  <si>
    <r>
      <rPr>
        <sz val="11"/>
        <rFont val="Calibri"/>
        <family val="2"/>
        <scheme val="minor"/>
      </rPr>
      <t>identifying the information technology training needs and requirements of individual
users and organizations;</t>
    </r>
  </si>
  <si>
    <r>
      <rPr>
        <sz val="11"/>
        <rFont val="Calibri"/>
        <family val="2"/>
        <scheme val="minor"/>
      </rPr>
      <t>preparing and developing instructional training material and aids such as handbooks, visual aids, online tutorials, demonstration models and supporting training reference
documentation;</t>
    </r>
  </si>
  <si>
    <r>
      <rPr>
        <sz val="11"/>
        <rFont val="Calibri"/>
        <family val="2"/>
        <scheme val="minor"/>
      </rPr>
      <t>designing, coordinating, scheduling and conducting training and development programmes that can be delivered in the form of individual and group instruction, and facilitating workshop meetings, demonstrations and
conferences;</t>
    </r>
  </si>
  <si>
    <r>
      <rPr>
        <sz val="11"/>
        <rFont val="Calibri"/>
        <family val="2"/>
        <scheme val="minor"/>
      </rPr>
      <t>monitoring and performing ongoing evaluation and assessment of training quality and effectiveness, and reviewing and modifying
training objectives, methods and course deliverables;</t>
    </r>
  </si>
  <si>
    <r>
      <rPr>
        <sz val="11"/>
        <rFont val="Calibri"/>
        <family val="2"/>
        <scheme val="minor"/>
      </rPr>
      <t>gathering, investigating and researching background materials to gain a full understanding of the subject
matter and systems;</t>
    </r>
  </si>
  <si>
    <r>
      <rPr>
        <sz val="11"/>
        <rFont val="Calibri"/>
        <family val="2"/>
        <scheme val="minor"/>
      </rPr>
      <t>keeping up to date with new product version releases, advances in software and general information technology trends, writing end user products and materials such as user training, tutorial and instruction manuals,
online help, and operating and maintenance instructions.</t>
    </r>
  </si>
  <si>
    <r>
      <rPr>
        <sz val="11"/>
        <rFont val="Calibri"/>
        <family val="2"/>
        <scheme val="minor"/>
      </rPr>
      <t>(a)  assessing students’ level of ability and determining
learning needs;</t>
    </r>
  </si>
  <si>
    <r>
      <rPr>
        <sz val="11"/>
        <rFont val="Calibri"/>
        <family val="2"/>
        <scheme val="minor"/>
      </rPr>
      <t>(d)  instructing and demonstrating practical aspects of the subject area
being studied;</t>
    </r>
  </si>
  <si>
    <r>
      <rPr>
        <sz val="11"/>
        <rFont val="Calibri"/>
        <family val="2"/>
        <scheme val="minor"/>
      </rPr>
      <t>(e)  assigning exercises and work relevant to students’ level of ability, interests and
aptitude;</t>
    </r>
  </si>
  <si>
    <r>
      <rPr>
        <sz val="11"/>
        <rFont val="Calibri"/>
        <family val="2"/>
        <scheme val="minor"/>
      </rPr>
      <t>(i)  counselling students regarding educational issues such as course and programme
selection, class scheduling, school adjustment, truancy, study habits and career
planning;</t>
    </r>
  </si>
  <si>
    <r>
      <rPr>
        <sz val="11"/>
        <rFont val="Calibri"/>
        <family val="2"/>
        <scheme val="minor"/>
      </rPr>
      <t>(j)  counselling students to help them understand and
overcome personal, social or
behavioural problems affecting their education;</t>
    </r>
  </si>
  <si>
    <r>
      <rPr>
        <sz val="11"/>
        <rFont val="Calibri"/>
        <family val="2"/>
        <scheme val="minor"/>
      </rPr>
      <t>(k)  preparing students for later educational experiences
by encouraging them to explore learning opportunities and to persevere with
challenging tasks.</t>
    </r>
  </si>
  <si>
    <r>
      <rPr>
        <sz val="11"/>
        <rFont val="Calibri"/>
        <family val="2"/>
        <scheme val="minor"/>
      </rPr>
      <t>(a)  advising on, planning and installing budgetary, accounts
controlling and other accounting policies and
systems;</t>
    </r>
  </si>
  <si>
    <r>
      <rPr>
        <sz val="11"/>
        <rFont val="Calibri"/>
        <family val="2"/>
        <scheme val="minor"/>
      </rPr>
      <t>(b)  preparing and certifying financial statements for
presentation to management,
shareholders and statutory or other bodies;</t>
    </r>
  </si>
  <si>
    <r>
      <rPr>
        <sz val="11"/>
        <rFont val="Calibri"/>
        <family val="2"/>
        <scheme val="minor"/>
      </rPr>
      <t>(c)  preparing tax returns, advising on taxation problems and contesting disputed claims
before tax officials;</t>
    </r>
  </si>
  <si>
    <r>
      <rPr>
        <sz val="11"/>
        <rFont val="Calibri"/>
        <family val="2"/>
        <scheme val="minor"/>
      </rPr>
      <t>(e)  conducting financial investigations in such matters as suspected fraud, insolvency
and bankruptcy;</t>
    </r>
  </si>
  <si>
    <r>
      <rPr>
        <sz val="11"/>
        <rFont val="Calibri"/>
        <family val="2"/>
        <scheme val="minor"/>
      </rPr>
      <t>(g)  conducting investigations and advising management on
financial aspects of productivity, stockholdings,
sales, new products, etc.;</t>
    </r>
  </si>
  <si>
    <r>
      <rPr>
        <sz val="11"/>
        <rFont val="Calibri"/>
        <family val="2"/>
        <scheme val="minor"/>
      </rPr>
      <t>(h)  devising and controlling systems to determine unit cost
of products and services.</t>
    </r>
  </si>
  <si>
    <r>
      <rPr>
        <sz val="11"/>
        <rFont val="Calibri"/>
        <family val="2"/>
        <scheme val="minor"/>
      </rPr>
      <t>(a)  analysing financial information to produce
forecasts of business, industry and economic conditions for use in making investment
decisions;</t>
    </r>
  </si>
  <si>
    <r>
      <rPr>
        <sz val="11"/>
        <rFont val="Calibri"/>
        <family val="2"/>
        <scheme val="minor"/>
      </rPr>
      <t>(b)  maintaining knowledge and staying abreast of
developments in the fields of industrial technology,
business, finance and economic theory;</t>
    </r>
  </si>
  <si>
    <r>
      <rPr>
        <sz val="11"/>
        <rFont val="Calibri"/>
        <family val="2"/>
        <scheme val="minor"/>
      </rPr>
      <t>(c)  interpreting data affecting investment programmes such as price, yield, stability, future trends in investment risks and
economic influences;</t>
    </r>
  </si>
  <si>
    <r>
      <rPr>
        <sz val="11"/>
        <rFont val="Calibri"/>
        <family val="2"/>
        <scheme val="minor"/>
      </rPr>
      <t>(d)  monitoring economic, industrial and corporate
developments through analysis of information obtained from financial publications and services, investment banking firms, government agencies, trade publications, company sources and personal
interviews;</t>
    </r>
  </si>
  <si>
    <r>
      <rPr>
        <sz val="11"/>
        <rFont val="Calibri"/>
        <family val="2"/>
        <scheme val="minor"/>
      </rPr>
      <t>(e)  recommending investments and investment
timing to companies,
investment firm staff or the investing public;</t>
    </r>
  </si>
  <si>
    <r>
      <rPr>
        <sz val="11"/>
        <rFont val="Calibri"/>
        <family val="2"/>
        <scheme val="minor"/>
      </rPr>
      <t>(f)  determining the prices at which securities should be syndicated and offered to the
public;</t>
    </r>
  </si>
  <si>
    <r>
      <rPr>
        <sz val="11"/>
        <rFont val="Calibri"/>
        <family val="2"/>
        <scheme val="minor"/>
      </rPr>
      <t>(g)  preparing plans of action for investment based on
financial analyses;</t>
    </r>
  </si>
  <si>
    <r>
      <rPr>
        <sz val="11"/>
        <rFont val="Calibri"/>
        <family val="2"/>
        <scheme val="minor"/>
      </rPr>
      <t>(h)  evaluating and comparing
the relative quality of various securities in a given industry;</t>
    </r>
  </si>
  <si>
    <r>
      <rPr>
        <sz val="11"/>
        <rFont val="Calibri"/>
        <family val="2"/>
        <scheme val="minor"/>
      </rPr>
      <t>(i)  presenting oral and written reports on general economic trends, individual corporations
and entire industries.</t>
    </r>
  </si>
  <si>
    <r>
      <rPr>
        <sz val="11"/>
        <rFont val="Calibri"/>
        <family val="2"/>
        <scheme val="minor"/>
      </rPr>
      <t>(a)  liaising and consulting with programme
administrators and other
interested parties to identify policy needs;</t>
    </r>
  </si>
  <si>
    <r>
      <rPr>
        <sz val="11"/>
        <rFont val="Calibri"/>
        <family val="2"/>
        <scheme val="minor"/>
      </rPr>
      <t>(b)  reviewing existing policies and legislation to
identify anomalies and out-of-
date provisions;</t>
    </r>
  </si>
  <si>
    <r>
      <rPr>
        <sz val="11"/>
        <rFont val="Calibri"/>
        <family val="2"/>
        <scheme val="minor"/>
      </rPr>
      <t>(c)  researching social, economic and industrial
trends, and client expectations
of programmes and services provided;</t>
    </r>
  </si>
  <si>
    <r>
      <rPr>
        <sz val="11"/>
        <rFont val="Calibri"/>
        <family val="2"/>
        <scheme val="minor"/>
      </rPr>
      <t>(d)  formulating and analysing policy options, preparing
briefing papers and recommendations for policy changes and advising on
preferred options;</t>
    </r>
  </si>
  <si>
    <r>
      <rPr>
        <sz val="11"/>
        <rFont val="Calibri"/>
        <family val="2"/>
        <scheme val="minor"/>
      </rPr>
      <t>(e)  assessing impacts, financial implications, interactions with other
programmes and political and administrative feasibility of
policies;</t>
    </r>
  </si>
  <si>
    <r>
      <rPr>
        <sz val="11"/>
        <rFont val="Calibri"/>
        <family val="2"/>
        <scheme val="minor"/>
      </rPr>
      <t>Policy Administration
Professionals</t>
    </r>
  </si>
  <si>
    <r>
      <rPr>
        <sz val="11"/>
        <rFont val="Calibri"/>
        <family val="2"/>
        <scheme val="minor"/>
      </rPr>
      <t>(f)  conducting threat and risk assessments and developing
responses;</t>
    </r>
  </si>
  <si>
    <r>
      <rPr>
        <sz val="11"/>
        <rFont val="Calibri"/>
        <family val="2"/>
        <scheme val="minor"/>
      </rPr>
      <t>(g)  reviewing operations and programmes to ensure
consistency with policies of
the organization.</t>
    </r>
  </si>
  <si>
    <r>
      <rPr>
        <sz val="11"/>
        <rFont val="Calibri"/>
        <family val="2"/>
        <scheme val="minor"/>
      </rPr>
      <t>(a)  advising on and performing personnel
functions relating to employee recruitment, placement, training, promotion, compensation and employee–
management relations or other areas of personnel policy;</t>
    </r>
  </si>
  <si>
    <r>
      <rPr>
        <sz val="11"/>
        <rFont val="Calibri"/>
        <family val="2"/>
        <scheme val="minor"/>
      </rPr>
      <t>(b)  studying and analysing jobs performed in an
establishment by various means, including interviews with workers, supervisors and management, and writing detailed position, job or
occupation descriptions from information obtained;</t>
    </r>
  </si>
  <si>
    <r>
      <rPr>
        <sz val="11"/>
        <rFont val="Calibri"/>
        <family val="2"/>
        <scheme val="minor"/>
      </rPr>
      <t>(c)  preparing occupational information or working on occupational classification
systems;</t>
    </r>
  </si>
  <si>
    <r>
      <rPr>
        <sz val="11"/>
        <rFont val="Calibri"/>
        <family val="2"/>
        <scheme val="minor"/>
      </rPr>
      <t>(d)  advising and working on the foregoing and other
aspects of job and occupational  analysis in such fields as personnel administration, workforce research and planning, training
or occupational information and vocational guidance;</t>
    </r>
  </si>
  <si>
    <r>
      <rPr>
        <sz val="11"/>
        <rFont val="Calibri"/>
        <family val="2"/>
        <scheme val="minor"/>
      </rPr>
      <t>(e)  studying and advising individuals on employment opportunities, career choices
and further education or
training that may be desirable.</t>
    </r>
  </si>
  <si>
    <r>
      <rPr>
        <sz val="11"/>
        <rFont val="Calibri"/>
        <family val="2"/>
        <scheme val="minor"/>
      </rPr>
      <t>(a)  planning, developing and organizing advertising policies
and campaigns to support
sales objectives;</t>
    </r>
  </si>
  <si>
    <r>
      <rPr>
        <sz val="11"/>
        <rFont val="Calibri"/>
        <family val="2"/>
        <scheme val="minor"/>
      </rPr>
      <t>(b)  advising managers and clients on strategies and campaigns to reach target markets, creating consumer awareness and effectively promoting the attributes of
goods and services;</t>
    </r>
  </si>
  <si>
    <r>
      <rPr>
        <sz val="11"/>
        <rFont val="Calibri"/>
        <family val="2"/>
        <scheme val="minor"/>
      </rPr>
      <t>(c)  writing advertising copy and media scripts, and
arranging television and film production and media
placement;</t>
    </r>
  </si>
  <si>
    <r>
      <rPr>
        <sz val="11"/>
        <rFont val="Calibri"/>
        <family val="2"/>
        <scheme val="minor"/>
      </rPr>
      <t>Advertising and
Marketing Professionals</t>
    </r>
  </si>
  <si>
    <r>
      <rPr>
        <sz val="11"/>
        <rFont val="Calibri"/>
        <family val="2"/>
        <scheme val="minor"/>
      </rPr>
      <t>(d)  collecting and analysing
data regarding consumer patterns and preferences;</t>
    </r>
  </si>
  <si>
    <r>
      <rPr>
        <sz val="11"/>
        <rFont val="Calibri"/>
        <family val="2"/>
        <scheme val="minor"/>
      </rPr>
      <t>(e)  interpreting and predicting current and future consumer
trends;</t>
    </r>
  </si>
  <si>
    <r>
      <rPr>
        <sz val="11"/>
        <rFont val="Calibri"/>
        <family val="2"/>
        <scheme val="minor"/>
      </rPr>
      <t>(f)  researching potential demand and market
characteristics for new goods and services;</t>
    </r>
  </si>
  <si>
    <r>
      <rPr>
        <sz val="11"/>
        <rFont val="Calibri"/>
        <family val="2"/>
        <scheme val="minor"/>
      </rPr>
      <t>(g)  supporting business growth and development through the preparation and
execution of marketing
objectives, policies and programmes;</t>
    </r>
  </si>
  <si>
    <r>
      <rPr>
        <sz val="11"/>
        <rFont val="Calibri"/>
        <family val="2"/>
        <scheme val="minor"/>
      </rPr>
      <t>(h)  commissioning and undertaking market research to identify market opportunities
for new and existing goods and services;</t>
    </r>
  </si>
  <si>
    <r>
      <rPr>
        <sz val="11"/>
        <rFont val="Calibri"/>
        <family val="2"/>
        <scheme val="minor"/>
      </rPr>
      <t>(i)  advising on all elements of marketing such as product mix, pricing, advertising and sales promotion, selling and
distribution channels.</t>
    </r>
  </si>
  <si>
    <r>
      <rPr>
        <sz val="11"/>
        <rFont val="Calibri"/>
        <family val="2"/>
        <scheme val="minor"/>
      </rPr>
      <t>(a)  planning and organizing publicity campaigns and
communication strategies;</t>
    </r>
  </si>
  <si>
    <r>
      <rPr>
        <sz val="11"/>
        <rFont val="Calibri"/>
        <family val="2"/>
        <scheme val="minor"/>
      </rPr>
      <t>(b)  advising executives on the public relations implications of their policies, programmes and practices, and preparing and controlling the issue of
news and press releases;</t>
    </r>
  </si>
  <si>
    <r>
      <rPr>
        <sz val="11"/>
        <rFont val="Calibri"/>
        <family val="2"/>
        <scheme val="minor"/>
      </rPr>
      <t>(c)  undertaking and commissioning public opinion
research, analysing the findings and planning public relations and promotional
campaigns;</t>
    </r>
  </si>
  <si>
    <r>
      <rPr>
        <sz val="11"/>
        <rFont val="Calibri"/>
        <family val="2"/>
        <scheme val="minor"/>
      </rPr>
      <t>(d)  organizing special events, seminars, entertainment, competitions and social
functions to promote goodwill and favourable publicity;</t>
    </r>
  </si>
  <si>
    <r>
      <rPr>
        <sz val="11"/>
        <rFont val="Calibri"/>
        <family val="2"/>
        <scheme val="minor"/>
      </rPr>
      <t>(e)  representing organizations and arranging interviews with
publicity media;</t>
    </r>
  </si>
  <si>
    <r>
      <rPr>
        <sz val="11"/>
        <rFont val="Calibri"/>
        <family val="2"/>
        <scheme val="minor"/>
      </rPr>
      <t>(f)  attending business, social and other functions to promote
the organization;</t>
    </r>
  </si>
  <si>
    <r>
      <rPr>
        <sz val="11"/>
        <rFont val="Calibri"/>
        <family val="2"/>
        <scheme val="minor"/>
      </rPr>
      <t>(h)  selecting, appraising and revising material submitted by
publicity writers, photographers, illustrators and others to create favourable
publicity.</t>
    </r>
  </si>
  <si>
    <r>
      <rPr>
        <sz val="11"/>
        <rFont val="Calibri"/>
        <family val="2"/>
        <scheme val="minor"/>
      </rPr>
      <t>(a)  compiling lists of prospective client businesses by using directories and other
sources;</t>
    </r>
  </si>
  <si>
    <r>
      <rPr>
        <sz val="11"/>
        <rFont val="Calibri"/>
        <family val="2"/>
        <scheme val="minor"/>
      </rPr>
      <t>(b)  acquiring and updating knowledge of employers’ and
competitors’ goods and
services, and of market conditions;</t>
    </r>
  </si>
  <si>
    <r>
      <rPr>
        <sz val="11"/>
        <rFont val="Calibri"/>
        <family val="2"/>
        <scheme val="minor"/>
      </rPr>
      <t>(c)  visiting regular and prospective client businesses to establish and act on selling
opportunities;</t>
    </r>
  </si>
  <si>
    <r>
      <rPr>
        <sz val="11"/>
        <rFont val="Calibri"/>
        <family val="2"/>
        <scheme val="minor"/>
      </rPr>
      <t>(d)  assessing clients’ needs and resources and
recommending appropriate goods or services;</t>
    </r>
  </si>
  <si>
    <r>
      <rPr>
        <sz val="11"/>
        <rFont val="Calibri"/>
        <family val="2"/>
        <scheme val="minor"/>
      </rPr>
      <t>(e)  providing input to product design where goods or
services must be tailored to suit clients’ needs;</t>
    </r>
  </si>
  <si>
    <r>
      <rPr>
        <sz val="11"/>
        <rFont val="Calibri"/>
        <family val="2"/>
        <scheme val="minor"/>
      </rPr>
      <t>(f)  developing reports and proposals as part of sales
presentations to demonstrate benefits from the use of goods
or services;</t>
    </r>
  </si>
  <si>
    <r>
      <rPr>
        <sz val="11"/>
        <rFont val="Calibri"/>
        <family val="2"/>
        <scheme val="minor"/>
      </rPr>
      <t>(g)  estimating costs of installing and maintaining
equipment or service;</t>
    </r>
  </si>
  <si>
    <r>
      <rPr>
        <sz val="11"/>
        <rFont val="Calibri"/>
        <family val="2"/>
        <scheme val="minor"/>
      </rPr>
      <t>(h)  monitoring customers’ changing needs and
competitor activity, and reporting these developments
to sales management;</t>
    </r>
  </si>
  <si>
    <r>
      <rPr>
        <sz val="11"/>
        <rFont val="Calibri"/>
        <family val="2"/>
        <scheme val="minor"/>
      </rPr>
      <t>(i)  quoting and negotiating prices and credit terms, and preparing and administering
sales contracts;</t>
    </r>
  </si>
  <si>
    <r>
      <rPr>
        <sz val="11"/>
        <rFont val="Calibri"/>
        <family val="2"/>
        <scheme val="minor"/>
      </rPr>
      <t>(j)  arranging delivery of goods, installation of
equipment and the provision of services;</t>
    </r>
  </si>
  <si>
    <r>
      <rPr>
        <sz val="11"/>
        <rFont val="Calibri"/>
        <family val="2"/>
        <scheme val="minor"/>
      </rPr>
      <t>(k)  reporting to sales management on sales made
and the marketability of goods and services;</t>
    </r>
  </si>
  <si>
    <r>
      <rPr>
        <sz val="11"/>
        <rFont val="Calibri"/>
        <family val="2"/>
        <scheme val="minor"/>
      </rPr>
      <t>(l)  consulting with clients after sale to ensure a
satisfactory resolution of any
problems, and provide ongoing support.</t>
    </r>
  </si>
  <si>
    <r>
      <rPr>
        <sz val="11"/>
        <rFont val="Calibri"/>
        <family val="2"/>
        <scheme val="minor"/>
      </rPr>
      <t>(a)  soliciting orders and selling goods to retail,
industrial, wholesale and other establishments;</t>
    </r>
  </si>
  <si>
    <r>
      <rPr>
        <sz val="11"/>
        <rFont val="Calibri"/>
        <family val="2"/>
        <scheme val="minor"/>
      </rPr>
      <t>(b)  selling technical equipment, supplies and
related services to business establishments or individuals;</t>
    </r>
  </si>
  <si>
    <r>
      <rPr>
        <sz val="11"/>
        <rFont val="Calibri"/>
        <family val="2"/>
        <scheme val="minor"/>
      </rPr>
      <t>(c)  discussing the needs of new and existing customers and providing specialized
information about how particular equipment, supplies and services meet those needs;</t>
    </r>
  </si>
  <si>
    <r>
      <rPr>
        <sz val="11"/>
        <rFont val="Calibri"/>
        <family val="2"/>
        <scheme val="minor"/>
      </rPr>
      <t>(d)  quoting and negotiating prices and credit terms, and completing contracts and
recording orders;</t>
    </r>
  </si>
  <si>
    <r>
      <rPr>
        <sz val="11"/>
        <rFont val="Calibri"/>
        <family val="2"/>
        <scheme val="minor"/>
      </rPr>
      <t>(f)  arranging delivery of goods, installation of
equipment and the provision of services;</t>
    </r>
  </si>
  <si>
    <r>
      <rPr>
        <sz val="11"/>
        <rFont val="Calibri"/>
        <family val="2"/>
        <scheme val="minor"/>
      </rPr>
      <t>(g)  reporting customers’ reactions and requirements to
manufacturers.</t>
    </r>
  </si>
  <si>
    <r>
      <rPr>
        <sz val="11"/>
        <rFont val="Calibri"/>
        <family val="2"/>
        <scheme val="minor"/>
      </rPr>
      <t>(a)  consulting with users to formulate document requirements and with management to ensure agreement on systems
principles;</t>
    </r>
  </si>
  <si>
    <r>
      <rPr>
        <sz val="11"/>
        <rFont val="Calibri"/>
        <family val="2"/>
        <scheme val="minor"/>
      </rPr>
      <t>(b)  identifying and analysing business processes, procedures
and work practices;</t>
    </r>
  </si>
  <si>
    <r>
      <rPr>
        <sz val="11"/>
        <rFont val="Calibri"/>
        <family val="2"/>
        <scheme val="minor"/>
      </rPr>
      <t>(c)  identifying and evaluating inefficiencies and
recommending optimal
business practices and system functionality and behaviour;</t>
    </r>
  </si>
  <si>
    <r>
      <rPr>
        <sz val="11"/>
        <rFont val="Calibri"/>
        <family val="2"/>
        <scheme val="minor"/>
      </rPr>
      <t>(d)  taking responsibility for deploying functional solutions, such as creating, adopting and
implementing system test
plans;</t>
    </r>
  </si>
  <si>
    <r>
      <rPr>
        <sz val="11"/>
        <rFont val="Calibri"/>
        <family val="2"/>
        <scheme val="minor"/>
      </rPr>
      <t>(e)  developing functional specifications for use by
systems developers;</t>
    </r>
  </si>
  <si>
    <r>
      <rPr>
        <sz val="11"/>
        <rFont val="Calibri"/>
        <family val="2"/>
        <scheme val="minor"/>
      </rPr>
      <t>(f)  expanding or modifying systems to improve workflow
or serve new purposes;</t>
    </r>
  </si>
  <si>
    <r>
      <rPr>
        <sz val="11"/>
        <rFont val="Calibri"/>
        <family val="2"/>
        <scheme val="minor"/>
      </rPr>
      <t>(g)  coordinating and linking the computer systems within an organization to increase
compatibility.</t>
    </r>
  </si>
  <si>
    <r>
      <rPr>
        <sz val="11"/>
        <rFont val="Calibri"/>
        <family val="2"/>
        <scheme val="minor"/>
      </rPr>
      <t>researching, analysing and evaluating requirements for software applications and
operating systems;</t>
    </r>
  </si>
  <si>
    <r>
      <rPr>
        <sz val="11"/>
        <rFont val="Calibri"/>
        <family val="2"/>
        <scheme val="minor"/>
      </rPr>
      <t>researching, designing and
developing computer software systems;</t>
    </r>
  </si>
  <si>
    <r>
      <rPr>
        <sz val="11"/>
        <rFont val="Calibri"/>
        <family val="2"/>
        <scheme val="minor"/>
      </rPr>
      <t>consulting with engineering staff to evaluate interfaces
between hardware and software;</t>
    </r>
  </si>
  <si>
    <r>
      <rPr>
        <sz val="11"/>
        <rFont val="Calibri"/>
        <family val="2"/>
        <scheme val="minor"/>
      </rPr>
      <t>developing and directing software testing and validation
procedures;</t>
    </r>
  </si>
  <si>
    <r>
      <rPr>
        <sz val="11"/>
        <rFont val="Calibri"/>
        <family val="2"/>
        <scheme val="minor"/>
      </rPr>
      <t>modifying existing software to correct errors, to adapt it to new hardware or to upgrade
interfaces and improve performance;</t>
    </r>
  </si>
  <si>
    <r>
      <rPr>
        <sz val="11"/>
        <rFont val="Calibri"/>
        <family val="2"/>
        <scheme val="minor"/>
      </rPr>
      <t>directing software programming and
development of documentation;</t>
    </r>
  </si>
  <si>
    <r>
      <rPr>
        <sz val="11"/>
        <rFont val="Calibri"/>
        <family val="2"/>
        <scheme val="minor"/>
      </rPr>
      <t>assessing, developing, upgrading and documenting maintenance procedures for operating systems, communications environments
and applications software;</t>
    </r>
  </si>
  <si>
    <r>
      <rPr>
        <sz val="11"/>
        <rFont val="Calibri"/>
        <family val="2"/>
        <scheme val="minor"/>
      </rPr>
      <t>consulting with customers concerning maintenance of
software systems.</t>
    </r>
  </si>
  <si>
    <r>
      <rPr>
        <sz val="11"/>
        <rFont val="Calibri"/>
        <family val="2"/>
        <scheme val="minor"/>
      </rPr>
      <t>analysing, designing and developing Internet sites by applying a mixture of artistry and creativity with software programming and scripting languages and interfacing with
operating environments;</t>
    </r>
  </si>
  <si>
    <r>
      <rPr>
        <sz val="11"/>
        <rFont val="Calibri"/>
        <family val="2"/>
        <scheme val="minor"/>
      </rPr>
      <t>designing and developing digital animations, imaging, presentations, games, audio and video clips and Internet applications using multimedia software, tools and utilities,
interactive graphics and programming languages;</t>
    </r>
  </si>
  <si>
    <r>
      <rPr>
        <sz val="11"/>
        <rFont val="Calibri"/>
        <family val="2"/>
        <scheme val="minor"/>
      </rPr>
      <t>communicating with network specialists regarding web- related issues such as security and hosting websites, to control and enforce Internet and web server security, space allocation, user access, business continuity, website backup and disaster recovery
planning;</t>
    </r>
  </si>
  <si>
    <r>
      <rPr>
        <sz val="11"/>
        <rFont val="Calibri"/>
        <family val="2"/>
        <scheme val="minor"/>
      </rPr>
      <t>designing, developing and integrating computer code with other specialized inputs such as image files, audio files and scripting languages, to
produce, maintain and support websites;</t>
    </r>
  </si>
  <si>
    <r>
      <rPr>
        <sz val="11"/>
        <rFont val="Calibri"/>
        <family val="2"/>
        <scheme val="minor"/>
      </rPr>
      <t>assisting in analysing, specifying and developing Internet strategies, web-based methodologies and
development plans.</t>
    </r>
  </si>
  <si>
    <r>
      <rPr>
        <sz val="11"/>
        <rFont val="Calibri"/>
        <family val="2"/>
        <scheme val="minor"/>
      </rPr>
      <t>writing and maintaining program code outlined in instructions and specifications
in accordance with quality accredited standards;</t>
    </r>
  </si>
  <si>
    <r>
      <rPr>
        <sz val="11"/>
        <rFont val="Calibri"/>
        <family val="2"/>
        <scheme val="minor"/>
      </rPr>
      <t>revising, repairing or expanding existing programs to increase operating efficiency or adapt to new
requirements;</t>
    </r>
  </si>
  <si>
    <r>
      <rPr>
        <sz val="11"/>
        <rFont val="Calibri"/>
        <family val="2"/>
        <scheme val="minor"/>
      </rPr>
      <t>conducting trial runs of programs and software applications to confirm that
they will produce the desired information;</t>
    </r>
  </si>
  <si>
    <r>
      <rPr>
        <sz val="11"/>
        <rFont val="Calibri"/>
        <family val="2"/>
        <scheme val="minor"/>
      </rPr>
      <t>compiling and writing documentation of program
development;</t>
    </r>
  </si>
  <si>
    <r>
      <rPr>
        <sz val="11"/>
        <rFont val="Calibri"/>
        <family val="2"/>
        <scheme val="minor"/>
      </rPr>
      <t>identifying and communicating technical problems, processes and
solutions.</t>
    </r>
  </si>
  <si>
    <r>
      <rPr>
        <sz val="11"/>
        <rFont val="Calibri"/>
        <family val="2"/>
        <scheme val="minor"/>
      </rPr>
      <t>(a)  analysing, developing, interpreting and evaluating complex system design and architecture specifications, data models and diagrams in
the development, configuration and integration
of computer systems;</t>
    </r>
  </si>
  <si>
    <r>
      <rPr>
        <sz val="11"/>
        <rFont val="Calibri"/>
        <family val="2"/>
        <scheme val="minor"/>
      </rPr>
      <t>(b)  researching, analysing, evaluating and monitoring network infrastructure to ensure that networks are configured to operate at
optimal performance;</t>
    </r>
  </si>
  <si>
    <r>
      <rPr>
        <sz val="11"/>
        <rFont val="Calibri"/>
        <family val="2"/>
        <scheme val="minor"/>
      </rPr>
      <t>(c)  assessing and recommending improvements
to network operations and integrated hardware, software, communications and operating
systems;</t>
    </r>
  </si>
  <si>
    <r>
      <rPr>
        <sz val="11"/>
        <rFont val="Calibri"/>
        <family val="2"/>
        <scheme val="minor"/>
      </rPr>
      <t>(d)  providing specialist skills in supporting and
troubleshooting network
problems and emergencies;</t>
    </r>
  </si>
  <si>
    <r>
      <rPr>
        <sz val="11"/>
        <rFont val="Calibri"/>
        <family val="2"/>
        <scheme val="minor"/>
      </rPr>
      <t>(e)  installing, configuring, testing, maintaining and administering new and
upgraded networks, software database applications, servers
and workstations;</t>
    </r>
  </si>
  <si>
    <r>
      <rPr>
        <sz val="11"/>
        <rFont val="Calibri"/>
        <family val="2"/>
        <scheme val="minor"/>
      </rPr>
      <t>(f)  preparing and maintaining procedures and documentation
for network inventory, and recording diagnosis and resolution of network faults, enhancements and modifications to networks and
maintenance instructions;</t>
    </r>
  </si>
  <si>
    <r>
      <rPr>
        <sz val="11"/>
        <rFont val="Calibri"/>
        <family val="2"/>
        <scheme val="minor"/>
      </rPr>
      <t>(g)  monitoring network traffic and activity, capacity and usage to ensure continued
integrity and optimal network performance.</t>
    </r>
  </si>
  <si>
    <r>
      <rPr>
        <sz val="11"/>
        <rFont val="Calibri"/>
        <family val="2"/>
        <scheme val="minor"/>
      </rPr>
      <t>(a)  interviewing clients individually, in families or in
groups, to assess their situation and problems and determine the types of services
required;</t>
    </r>
  </si>
  <si>
    <r>
      <rPr>
        <sz val="11"/>
        <rFont val="Calibri"/>
        <family val="2"/>
        <scheme val="minor"/>
      </rPr>
      <t>(b)  analysing the client’s situation and presenting alternative approaches to
resolving problems;</t>
    </r>
  </si>
  <si>
    <r>
      <rPr>
        <sz val="11"/>
        <rFont val="Calibri"/>
        <family val="2"/>
        <scheme val="minor"/>
      </rPr>
      <t>Social Work and Counselling
Professionals</t>
    </r>
  </si>
  <si>
    <r>
      <rPr>
        <sz val="11"/>
        <rFont val="Calibri"/>
        <family val="2"/>
        <scheme val="minor"/>
      </rPr>
      <t>(c)  compiling case records or reports for courts and other
legal proceedings;</t>
    </r>
  </si>
  <si>
    <r>
      <rPr>
        <sz val="11"/>
        <rFont val="Calibri"/>
        <family val="2"/>
        <scheme val="minor"/>
      </rPr>
      <t>(d)  providing counselling, therapy and mediation
services, and facilitating group sessions to assist clients to develop skills and insights needed to deal with and resolve their social and
personal problems;</t>
    </r>
  </si>
  <si>
    <r>
      <rPr>
        <sz val="11"/>
        <rFont val="Calibri"/>
        <family val="2"/>
        <scheme val="minor"/>
      </rPr>
      <t>(e)  planning and implementing programmes of
assistance for clients, including crisis intervention and referral to agencies that provide financial assistance, legal aid, housing, medical
treatment and other services;</t>
    </r>
  </si>
  <si>
    <r>
      <rPr>
        <sz val="11"/>
        <rFont val="Calibri"/>
        <family val="2"/>
        <scheme val="minor"/>
      </rPr>
      <t>(f)  investigating cases of abuse or neglect and taking action to protect children and
other persons at risk;</t>
    </r>
  </si>
  <si>
    <r>
      <rPr>
        <sz val="11"/>
        <rFont val="Calibri"/>
        <family val="2"/>
        <scheme val="minor"/>
      </rPr>
      <t>(g)  working with offenders during and after sentence to help them to integrate into the
community and to change attitudes and behaviour in order to reduce further
offending;</t>
    </r>
  </si>
  <si>
    <r>
      <rPr>
        <sz val="11"/>
        <rFont val="Calibri"/>
        <family val="2"/>
        <scheme val="minor"/>
      </rPr>
      <t>(h)  providing advice to prison governors and to probation and parole review boards that helps determine whether, and
under what conditions, an offender should be incarcerated, released from
prison or undergo alternative correctional measures;</t>
    </r>
  </si>
  <si>
    <r>
      <rPr>
        <sz val="11"/>
        <rFont val="Calibri"/>
        <family val="2"/>
        <scheme val="minor"/>
      </rPr>
      <t>(i)  acting as advocates for client groups in the
community and lobbying  for solutions to problems affecting
them;</t>
    </r>
  </si>
  <si>
    <r>
      <rPr>
        <sz val="11"/>
        <rFont val="Calibri"/>
        <family val="2"/>
        <scheme val="minor"/>
      </rPr>
      <t>(j)  developing prevention and intervention programmes to
meet community needs;</t>
    </r>
  </si>
  <si>
    <r>
      <rPr>
        <sz val="11"/>
        <rFont val="Calibri"/>
        <family val="2"/>
        <scheme val="minor"/>
      </rPr>
      <t>(k)  maintaining contact with other social service agencies, educational institutions and health care providers involved
with clients to provide information and obtain feedback on clients’ overall
situation and progress.</t>
    </r>
  </si>
  <si>
    <r>
      <rPr>
        <sz val="11"/>
        <rFont val="Calibri"/>
        <family val="2"/>
        <scheme val="minor"/>
      </rPr>
      <t>(a)  perpetuating sacred traditions, practices and
beliefs;</t>
    </r>
  </si>
  <si>
    <r>
      <rPr>
        <sz val="11"/>
        <rFont val="Calibri"/>
        <family val="2"/>
        <scheme val="minor"/>
      </rPr>
      <t>(c)  undertaking various administrative and social
duties, including participating in committees and meetings of
religious organizations;</t>
    </r>
  </si>
  <si>
    <r>
      <rPr>
        <sz val="11"/>
        <rFont val="Calibri"/>
        <family val="2"/>
        <scheme val="minor"/>
      </rPr>
      <t>(e)  propagating religious doctrines in own country or
abroad;</t>
    </r>
  </si>
  <si>
    <r>
      <rPr>
        <sz val="11"/>
        <rFont val="Calibri"/>
        <family val="2"/>
        <scheme val="minor"/>
      </rPr>
      <t>(g)  developing and directing study courses and religious
education programmes;</t>
    </r>
  </si>
  <si>
    <r>
      <rPr>
        <sz val="11"/>
        <rFont val="Calibri"/>
        <family val="2"/>
        <scheme val="minor"/>
      </rPr>
      <t>(h)  counselling individuals regarding interpersonal,
health, financial and religious
problems;</t>
    </r>
  </si>
  <si>
    <r>
      <rPr>
        <sz val="11"/>
        <rFont val="Calibri"/>
        <family val="2"/>
        <scheme val="minor"/>
      </rPr>
      <t>(i)  scheduling and participating in special events such as camps, conferences,
seminars and retreats.</t>
    </r>
  </si>
  <si>
    <r>
      <rPr>
        <sz val="11"/>
        <rFont val="Calibri"/>
        <family val="2"/>
        <scheme val="minor"/>
      </rPr>
      <t>(b)  conducting research to establish factual content and to
obtain other necessary
information;</t>
    </r>
  </si>
  <si>
    <r>
      <rPr>
        <sz val="11"/>
        <rFont val="Calibri"/>
        <family val="2"/>
        <scheme val="minor"/>
      </rPr>
      <t>(c)  writing scripts and continuities and preparing programmes for stage, film,
radio and television productions;</t>
    </r>
  </si>
  <si>
    <r>
      <rPr>
        <sz val="11"/>
        <rFont val="Calibri"/>
        <family val="2"/>
        <scheme val="minor"/>
      </rPr>
      <t>(d)  analysing material, such as specifications, notes and
drawings, and creating manuals, instructions for use, user guides and other documents to explain clearly and concisely the installation, operation and maintenance of software, electronic, mechanical and other
equipment;</t>
    </r>
  </si>
  <si>
    <r>
      <rPr>
        <sz val="11"/>
        <rFont val="Calibri"/>
        <family val="2"/>
        <scheme val="minor"/>
      </rPr>
      <t>(e)  writing brochures, handbooks and similar
technical publications;</t>
    </r>
  </si>
  <si>
    <r>
      <rPr>
        <sz val="11"/>
        <rFont val="Calibri"/>
        <family val="2"/>
        <scheme val="minor"/>
      </rPr>
      <t>(f)  selecting material for publication, checking style, grammar and accuracy of content, arranging for any
necessary revisions and
checking proof copies before printing.</t>
    </r>
  </si>
  <si>
    <r>
      <rPr>
        <sz val="11"/>
        <rFont val="Calibri"/>
        <family val="2"/>
        <scheme val="minor"/>
      </rPr>
      <t>(a)  collecting local, national and international news through interviews, investigation and observation, attending public
events, seeking out records, reviewing written work, attending film and stage
performances;</t>
    </r>
  </si>
  <si>
    <r>
      <rPr>
        <sz val="11"/>
        <rFont val="Calibri"/>
        <family val="2"/>
        <scheme val="minor"/>
      </rPr>
      <t>(b)  collecting, reporting and commenting on news and
current affairs for publication in newspapers and periodicals, or for broadcasting by radio,
television or webcast media;</t>
    </r>
  </si>
  <si>
    <r>
      <rPr>
        <sz val="11"/>
        <rFont val="Calibri"/>
        <family val="2"/>
        <scheme val="minor"/>
      </rPr>
      <t>(c)  receiving, analysing and verifying news and other copy
for accuracy;</t>
    </r>
  </si>
  <si>
    <r>
      <rPr>
        <sz val="11"/>
        <rFont val="Calibri"/>
        <family val="2"/>
        <scheme val="minor"/>
      </rPr>
      <t>(d)  interviewing politicians and other public figures at
press conferences and on other occasions, including individual interviews recorded for radio, television or webcast
media;</t>
    </r>
  </si>
  <si>
    <r>
      <rPr>
        <sz val="11"/>
        <rFont val="Calibri"/>
        <family val="2"/>
        <scheme val="minor"/>
      </rPr>
      <t>(e)  researching and reporting on developments in
specialized fields such as
medicine, science and technology;</t>
    </r>
  </si>
  <si>
    <r>
      <rPr>
        <sz val="11"/>
        <rFont val="Calibri"/>
        <family val="2"/>
        <scheme val="minor"/>
      </rPr>
      <t>(f)  writing editorials and commentaries on topics of current interest to stimulate
public interest and express the
views of a publication or broadcasting station;</t>
    </r>
  </si>
  <si>
    <r>
      <rPr>
        <sz val="11"/>
        <rFont val="Calibri"/>
        <family val="2"/>
        <scheme val="minor"/>
      </rPr>
      <t>(g)  writing critical reviews of literary, musical and other
artistic works based on knowledge, judgement and experience for newspapers, television, radio and other
media;</t>
    </r>
  </si>
  <si>
    <r>
      <rPr>
        <sz val="11"/>
        <rFont val="Calibri"/>
        <family val="2"/>
        <scheme val="minor"/>
      </rPr>
      <t>(i)  liaising with production staff in checking final proof copies immediately prior to
printing;</t>
    </r>
  </si>
  <si>
    <r>
      <rPr>
        <sz val="11"/>
        <rFont val="Calibri"/>
        <family val="2"/>
        <scheme val="minor"/>
      </rPr>
      <t>(j)  selecting, assembling and preparing publicity material
about business or other organizations for issue through press, radio, television and
other media.</t>
    </r>
  </si>
  <si>
    <r>
      <rPr>
        <sz val="11"/>
        <rFont val="Calibri"/>
        <family val="2"/>
        <scheme val="minor"/>
      </rPr>
      <t>conceiving and developing ideas, designs and styles for paintings, drawings and
sculptures;</t>
    </r>
  </si>
  <si>
    <r>
      <rPr>
        <sz val="11"/>
        <rFont val="Calibri"/>
        <family val="2"/>
        <scheme val="minor"/>
      </rPr>
      <t>arranging objects, positioning models, and selecting landscapes and other visual
forms according to chosen subject matter;</t>
    </r>
  </si>
  <si>
    <r>
      <rPr>
        <sz val="11"/>
        <rFont val="Calibri"/>
        <family val="2"/>
        <scheme val="minor"/>
      </rPr>
      <t>creating representational or abstract three-dimensional or relief forms by shaping, carving and working and combining materials such as wood, stone, clay, metal, ice
or paper;</t>
    </r>
  </si>
  <si>
    <r>
      <rPr>
        <sz val="11"/>
        <rFont val="Calibri"/>
        <family val="2"/>
        <scheme val="minor"/>
      </rPr>
      <t>creating representational or abstract drawings and paintings using pencils, ink, chalk, oil paints, water colours
or through the application of other techniques;</t>
    </r>
  </si>
  <si>
    <r>
      <rPr>
        <sz val="11"/>
        <rFont val="Calibri"/>
        <family val="2"/>
        <scheme val="minor"/>
      </rPr>
      <t>creating drawings and engraving or etching them on
metal, wood or other materials;</t>
    </r>
  </si>
  <si>
    <r>
      <rPr>
        <sz val="11"/>
        <rFont val="Calibri"/>
        <family val="2"/>
        <scheme val="minor"/>
      </rPr>
      <t>creating cartoons to depict persons and events, often in
caricature;</t>
    </r>
  </si>
  <si>
    <r>
      <rPr>
        <sz val="11"/>
        <rFont val="Calibri"/>
        <family val="2"/>
        <scheme val="minor"/>
      </rPr>
      <t>restoring damaged, soiled and
faded paintings and other art objects.</t>
    </r>
  </si>
  <si>
    <r>
      <rPr>
        <sz val="11"/>
        <rFont val="Calibri"/>
        <family val="2"/>
        <scheme val="minor"/>
      </rPr>
      <t>creating melodic, harmonic and rhythmic structures to
express ideas and emotions in musical form;</t>
    </r>
  </si>
  <si>
    <r>
      <rPr>
        <sz val="11"/>
        <rFont val="Calibri"/>
        <family val="2"/>
        <scheme val="minor"/>
      </rPr>
      <t>translating ideas and concepts into standard musical signs and symbols for reproduction
and performance;</t>
    </r>
  </si>
  <si>
    <r>
      <rPr>
        <sz val="11"/>
        <rFont val="Calibri"/>
        <family val="2"/>
        <scheme val="minor"/>
      </rPr>
      <t>adapting or arranging music for particular instrumental or vocal groups, instruments or
occasions;</t>
    </r>
  </si>
  <si>
    <r>
      <rPr>
        <sz val="11"/>
        <rFont val="Calibri"/>
        <family val="2"/>
        <scheme val="minor"/>
      </rPr>
      <t>selecting music for performances and assigning instrumental parts to
musicians;</t>
    </r>
  </si>
  <si>
    <r>
      <rPr>
        <sz val="11"/>
        <rFont val="Calibri"/>
        <family val="2"/>
        <scheme val="minor"/>
      </rPr>
      <t>playing one or more musical instruments as a soloist or as a member of an orchestra or a
musical group;</t>
    </r>
  </si>
  <si>
    <r>
      <rPr>
        <sz val="11"/>
        <rFont val="Calibri"/>
        <family val="2"/>
        <scheme val="minor"/>
      </rPr>
      <t>practising and rehearsing to maintain a high standard of
performance.</t>
    </r>
  </si>
  <si>
    <r>
      <rPr>
        <sz val="11"/>
        <rFont val="Calibri"/>
        <family val="2"/>
        <scheme val="minor"/>
      </rPr>
      <t>conceiving and creating dances, which often convey a story, theme, idea or mood, by
a pattern of steps, movements and gestures;</t>
    </r>
  </si>
  <si>
    <r>
      <rPr>
        <sz val="11"/>
        <rFont val="Calibri"/>
        <family val="2"/>
        <scheme val="minor"/>
      </rPr>
      <t>performing dances as a soloist, with a partner or as a member of a dancing group before live audiences or for film,
television or other visual media;</t>
    </r>
  </si>
  <si>
    <r>
      <rPr>
        <sz val="11"/>
        <rFont val="Calibri"/>
        <family val="2"/>
        <scheme val="minor"/>
      </rPr>
      <t>training, exercising and attending dance classes to maintain the required levels of
ability and fitness;</t>
    </r>
  </si>
  <si>
    <r>
      <rPr>
        <sz val="11"/>
        <rFont val="Calibri"/>
        <family val="2"/>
        <scheme val="minor"/>
      </rPr>
      <t>directing and participating in rehearsals to practice dance steps and techniques required
for a performance;</t>
    </r>
  </si>
  <si>
    <r>
      <rPr>
        <sz val="11"/>
        <rFont val="Calibri"/>
        <family val="2"/>
        <scheme val="minor"/>
      </rPr>
      <t>auditioning for dance roles or
for membership in dance companies;</t>
    </r>
  </si>
  <si>
    <r>
      <rPr>
        <sz val="11"/>
        <rFont val="Calibri"/>
        <family val="2"/>
        <scheme val="minor"/>
      </rPr>
      <t>coordinating the production music with the music
directors.</t>
    </r>
  </si>
  <si>
    <r>
      <rPr>
        <sz val="11"/>
        <rFont val="Calibri"/>
        <family val="2"/>
        <scheme val="minor"/>
      </rPr>
      <t>(a)  choosing writers, studying scripts to determine artistic interpretation, and instructing
actors on acting methods;</t>
    </r>
  </si>
  <si>
    <r>
      <rPr>
        <sz val="11"/>
        <rFont val="Calibri"/>
        <family val="2"/>
        <scheme val="minor"/>
      </rPr>
      <t>(b)  directing all aspects of dramatic productions on stage, television, radio or in motion pictures, including choice of
actors, and final decisions concerning costumes, set designs, sound or lighting
effects;</t>
    </r>
  </si>
  <si>
    <r>
      <rPr>
        <sz val="11"/>
        <rFont val="Calibri"/>
        <family val="2"/>
        <scheme val="minor"/>
      </rPr>
      <t>(c)  planning, organizing and controlling the various stages and scheduling involved in the production of presentations,
motion pictures, television shows and radio programmes;</t>
    </r>
  </si>
  <si>
    <r>
      <rPr>
        <sz val="11"/>
        <rFont val="Calibri"/>
        <family val="2"/>
        <scheme val="minor"/>
      </rPr>
      <t>(d)  engaging and supervising all technical personnel, and determining the treatment,
scope and scheduling of
production;</t>
    </r>
  </si>
  <si>
    <r>
      <rPr>
        <sz val="11"/>
        <rFont val="Calibri"/>
        <family val="2"/>
        <scheme val="minor"/>
      </rPr>
      <t>(e)  maintaining production archives and negotiating
royalties;</t>
    </r>
  </si>
  <si>
    <r>
      <rPr>
        <sz val="11"/>
        <rFont val="Calibri"/>
        <family val="2"/>
        <scheme val="minor"/>
      </rPr>
      <t>(f)  creating, planning or writing scripts for recording,
videotaping and editing programmes;</t>
    </r>
  </si>
  <si>
    <r>
      <rPr>
        <sz val="11"/>
        <rFont val="Calibri"/>
        <family val="2"/>
        <scheme val="minor"/>
      </rPr>
      <t>(g)  supervising the positioning of scenery, props
and lighting and sound equipment.</t>
    </r>
  </si>
  <si>
    <r>
      <rPr>
        <sz val="11"/>
        <rFont val="Calibri"/>
        <family val="2"/>
        <scheme val="minor"/>
      </rPr>
      <t>(a)  reading news bulletins and making other announcements
on radio or television;</t>
    </r>
  </si>
  <si>
    <r>
      <rPr>
        <sz val="11"/>
        <rFont val="Calibri"/>
        <family val="2"/>
        <scheme val="minor"/>
      </rPr>
      <t>(b)  introducing performing artists or persons being interviewed, and making related announcements on
radio, television, or in theatres,
night clubs and other establishments;</t>
    </r>
  </si>
  <si>
    <r>
      <rPr>
        <sz val="11"/>
        <rFont val="Calibri"/>
        <family val="2"/>
        <scheme val="minor"/>
      </rPr>
      <t>(c)  interviewing persons in public, especially on radio and
television;</t>
    </r>
  </si>
  <si>
    <r>
      <rPr>
        <sz val="11"/>
        <rFont val="Calibri"/>
        <family val="2"/>
        <scheme val="minor"/>
      </rPr>
      <t>(e)  commenting on music and other matters, such as weather
or traffic conditions.</t>
    </r>
  </si>
  <si>
    <r>
      <rPr>
        <sz val="11"/>
        <rFont val="Calibri"/>
        <family val="2"/>
        <scheme val="minor"/>
      </rPr>
      <t>(b)  performing tricks of illusion and sleight of hand,
and feats of hypnotism;</t>
    </r>
  </si>
  <si>
    <r>
      <rPr>
        <sz val="11"/>
        <rFont val="Calibri"/>
        <family val="2"/>
        <scheme val="minor"/>
      </rPr>
      <t>(a)  performing or assisting with field and laboratory tests
of soils and construction
materials;</t>
    </r>
  </si>
  <si>
    <r>
      <rPr>
        <sz val="11"/>
        <rFont val="Calibri"/>
        <family val="2"/>
        <scheme val="minor"/>
      </rPr>
      <t>(b)  providing technical assistance connected with the construction of buildings and
other structures, and with surveys or the preparation of
survey reports;</t>
    </r>
  </si>
  <si>
    <r>
      <rPr>
        <sz val="11"/>
        <rFont val="Calibri"/>
        <family val="2"/>
        <scheme val="minor"/>
      </rPr>
      <t>(c)  ensuring compliance with design specifications, relevant
legislation and regulations, and maintenance of desired standards of materials and
work;</t>
    </r>
  </si>
  <si>
    <r>
      <rPr>
        <sz val="11"/>
        <rFont val="Calibri"/>
        <family val="2"/>
        <scheme val="minor"/>
      </rPr>
      <t>(d)  applying technical knowledge of building and civil engineering principles
and practices in order to identify and solve problems
arising;</t>
    </r>
  </si>
  <si>
    <r>
      <rPr>
        <sz val="11"/>
        <rFont val="Calibri"/>
        <family val="2"/>
        <scheme val="minor"/>
      </rPr>
      <t>(e)  assisting with the preparation of detailed
estimates of quantities and costs of materials and labour required for projects,
according to the specifications given;</t>
    </r>
  </si>
  <si>
    <r>
      <rPr>
        <sz val="11"/>
        <rFont val="Calibri"/>
        <family val="2"/>
        <scheme val="minor"/>
      </rPr>
      <t>(h)  inspecting industrial plant, hotels, cinemas and other buildings and structures to
detect fire hazards and advise on how they can be removed;</t>
    </r>
  </si>
  <si>
    <r>
      <rPr>
        <sz val="11"/>
        <rFont val="Calibri"/>
        <family val="2"/>
        <scheme val="minor"/>
      </rPr>
      <t>(i)  advising on the installation of fire detectors and sprinkler
systems and the use of materials in the construction of buildings, and means of transportation to reduce risk of
fire and extent of damage and danger if fire occurs.</t>
    </r>
  </si>
  <si>
    <r>
      <rPr>
        <sz val="11"/>
        <rFont val="Calibri"/>
        <family val="2"/>
        <scheme val="minor"/>
      </rPr>
      <t>providing technical assistance in research on and development of electrical equipment and facilities, or
testing prototypes;</t>
    </r>
  </si>
  <si>
    <r>
      <rPr>
        <sz val="11"/>
        <rFont val="Calibri"/>
        <family val="2"/>
        <scheme val="minor"/>
      </rPr>
      <t>designing and preparing blueprints of electrical installations and circuitry
according to the specifications given;</t>
    </r>
  </si>
  <si>
    <r>
      <rPr>
        <sz val="11"/>
        <rFont val="Calibri"/>
        <family val="2"/>
        <scheme val="minor"/>
      </rPr>
      <t>preparing detailed estimates of quantities and costs of materials and labour required for manufacture and installation, according to the
specifications given;</t>
    </r>
  </si>
  <si>
    <r>
      <rPr>
        <sz val="11"/>
        <rFont val="Calibri"/>
        <family val="2"/>
        <scheme val="minor"/>
      </rPr>
      <t>monitoring technical aspects of the manufacture, installation, utilization, maintenance and repair of electrical systems and equipment to ensure satisfactory performance and compliance with specifications
and regulations;</t>
    </r>
  </si>
  <si>
    <r>
      <rPr>
        <sz val="11"/>
        <rFont val="Calibri"/>
        <family val="2"/>
        <scheme val="minor"/>
      </rPr>
      <t>planning installation methods, checking completed installations for safety and controls or undertaking the initial running of the new
electrical equipment or systems;</t>
    </r>
  </si>
  <si>
    <r>
      <rPr>
        <sz val="11"/>
        <rFont val="Calibri"/>
        <family val="2"/>
        <scheme val="minor"/>
      </rPr>
      <t>assembling, installing, testing, calibrating, modifying and repairing electrical equipment and installations to conform with regulations and safety
requirements.</t>
    </r>
  </si>
  <si>
    <r>
      <rPr>
        <sz val="11"/>
        <rFont val="Calibri"/>
        <family val="2"/>
        <scheme val="minor"/>
      </rPr>
      <t>designing and preparing blueprints of electronic circuitry according to the
specifications given;</t>
    </r>
  </si>
  <si>
    <r>
      <rPr>
        <sz val="11"/>
        <rFont val="Calibri"/>
        <family val="2"/>
        <scheme val="minor"/>
      </rPr>
      <t>preparing detailed estimates of quantities and costs of materials and labour required for the manufacture and installation of electronic equipment, according to the
specifications given;</t>
    </r>
  </si>
  <si>
    <r>
      <rPr>
        <sz val="11"/>
        <rFont val="Calibri"/>
        <family val="2"/>
        <scheme val="minor"/>
      </rPr>
      <t>monitoring technical aspects of the manufacture, utilization, maintenance and repair of electronic equipment to ensure satisfactory performance and
ensure compliance with specifications and regulations;</t>
    </r>
  </si>
  <si>
    <r>
      <rPr>
        <sz val="11"/>
        <rFont val="Calibri"/>
        <family val="2"/>
        <scheme val="minor"/>
      </rPr>
      <t>assisting in the design, development, installation,
operation and maintenance of electronic systems;</t>
    </r>
  </si>
  <si>
    <r>
      <rPr>
        <sz val="11"/>
        <rFont val="Calibri"/>
        <family val="2"/>
        <scheme val="minor"/>
      </rPr>
      <t>planning installation methods, checking completed installations for safety and controls or undertaking the initial running of the new electronic equipment or
system;</t>
    </r>
  </si>
  <si>
    <r>
      <rPr>
        <sz val="11"/>
        <rFont val="Calibri"/>
        <family val="2"/>
        <scheme val="minor"/>
      </rPr>
      <t>conducting tests of electronic systems, collecting and analysing data, and
assembling circuitry in support of electronics engineers.</t>
    </r>
  </si>
  <si>
    <r>
      <rPr>
        <sz val="11"/>
        <rFont val="Calibri"/>
        <family val="2"/>
        <scheme val="minor"/>
      </rPr>
      <t>(a)  providing technical assistance in research on and development of machines and
mechanical installations,
facilities and components, or testing prototypes;</t>
    </r>
  </si>
  <si>
    <r>
      <rPr>
        <sz val="11"/>
        <rFont val="Calibri"/>
        <family val="2"/>
        <scheme val="minor"/>
      </rPr>
      <t>(b)  designing and preparing layouts of machines and mechanical installations, facilities and components,
according to the specifications given;</t>
    </r>
  </si>
  <si>
    <r>
      <rPr>
        <sz val="11"/>
        <rFont val="Calibri"/>
        <family val="2"/>
        <scheme val="minor"/>
      </rPr>
      <t>(c)  preparing detailed estimates of quantities and costs of materials and labour required for manufacture and installation, according to the
specifications given;</t>
    </r>
  </si>
  <si>
    <r>
      <rPr>
        <sz val="11"/>
        <rFont val="Calibri"/>
        <family val="2"/>
        <scheme val="minor"/>
      </rPr>
      <t>(d)  monitoring technical aspects of manufacture,
utilization, maintenance and repair of machines and mechanical installations, facilities and components to ensure satisfactory performance and compliance with specifications and
regulations;</t>
    </r>
  </si>
  <si>
    <r>
      <rPr>
        <sz val="11"/>
        <rFont val="Calibri"/>
        <family val="2"/>
        <scheme val="minor"/>
      </rPr>
      <t>(e)  developing and monitoring the
implementation of safety standards and procedures for marine survey work in relation to ships’ hulls, equipment and
cargoes;</t>
    </r>
  </si>
  <si>
    <r>
      <rPr>
        <sz val="11"/>
        <rFont val="Calibri"/>
        <family val="2"/>
        <scheme val="minor"/>
      </rPr>
      <t>(f)  assembling and installing new and modified mechanical
assemblies, components,
machine tools and controls, and hydraulic power systems;</t>
    </r>
  </si>
  <si>
    <r>
      <rPr>
        <sz val="11"/>
        <rFont val="Calibri"/>
        <family val="2"/>
        <scheme val="minor"/>
      </rPr>
      <t>(g)  conducting tests of mechanical systems, collecting
and analysing data, and assembling and installing mechanical assemblies in
support of mechanical engineers;</t>
    </r>
  </si>
  <si>
    <r>
      <rPr>
        <sz val="11"/>
        <rFont val="Calibri"/>
        <family val="2"/>
        <scheme val="minor"/>
      </rPr>
      <t>(h)  ensuring that mechanical engineering designs and finished work are within
specifications, regulations and
contract provisions.</t>
    </r>
  </si>
  <si>
    <r>
      <rPr>
        <sz val="11"/>
        <rFont val="Calibri"/>
        <family val="2"/>
        <scheme val="minor"/>
      </rPr>
      <t>(a)  providing technical assistance to aid in research on and development of processes to determine the properties of
metals and new alloys;</t>
    </r>
  </si>
  <si>
    <r>
      <rPr>
        <sz val="11"/>
        <rFont val="Calibri"/>
        <family val="2"/>
        <scheme val="minor"/>
      </rPr>
      <t>(b)  providing technical assistance in geological and topographical surveys and in the design and layout of oil, natural gas and mineral ore extraction and transportation systems, and processing and refining plants for minerals
and metals;</t>
    </r>
  </si>
  <si>
    <r>
      <rPr>
        <sz val="11"/>
        <rFont val="Calibri"/>
        <family val="2"/>
        <scheme val="minor"/>
      </rPr>
      <t>(c)  preparing detailed estimates of quantities and costs of materials and labour required for mineral, oil and
natural gas exploration,
extraction, processing and transport projects;</t>
    </r>
  </si>
  <si>
    <r>
      <rPr>
        <sz val="11"/>
        <rFont val="Calibri"/>
        <family val="2"/>
        <scheme val="minor"/>
      </rPr>
      <t>(d)  monitoring technical, regulatory and safety aspects
of the construction, installation, operation, maintenance and repair of mineral ore, oil and natural gas exploration, extraction, transport and storage installations and mineral
processing plants;</t>
    </r>
  </si>
  <si>
    <r>
      <rPr>
        <sz val="11"/>
        <rFont val="Calibri"/>
        <family val="2"/>
        <scheme val="minor"/>
      </rPr>
      <t>(f)  collecting and preparing rock, mineral and metal
samples, performing laboratory tests to determine properties, analysing and reporting test results and
maintaining testing equipment;</t>
    </r>
  </si>
  <si>
    <r>
      <rPr>
        <sz val="11"/>
        <rFont val="Calibri"/>
        <family val="2"/>
        <scheme val="minor"/>
      </rPr>
      <t>(g)  using microscopes, electromagnetic irradiation machines, spectrometers,
spectrographs, densitometers and tension testing machines;</t>
    </r>
  </si>
  <si>
    <r>
      <rPr>
        <sz val="11"/>
        <rFont val="Calibri"/>
        <family val="2"/>
        <scheme val="minor"/>
      </rPr>
      <t>(h)  assisting scientists in the use of electrical, sonic, or
nuclear measuring instruments in both laboratory and production activities to obtain data indicating potential sources of metallic ore, gas, or
petroleum.</t>
    </r>
  </si>
  <si>
    <r>
      <rPr>
        <sz val="11"/>
        <rFont val="Calibri"/>
        <family val="2"/>
        <scheme val="minor"/>
      </rPr>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r>
  </si>
  <si>
    <r>
      <rPr>
        <sz val="11"/>
        <rFont val="Calibri"/>
        <family val="2"/>
        <scheme val="minor"/>
      </rPr>
      <t>operating computer-aided design and draughting equipment to create, modify and generate hard-copy and
digital representations of working drawings;</t>
    </r>
  </si>
  <si>
    <r>
      <rPr>
        <sz val="11"/>
        <rFont val="Calibri"/>
        <family val="2"/>
        <scheme val="minor"/>
      </rPr>
      <t>operating digitizing table or similar equipment to transfer hard-copy representation of
working drawings, maps and other curves to digital form;</t>
    </r>
  </si>
  <si>
    <r>
      <rPr>
        <sz val="11"/>
        <rFont val="Calibri"/>
        <family val="2"/>
        <scheme val="minor"/>
      </rPr>
      <t>preparing and revising illustrations for reference works, brochures and technical manuals dealing with the assembly, installation, operation, maintenance and repair of machinery and other
equipment and goods;</t>
    </r>
  </si>
  <si>
    <r>
      <rPr>
        <sz val="11"/>
        <rFont val="Calibri"/>
        <family val="2"/>
        <scheme val="minor"/>
      </rPr>
      <t>copying drawings and paintings onto stone or metal
plates for printing;</t>
    </r>
  </si>
  <si>
    <r>
      <rPr>
        <sz val="11"/>
        <rFont val="Calibri"/>
        <family val="2"/>
        <scheme val="minor"/>
      </rPr>
      <t>preparing wiring diagrams, circuit board assembly diagrams and layout drawings used for manufacture, installation and repair of electrical equipment in factories, power plants and
buildings;</t>
    </r>
  </si>
  <si>
    <r>
      <rPr>
        <sz val="11"/>
        <rFont val="Calibri"/>
        <family val="2"/>
        <scheme val="minor"/>
      </rPr>
      <t>creating detailed working diagrams of machinery and mechanical devices, including dimensions, fastening methods and other engineering
information;</t>
    </r>
  </si>
  <si>
    <r>
      <rPr>
        <sz val="11"/>
        <rFont val="Calibri"/>
        <family val="2"/>
        <scheme val="minor"/>
      </rPr>
      <t>arranging for completed
drawings to be reproduced for use as working drawings.</t>
    </r>
  </si>
  <si>
    <r>
      <rPr>
        <sz val="11"/>
        <rFont val="Calibri"/>
        <family val="2"/>
        <scheme val="minor"/>
      </rPr>
      <t>(a)  collecting data and providing technical assistance regarding:  efficient, safe and
economic utilization of personnel, material and equipment;  methods of work and sequence of operations and supervision of their implementation; and efficient
layout of plant or establishment;</t>
    </r>
  </si>
  <si>
    <r>
      <rPr>
        <sz val="11"/>
        <rFont val="Calibri"/>
        <family val="2"/>
        <scheme val="minor"/>
      </rPr>
      <t>(b)  aiding in the identification of potential hazards and
introducing safety procedures and devices;</t>
    </r>
  </si>
  <si>
    <r>
      <rPr>
        <sz val="11"/>
        <rFont val="Calibri"/>
        <family val="2"/>
        <scheme val="minor"/>
      </rPr>
      <t>(c)  modifying and testing equipment and devices used in
the prevention, control and remediation of environmental pollution, in site remediation and land reclamation;</t>
    </r>
  </si>
  <si>
    <r>
      <rPr>
        <sz val="11"/>
        <rFont val="Calibri"/>
        <family val="2"/>
        <scheme val="minor"/>
      </rPr>
      <t>(d)  assisting in the development of environmental pollution remediation devices
under the direction of an engineer;</t>
    </r>
  </si>
  <si>
    <r>
      <rPr>
        <sz val="11"/>
        <rFont val="Calibri"/>
        <family val="2"/>
        <scheme val="minor"/>
      </rPr>
      <t>(e)  assisting engineers in testing and designing robotics
equipment.</t>
    </r>
  </si>
  <si>
    <r>
      <rPr>
        <sz val="11"/>
        <rFont val="Calibri"/>
        <family val="2"/>
        <scheme val="minor"/>
      </rPr>
      <t>organizing and planning the daily work with regard to plans, economy, staff and
environment;</t>
    </r>
  </si>
  <si>
    <r>
      <rPr>
        <sz val="11"/>
        <rFont val="Calibri"/>
        <family val="2"/>
        <scheme val="minor"/>
      </rPr>
      <t>organizing and coordinating the material and human resources required to complete
jobs;</t>
    </r>
  </si>
  <si>
    <r>
      <rPr>
        <sz val="11"/>
        <rFont val="Calibri"/>
        <family val="2"/>
        <scheme val="minor"/>
      </rPr>
      <t>examining equipment and construction sites to ensure that health and safety
requirements are met;</t>
    </r>
  </si>
  <si>
    <r>
      <rPr>
        <sz val="11"/>
        <rFont val="Calibri"/>
        <family val="2"/>
        <scheme val="minor"/>
      </rPr>
      <t>operating, monitoring and inspecting various types of
energy-generating power plants;</t>
    </r>
  </si>
  <si>
    <r>
      <rPr>
        <sz val="11"/>
        <rFont val="Calibri"/>
        <family val="2"/>
        <scheme val="minor"/>
      </rPr>
      <t>operating and controlling power-generating systems and equipment including boilers, turbines, generators, condensers and reactors in hydro, thermal, coal, oil, natural gas and nuclear power plants to generate and
distribute electrical power;</t>
    </r>
  </si>
  <si>
    <r>
      <rPr>
        <sz val="11"/>
        <rFont val="Calibri"/>
        <family val="2"/>
        <scheme val="minor"/>
      </rPr>
      <t>controlling start-up and shut- down of power plant equipment, controlling switching operations, regulating water levels and communicating with systems operators to regulate and
coordinate transmission loads, frequency and line voltages;</t>
    </r>
  </si>
  <si>
    <r>
      <rPr>
        <sz val="11"/>
        <rFont val="Calibri"/>
        <family val="2"/>
        <scheme val="minor"/>
      </rPr>
      <t>taking readings from charts, meters and gauges at established intervals, troubleshooting and
performing corrective action as necessary;</t>
    </r>
  </si>
  <si>
    <r>
      <rPr>
        <sz val="11"/>
        <rFont val="Calibri"/>
        <family val="2"/>
        <scheme val="minor"/>
      </rPr>
      <t>completing and maintaining station records, logs and reports, and communicating with other plant personnel to
assess equipment operating status;</t>
    </r>
  </si>
  <si>
    <r>
      <rPr>
        <sz val="11"/>
        <rFont val="Calibri"/>
        <family val="2"/>
        <scheme val="minor"/>
      </rPr>
      <t>cleaning and maintaining equipment such as generators, boilers, turbines, pumps and compressors in order to prevent equipment failure or
deterioration.</t>
    </r>
  </si>
  <si>
    <r>
      <rPr>
        <sz val="11"/>
        <rFont val="Calibri"/>
        <family val="2"/>
        <scheme val="minor"/>
      </rPr>
      <t>(a)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r>
  </si>
  <si>
    <r>
      <rPr>
        <sz val="11"/>
        <rFont val="Calibri"/>
        <family val="2"/>
        <scheme val="minor"/>
      </rPr>
      <t>(b)  controlling the operation of multiple-hearth incinerator
furnaces and related equipment to burn sludge and solid waste in waste treatment
plants;</t>
    </r>
  </si>
  <si>
    <r>
      <rPr>
        <sz val="11"/>
        <rFont val="Calibri"/>
        <family val="2"/>
        <scheme val="minor"/>
      </rPr>
      <t>(d)  monitoring and adjusting controls of auxiliary
equipment such as exhaust emissions, scrubbers and incinerator heat recovery
units;</t>
    </r>
  </si>
  <si>
    <r>
      <rPr>
        <sz val="11"/>
        <rFont val="Calibri"/>
        <family val="2"/>
        <scheme val="minor"/>
      </rPr>
      <t>(e)  collecting and testing water and sewage samples for
chemical and bacterial
content, using test equipment and colour analysis standards;</t>
    </r>
  </si>
  <si>
    <r>
      <rPr>
        <sz val="11"/>
        <rFont val="Calibri"/>
        <family val="2"/>
        <scheme val="minor"/>
      </rPr>
      <t>(f)  analysing test results to make adjustments to plant equipment and systems to
disinfect and deodorize water
and other liquids;</t>
    </r>
  </si>
  <si>
    <r>
      <rPr>
        <sz val="11"/>
        <rFont val="Calibri"/>
        <family val="2"/>
        <scheme val="minor"/>
      </rPr>
      <t>(g)  performing security and safety checks in plant and on
grounds;</t>
    </r>
  </si>
  <si>
    <r>
      <rPr>
        <sz val="11"/>
        <rFont val="Calibri"/>
        <family val="2"/>
        <scheme val="minor"/>
      </rPr>
      <t>(h)  completing and maintaining plant logs and
reports.</t>
    </r>
  </si>
  <si>
    <r>
      <rPr>
        <sz val="11"/>
        <rFont val="Calibri"/>
        <family val="2"/>
        <scheme val="minor"/>
      </rPr>
      <t>operating electronic or computerized control panels from a central control room to monitor and optimize physical and chemical processes for
several processing units;</t>
    </r>
  </si>
  <si>
    <r>
      <rPr>
        <sz val="11"/>
        <rFont val="Calibri"/>
        <family val="2"/>
        <scheme val="minor"/>
      </rPr>
      <t>controlling the preparation, measuring and feeding of raw materials and processing
agents such as catalysts and filtering media into plant;</t>
    </r>
  </si>
  <si>
    <r>
      <rPr>
        <sz val="11"/>
        <rFont val="Calibri"/>
        <family val="2"/>
        <scheme val="minor"/>
      </rPr>
      <t>controlling process start-up and shut-down, troubleshooting and monitoring outside process
equipment;</t>
    </r>
  </si>
  <si>
    <r>
      <rPr>
        <sz val="11"/>
        <rFont val="Calibri"/>
        <family val="2"/>
        <scheme val="minor"/>
      </rPr>
      <t>(a)  preparing materials and equipment for experiments,
tests and analyses;</t>
    </r>
  </si>
  <si>
    <r>
      <rPr>
        <sz val="11"/>
        <rFont val="Calibri"/>
        <family val="2"/>
        <scheme val="minor"/>
      </rPr>
      <t>(b)  collecting and preparing specimens such as soils, plant or animal cells, tissues or parts
of animal organs for experiments, tests and analyses;</t>
    </r>
  </si>
  <si>
    <r>
      <rPr>
        <sz val="11"/>
        <rFont val="Calibri"/>
        <family val="2"/>
        <scheme val="minor"/>
      </rPr>
      <t>(c)  assisting with and performing experiments, tests
and analyses applying methods and techniques such as microscopy, histochemistry, chromatography, electrophoresis and
spectroscopy;</t>
    </r>
  </si>
  <si>
    <r>
      <rPr>
        <sz val="11"/>
        <rFont val="Calibri"/>
        <family val="2"/>
        <scheme val="minor"/>
      </rPr>
      <t>(d)  identifying pathogenic micro-organisms and insects, parasites, fungi and weeds harmful to crops and livestock,
and assisting in devising methods of control;</t>
    </r>
  </si>
  <si>
    <r>
      <rPr>
        <sz val="11"/>
        <rFont val="Calibri"/>
        <family val="2"/>
        <scheme val="minor"/>
      </rPr>
      <t>(e)  analysing produce to set and maintain standards of
quality;</t>
    </r>
  </si>
  <si>
    <r>
      <rPr>
        <sz val="11"/>
        <rFont val="Calibri"/>
        <family val="2"/>
        <scheme val="minor"/>
      </rPr>
      <t>(f)  conducting or supervising operational programmes such as fish hatchery, greenhouse
and livestock production
programmes;</t>
    </r>
  </si>
  <si>
    <r>
      <rPr>
        <sz val="11"/>
        <rFont val="Calibri"/>
        <family val="2"/>
        <scheme val="minor"/>
      </rPr>
      <t>(g)  analysing samples of seeds for quality, purity and
germination rating;</t>
    </r>
  </si>
  <si>
    <r>
      <rPr>
        <sz val="11"/>
        <rFont val="Calibri"/>
        <family val="2"/>
        <scheme val="minor"/>
      </rPr>
      <t>(h)  collecting data and estimating quantities and costs
of materials and labour required for projects;</t>
    </r>
  </si>
  <si>
    <r>
      <rPr>
        <sz val="11"/>
        <rFont val="Calibri"/>
        <family val="2"/>
        <scheme val="minor"/>
      </rPr>
      <t>(i)  organizing maintenance and repairs of research
equipment.</t>
    </r>
  </si>
  <si>
    <r>
      <rPr>
        <sz val="11"/>
        <rFont val="Calibri"/>
        <family val="2"/>
        <scheme val="minor"/>
      </rPr>
      <t>controlling and participating in the operation, maintenance and repair of mechanical, electrical and electronic equipment and machinery on
board ship;</t>
    </r>
  </si>
  <si>
    <r>
      <rPr>
        <sz val="11"/>
        <rFont val="Calibri"/>
        <family val="2"/>
        <scheme val="minor"/>
      </rPr>
      <t>ordering fuel and other engine-room department
stores and maintaining records
of operations;</t>
    </r>
  </si>
  <si>
    <r>
      <rPr>
        <sz val="11"/>
        <rFont val="Calibri"/>
        <family val="2"/>
        <scheme val="minor"/>
      </rPr>
      <t>performing technical supervision of the installation, maintenance and repair of ships’ machinery and equipment to ensure compliance with specifications
and regulations;</t>
    </r>
  </si>
  <si>
    <r>
      <rPr>
        <sz val="11"/>
        <rFont val="Calibri"/>
        <family val="2"/>
        <scheme val="minor"/>
      </rPr>
      <t>inspecting and conducting maintenance and emergency repairs to engines, machinery
and auxiliary equipment;</t>
    </r>
  </si>
  <si>
    <r>
      <rPr>
        <sz val="11"/>
        <rFont val="Calibri"/>
        <family val="2"/>
        <scheme val="minor"/>
      </rPr>
      <t>standing engine room watch, monitoring and noting performance of engines,
machinery and auxiliary equipment.</t>
    </r>
  </si>
  <si>
    <r>
      <rPr>
        <sz val="11"/>
        <rFont val="Calibri"/>
        <family val="2"/>
        <scheme val="minor"/>
      </rPr>
      <t>commanding and navigating ship or similar vessel at sea or
on inland waterways;</t>
    </r>
  </si>
  <si>
    <r>
      <rPr>
        <sz val="11"/>
        <rFont val="Calibri"/>
        <family val="2"/>
        <scheme val="minor"/>
      </rPr>
      <t>controlling and participating in deck and bridge watch
activities;</t>
    </r>
  </si>
  <si>
    <r>
      <rPr>
        <sz val="11"/>
        <rFont val="Calibri"/>
        <family val="2"/>
        <scheme val="minor"/>
      </rPr>
      <t>ensuring safe loading and unloading of cargo and observance of safety
regulations and procedures by crew and passengers;</t>
    </r>
  </si>
  <si>
    <r>
      <rPr>
        <sz val="11"/>
        <rFont val="Calibri"/>
        <family val="2"/>
        <scheme val="minor"/>
      </rPr>
      <t>performing technical supervision of maintenance and repair of ships to ensure compliance with specifications
and regulations;</t>
    </r>
  </si>
  <si>
    <r>
      <rPr>
        <sz val="11"/>
        <rFont val="Calibri"/>
        <family val="2"/>
        <scheme val="minor"/>
      </rPr>
      <t>applying knowledge of principles and practices relating to ships’ operation and navigation in order to identify and solve problems
arising in the course of their work;</t>
    </r>
  </si>
  <si>
    <r>
      <rPr>
        <sz val="11"/>
        <rFont val="Calibri"/>
        <family val="2"/>
        <scheme val="minor"/>
      </rPr>
      <t>ordering ships’ stores, recruiting crew as required and maintaining records of
operations;</t>
    </r>
  </si>
  <si>
    <r>
      <rPr>
        <sz val="11"/>
        <rFont val="Calibri"/>
        <family val="2"/>
        <scheme val="minor"/>
      </rPr>
      <t>transmitting and receiving routine and emergency information with shore
stations and other ships.</t>
    </r>
  </si>
  <si>
    <r>
      <rPr>
        <sz val="11"/>
        <rFont val="Calibri"/>
        <family val="2"/>
        <scheme val="minor"/>
      </rPr>
      <t>conducting chemical analysis of body fluids, including blood, urine and spinal fluid, to determine presence of
normal and abnormal components;</t>
    </r>
  </si>
  <si>
    <r>
      <rPr>
        <sz val="11"/>
        <rFont val="Calibri"/>
        <family val="2"/>
        <scheme val="minor"/>
      </rPr>
      <t>operating, calibrating and maintaining equipment used in quantitative and qualitative analysis, such as spectrophotometers, calorimeters, flame
photometers and computer- controlled analysers;</t>
    </r>
  </si>
  <si>
    <r>
      <rPr>
        <sz val="11"/>
        <rFont val="Calibri"/>
        <family val="2"/>
        <scheme val="minor"/>
      </rPr>
      <t>entering data from analysis of laboratory tests and clinical results into record-keeping systems, and reporting results to medical practitioners and
other health professionals;</t>
    </r>
  </si>
  <si>
    <r>
      <rPr>
        <sz val="11"/>
        <rFont val="Calibri"/>
        <family val="2"/>
        <scheme val="minor"/>
      </rPr>
      <t>establishing and monitoring programmes to ensure the accuracy of laboratory results, and developing, standardizing, evaluating and modifying procedures, techniques and tests used in the analysis of
specimens;</t>
    </r>
  </si>
  <si>
    <r>
      <rPr>
        <sz val="11"/>
        <rFont val="Calibri"/>
        <family val="2"/>
        <scheme val="minor"/>
      </rPr>
      <t>(a)  preparing medications and other pharmaceutical compounds under the
guidance of a pharmacist or other health professional;</t>
    </r>
  </si>
  <si>
    <r>
      <rPr>
        <sz val="11"/>
        <rFont val="Calibri"/>
        <family val="2"/>
        <scheme val="minor"/>
      </rPr>
      <t>(b)  dispensing medicines and drugs to clients and giving written and oral instructions on their use, as prescribed by medical doctors, veterinarians
or other health professionals;</t>
    </r>
  </si>
  <si>
    <r>
      <rPr>
        <sz val="11"/>
        <rFont val="Calibri"/>
        <family val="2"/>
        <scheme val="minor"/>
      </rPr>
      <t>(c)  receiving prescriptions or refill requests from health professionals and verifying that information is complete and accurate according to
medical record-keeping
standards;</t>
    </r>
  </si>
  <si>
    <r>
      <rPr>
        <sz val="11"/>
        <rFont val="Calibri"/>
        <family val="2"/>
        <scheme val="minor"/>
      </rPr>
      <t>Pharmaceutical
Technicians and Assistants</t>
    </r>
  </si>
  <si>
    <r>
      <rPr>
        <sz val="11"/>
        <rFont val="Calibri"/>
        <family val="2"/>
        <scheme val="minor"/>
      </rPr>
      <t>(d)  maintaining proper storage and security conditions
for drugs;</t>
    </r>
  </si>
  <si>
    <r>
      <rPr>
        <sz val="11"/>
        <rFont val="Calibri"/>
        <family val="2"/>
        <scheme val="minor"/>
      </rPr>
      <t>(e)  filling and labelling containers with prescribed
medications;</t>
    </r>
  </si>
  <si>
    <r>
      <rPr>
        <sz val="11"/>
        <rFont val="Calibri"/>
        <family val="2"/>
        <scheme val="minor"/>
      </rPr>
      <t>(f)  assisting clients by answering questions, locating items or referring them to a
pharmacist for medication information;</t>
    </r>
  </si>
  <si>
    <r>
      <rPr>
        <sz val="11"/>
        <rFont val="Calibri"/>
        <family val="2"/>
        <scheme val="minor"/>
      </rPr>
      <t>(g)  pricing and filing prescriptions that have been filled and establishing and maintaining patient records, including lists of medications
taken by individual patients;</t>
    </r>
  </si>
  <si>
    <r>
      <rPr>
        <sz val="11"/>
        <rFont val="Calibri"/>
        <family val="2"/>
        <scheme val="minor"/>
      </rPr>
      <t>(h)  ordering, labelling, and counting stocks of
medications, chemicals and supplies, and entering inventory data into record-
keeping systems;</t>
    </r>
  </si>
  <si>
    <r>
      <rPr>
        <sz val="11"/>
        <rFont val="Calibri"/>
        <family val="2"/>
        <scheme val="minor"/>
      </rPr>
      <t>(i)  cleaning and preparing equipment and containers used
to prepare and dispense
medicines and pharmaceutical compounds.</t>
    </r>
  </si>
  <si>
    <r>
      <rPr>
        <sz val="11"/>
        <rFont val="Calibri"/>
        <family val="2"/>
        <scheme val="minor"/>
      </rPr>
      <t>examining, interviewing and measuring patients in order to determine their appliance needs, and to identify factors
that could affect appliance fit;</t>
    </r>
  </si>
  <si>
    <r>
      <rPr>
        <sz val="11"/>
        <rFont val="Calibri"/>
        <family val="2"/>
        <scheme val="minor"/>
      </rPr>
      <t>conferring with medical and dental practitioners in order to formulate specifications and
prescriptions for devices and appliances;</t>
    </r>
  </si>
  <si>
    <r>
      <rPr>
        <sz val="11"/>
        <rFont val="Calibri"/>
        <family val="2"/>
        <scheme val="minor"/>
      </rPr>
      <t>making or receiving casts or impressions of patients’ torsos, limbs, mouths or teeth
for use as fabrication patterns;</t>
    </r>
  </si>
  <si>
    <r>
      <rPr>
        <sz val="11"/>
        <rFont val="Calibri"/>
        <family val="2"/>
        <scheme val="minor"/>
      </rPr>
      <t>designing and making orthotic and prosthetic devices using materials such as thermoplastic and thermosetting materials, metal alloys and leather, and hand
and power tools;</t>
    </r>
  </si>
  <si>
    <r>
      <rPr>
        <sz val="11"/>
        <rFont val="Calibri"/>
        <family val="2"/>
        <scheme val="minor"/>
      </rPr>
      <t>fitting appliances and devices to patients, testing and evaluating them, and making
adjustments for proper fit, function and comfort;</t>
    </r>
  </si>
  <si>
    <r>
      <rPr>
        <sz val="11"/>
        <rFont val="Calibri"/>
        <family val="2"/>
        <scheme val="minor"/>
      </rPr>
      <t>repairing, modifying and maintaining medical and dental prosthetic and
supportive devices, according to specifications;</t>
    </r>
  </si>
  <si>
    <r>
      <rPr>
        <sz val="11"/>
        <rFont val="Calibri"/>
        <family val="2"/>
        <scheme val="minor"/>
      </rPr>
      <t>bending, forming and shaping fabric or material so that it conforms to prescribed contours needed to fabricate
structural components;</t>
    </r>
  </si>
  <si>
    <r>
      <rPr>
        <sz val="11"/>
        <rFont val="Calibri"/>
        <family val="2"/>
        <scheme val="minor"/>
      </rPr>
      <t>fabricating full and partial dentures and constructing mouth guards, crowns, metal
clasps, inlays, bridgework and other aids;</t>
    </r>
  </si>
  <si>
    <r>
      <rPr>
        <sz val="11"/>
        <rFont val="Calibri"/>
        <family val="2"/>
        <scheme val="minor"/>
      </rPr>
      <t>advising communities and individuals on the treatment of animals and their diseases and
injuries;</t>
    </r>
  </si>
  <si>
    <r>
      <rPr>
        <sz val="11"/>
        <rFont val="Calibri"/>
        <family val="2"/>
        <scheme val="minor"/>
      </rPr>
      <t>conducting examinations of animals to make diagnoses or refer more difficult cases to
veterinarians when needed;</t>
    </r>
  </si>
  <si>
    <r>
      <rPr>
        <sz val="11"/>
        <rFont val="Calibri"/>
        <family val="2"/>
        <scheme val="minor"/>
      </rPr>
      <t>Veterinary Technicians and
Assistants</t>
    </r>
  </si>
  <si>
    <r>
      <rPr>
        <sz val="11"/>
        <rFont val="Calibri"/>
        <family val="2"/>
        <scheme val="minor"/>
      </rPr>
      <t>treating ill or injured animals, especially for common
diseases and disorders;</t>
    </r>
  </si>
  <si>
    <r>
      <rPr>
        <sz val="11"/>
        <rFont val="Calibri"/>
        <family val="2"/>
        <scheme val="minor"/>
      </rPr>
      <t>cleaning and sterilising examination tables and instruments and preparing materials used in the
examination and treatment of animals;</t>
    </r>
  </si>
  <si>
    <r>
      <rPr>
        <sz val="11"/>
        <rFont val="Calibri"/>
        <family val="2"/>
        <scheme val="minor"/>
      </rPr>
      <t>getting animals ready for examination or treatment and restraining or holding them
during treatment;</t>
    </r>
  </si>
  <si>
    <r>
      <rPr>
        <sz val="11"/>
        <rFont val="Calibri"/>
        <family val="2"/>
        <scheme val="minor"/>
      </rPr>
      <t>assisting veterinarians to administer anaesthetics and
oxygen during treatment;</t>
    </r>
  </si>
  <si>
    <r>
      <rPr>
        <sz val="11"/>
        <rFont val="Calibri"/>
        <family val="2"/>
        <scheme val="minor"/>
      </rPr>
      <t>placing animals in cages for recovery from operations and
monitoring their condition;</t>
    </r>
  </si>
  <si>
    <r>
      <rPr>
        <sz val="11"/>
        <rFont val="Calibri"/>
        <family val="2"/>
        <scheme val="minor"/>
      </rPr>
      <t>producing radiographs, collecting samples, and performing other laboratory
tests to assist in diagnosis of animal health problems;</t>
    </r>
  </si>
  <si>
    <r>
      <rPr>
        <sz val="11"/>
        <rFont val="Calibri"/>
        <family val="2"/>
        <scheme val="minor"/>
      </rPr>
      <t>performing routine animal dental procedures and assisting veterinarians with
animal dentistry.</t>
    </r>
  </si>
  <si>
    <r>
      <rPr>
        <sz val="11"/>
        <rFont val="Calibri"/>
        <family val="2"/>
        <scheme val="minor"/>
      </rPr>
      <t>advising communities and individuals on dental hygiene, diet and other preventive
measures to reduce potential risks to oral health;</t>
    </r>
  </si>
  <si>
    <r>
      <rPr>
        <sz val="11"/>
        <rFont val="Calibri"/>
        <family val="2"/>
        <scheme val="minor"/>
      </rPr>
      <t>conducting visual and physical examinations of patients’ mouths, teeth and related structures to assess oral health
status;</t>
    </r>
  </si>
  <si>
    <r>
      <rPr>
        <sz val="11"/>
        <rFont val="Calibri"/>
        <family val="2"/>
        <scheme val="minor"/>
      </rPr>
      <t>identifying cases of patients with poor oral health or oral disease requiring referral to a
dentist or other health professional;</t>
    </r>
  </si>
  <si>
    <r>
      <rPr>
        <sz val="11"/>
        <rFont val="Calibri"/>
        <family val="2"/>
        <scheme val="minor"/>
      </rPr>
      <t>providing fluoride treatments, cleaning and removing deposits from teeth, preparing cavities and placing fillings, administering local anaesthesia, and performing other types of basic or routine
clinical dental procedures;</t>
    </r>
  </si>
  <si>
    <r>
      <rPr>
        <sz val="11"/>
        <rFont val="Calibri"/>
        <family val="2"/>
        <scheme val="minor"/>
      </rPr>
      <t>preparing, cleaning and sterilizing dental instruments, equipment and materials used in the examination and
treatment of patients;</t>
    </r>
  </si>
  <si>
    <r>
      <rPr>
        <sz val="11"/>
        <rFont val="Calibri"/>
        <family val="2"/>
        <scheme val="minor"/>
      </rPr>
      <t>getting patients ready for examination or treatment, including explaining procedures and correct
positioning;</t>
    </r>
  </si>
  <si>
    <r>
      <rPr>
        <sz val="11"/>
        <rFont val="Calibri"/>
        <family val="2"/>
        <scheme val="minor"/>
      </rPr>
      <t>planning, developing, maintaining  and operating a variety of health record indexes and storage and retrieval systems to collect,
classify, store and analyse information;</t>
    </r>
  </si>
  <si>
    <r>
      <rPr>
        <sz val="11"/>
        <rFont val="Calibri"/>
        <family val="2"/>
        <scheme val="minor"/>
      </rPr>
      <t>transcribing, compiling and processing patient medical records, admission and discharge documents, and other medical reports into record-keeping systems to provide data for patient monitoring and referral, epidemiological monitoring, research, billing, cost control
and care improvement;</t>
    </r>
  </si>
  <si>
    <r>
      <rPr>
        <sz val="11"/>
        <rFont val="Calibri"/>
        <family val="2"/>
        <scheme val="minor"/>
      </rPr>
      <t>translating narrative descriptions and numeric information from medical records and other documents on health services delivery into codes associated with standard classification
systems;</t>
    </r>
  </si>
  <si>
    <r>
      <rPr>
        <sz val="11"/>
        <rFont val="Calibri"/>
        <family val="2"/>
        <scheme val="minor"/>
      </rPr>
      <t>protecting the security of medical records to ensure that confidentiality is maintained, and releasing information to authorized persons and
agencies in accordance with regulations;</t>
    </r>
  </si>
  <si>
    <r>
      <rPr>
        <sz val="11"/>
        <rFont val="Calibri"/>
        <family val="2"/>
        <scheme val="minor"/>
      </rPr>
      <t>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r>
  </si>
  <si>
    <r>
      <rPr>
        <sz val="11"/>
        <rFont val="Calibri"/>
        <family val="2"/>
        <scheme val="minor"/>
      </rPr>
      <t>visiting families in their homes to provide information on the health, social and other services available and support them in gaining access to these
services;</t>
    </r>
  </si>
  <si>
    <r>
      <rPr>
        <sz val="11"/>
        <rFont val="Calibri"/>
        <family val="2"/>
        <scheme val="minor"/>
      </rPr>
      <t>visiting families who do not usually access medical establishments to monitor on a regular basis certain conditions such as progress with pregnancy, child growth and development, and
environmental sanitation;</t>
    </r>
  </si>
  <si>
    <r>
      <rPr>
        <sz val="11"/>
        <rFont val="Calibri"/>
        <family val="2"/>
        <scheme val="minor"/>
      </rPr>
      <t>conducting outreach efforts to groups who do not usually access medical establishments with information and basic medical supplies for prevention and management of certain health conditions for which they are most at risk, such as HIV/AIDS and other
communicable diseases;</t>
    </r>
  </si>
  <si>
    <r>
      <rPr>
        <sz val="11"/>
        <rFont val="Calibri"/>
        <family val="2"/>
        <scheme val="minor"/>
      </rPr>
      <t>collecting data from households and communities who do not usually access medical establishments for purposes of patient monitoring
and referral and reporting to meet health regulations.</t>
    </r>
  </si>
  <si>
    <r>
      <rPr>
        <sz val="11"/>
        <rFont val="Calibri"/>
        <family val="2"/>
        <scheme val="minor"/>
      </rPr>
      <t>examining and taking facial and eye measurements of clients for fitting of eyeglasses
and other optical devices;</t>
    </r>
  </si>
  <si>
    <r>
      <rPr>
        <sz val="11"/>
        <rFont val="Calibri"/>
        <family val="2"/>
        <scheme val="minor"/>
      </rPr>
      <t>providing advice to clients on selection and maintenance of eyeglasses and frames, types of contact lenses and other optical devices for
performance, safety, comfort and lifestyle;</t>
    </r>
  </si>
  <si>
    <r>
      <rPr>
        <sz val="11"/>
        <rFont val="Calibri"/>
        <family val="2"/>
        <scheme val="minor"/>
      </rPr>
      <t>interpreting optical prescriptions and preparing work orders for optical laboratories for grinding and mounting of lenses in frames, preparation of contact lenses
and other required work;</t>
    </r>
  </si>
  <si>
    <r>
      <rPr>
        <sz val="11"/>
        <rFont val="Calibri"/>
        <family val="2"/>
        <scheme val="minor"/>
      </rPr>
      <t>verifying exactness of finished optical appliances and devices to the original prescription and
fit of clients.</t>
    </r>
  </si>
  <si>
    <r>
      <rPr>
        <sz val="11"/>
        <rFont val="Calibri"/>
        <family val="2"/>
        <scheme val="minor"/>
      </rPr>
      <t>administering manual treatments such as massage therapy or pressure point
therapy;</t>
    </r>
  </si>
  <si>
    <r>
      <rPr>
        <sz val="11"/>
        <rFont val="Calibri"/>
        <family val="2"/>
        <scheme val="minor"/>
      </rPr>
      <t>administering electrical modality treatments, ultrasound and other physical
therapies using specialized techniques and equipment;</t>
    </r>
  </si>
  <si>
    <r>
      <rPr>
        <sz val="11"/>
        <rFont val="Calibri"/>
        <family val="2"/>
        <scheme val="minor"/>
      </rPr>
      <t>instructing, motivating, safeguarding and assisting patients as they practise physical exercises, relaxation
techniques and functional activities;</t>
    </r>
  </si>
  <si>
    <r>
      <rPr>
        <sz val="11"/>
        <rFont val="Calibri"/>
        <family val="2"/>
        <scheme val="minor"/>
      </rPr>
      <t>conferring with physiotherapists or other health care providers to evaluate patient information for planning, modifying and
coordinating treatment;</t>
    </r>
  </si>
  <si>
    <r>
      <rPr>
        <sz val="11"/>
        <rFont val="Calibri"/>
        <family val="2"/>
        <scheme val="minor"/>
      </rPr>
      <t>monitoring and recording patients’ progress during treatment, including
measuring their range-of-joint motion and vital signs;</t>
    </r>
  </si>
  <si>
    <r>
      <rPr>
        <sz val="11"/>
        <rFont val="Calibri"/>
        <family val="2"/>
        <scheme val="minor"/>
      </rPr>
      <t>fitting patients for orthopaedic braces, prostheses and other physical support devices such as crutches, and instructing patients in the use of such
devices.</t>
    </r>
  </si>
  <si>
    <r>
      <rPr>
        <sz val="11"/>
        <rFont val="Calibri"/>
        <family val="2"/>
        <scheme val="minor"/>
      </rPr>
      <t>(a)  advising employers’ and workers’ representatives on
the implementation of governmental and other rules and regulations concerning occupational safety and the
working environment;</t>
    </r>
  </si>
  <si>
    <r>
      <rPr>
        <sz val="11"/>
        <rFont val="Calibri"/>
        <family val="2"/>
        <scheme val="minor"/>
      </rPr>
      <t>(b)  inspecting places of work to ensure that the working environment, machinery and
equipment conform to governmental and other rules, regulations and standards related to sanitation and/or occupational and environmental health and
safety;</t>
    </r>
  </si>
  <si>
    <r>
      <rPr>
        <sz val="11"/>
        <rFont val="Calibri"/>
        <family val="2"/>
        <scheme val="minor"/>
      </rPr>
      <t>(d)  inspecting places of work and, by interviews,
observations and other means, obtaining information about work practices and accidents
to determine compliance with safety rules and regulations;</t>
    </r>
  </si>
  <si>
    <r>
      <rPr>
        <sz val="11"/>
        <rFont val="Calibri"/>
        <family val="2"/>
        <scheme val="minor"/>
      </rPr>
      <t>(e)  inspecting areas of production, processing,
transport, handling, storage and sale of products to ensure conformity with governmental
and other rules, regulations and standards;</t>
    </r>
  </si>
  <si>
    <r>
      <rPr>
        <sz val="11"/>
        <rFont val="Calibri"/>
        <family val="2"/>
        <scheme val="minor"/>
      </rPr>
      <t>(f)  advising enterprises and the general public on the
implementation of governmental and other rules and regulations concerning hygiene, sanitation, purity and grading of primary products, food, drugs, cosmetics and
similar goods;</t>
    </r>
  </si>
  <si>
    <r>
      <rPr>
        <sz val="11"/>
        <rFont val="Calibri"/>
        <family val="2"/>
        <scheme val="minor"/>
      </rPr>
      <t>(g)  inspecting establishments to ensure that they conform to governmental and other rules
and regulations concerning emission of pollutants and disposal of dangerous wastes;</t>
    </r>
  </si>
  <si>
    <r>
      <rPr>
        <sz val="11"/>
        <rFont val="Calibri"/>
        <family val="2"/>
        <scheme val="minor"/>
      </rPr>
      <t>(h)  initiating action to maintain or improve hygiene and prevent pollution of water,
air, food or soil;</t>
    </r>
  </si>
  <si>
    <r>
      <rPr>
        <sz val="11"/>
        <rFont val="Calibri"/>
        <family val="2"/>
        <scheme val="minor"/>
      </rPr>
      <t>(i)   promoting preventive and corrective measures such as control of disease-carrying organisms and of harmful substances in the air, hygienic food handling, proper disposal
of waste and cleaning of public places;</t>
    </r>
  </si>
  <si>
    <r>
      <rPr>
        <sz val="11"/>
        <rFont val="Calibri"/>
        <family val="2"/>
        <scheme val="minor"/>
      </rPr>
      <t>(j)   estimating quantities and costs of materials and labour required for health, safety and
sanitation remediation projects;</t>
    </r>
  </si>
  <si>
    <r>
      <rPr>
        <sz val="11"/>
        <rFont val="Calibri"/>
        <family val="2"/>
        <scheme val="minor"/>
      </rPr>
      <t>(a)  obtaining information about the financial
circumstances of customers
and companies in which investments may be made;</t>
    </r>
  </si>
  <si>
    <r>
      <rPr>
        <sz val="11"/>
        <rFont val="Calibri"/>
        <family val="2"/>
        <scheme val="minor"/>
      </rPr>
      <t>(b)  analysing market trends for securities, bonds, stocks
and other financial instruments, including foreign
exchange;</t>
    </r>
  </si>
  <si>
    <r>
      <rPr>
        <sz val="11"/>
        <rFont val="Calibri"/>
        <family val="2"/>
        <scheme val="minor"/>
      </rPr>
      <t>Securities and Finance Dealers and
Brokers</t>
    </r>
  </si>
  <si>
    <r>
      <rPr>
        <sz val="11"/>
        <rFont val="Calibri"/>
        <family val="2"/>
        <scheme val="minor"/>
      </rPr>
      <t>(c)  informing prospective customers about market
conditions and prospects;</t>
    </r>
  </si>
  <si>
    <r>
      <rPr>
        <sz val="11"/>
        <rFont val="Calibri"/>
        <family val="2"/>
        <scheme val="minor"/>
      </rPr>
      <t>(d)  advising on and participating in the negotiation of terms for, and organization
of, loans and placement of stocks and bonds in the financial market to raise
capital for customers;</t>
    </r>
  </si>
  <si>
    <r>
      <rPr>
        <sz val="11"/>
        <rFont val="Calibri"/>
        <family val="2"/>
        <scheme val="minor"/>
      </rPr>
      <t>(e)  recording and transmitting buy and sell orders for
securities, stocks, bonds or other financial instruments and
for foreign exchange for future or immediate delivery.</t>
    </r>
  </si>
  <si>
    <r>
      <rPr>
        <sz val="11"/>
        <rFont val="Calibri"/>
        <family val="2"/>
        <scheme val="minor"/>
      </rPr>
      <t>interviewing applicants for personal, mortgage, student
and business loans;</t>
    </r>
  </si>
  <si>
    <r>
      <rPr>
        <sz val="11"/>
        <rFont val="Calibri"/>
        <family val="2"/>
        <scheme val="minor"/>
      </rPr>
      <t>researching and evaluating loan applicants’ financial status, references, credit and
ability to repay the loan;</t>
    </r>
  </si>
  <si>
    <r>
      <rPr>
        <sz val="11"/>
        <rFont val="Calibri"/>
        <family val="2"/>
        <scheme val="minor"/>
      </rPr>
      <t>submitting credit and loan applications to management
with recommendations for approval or rejection;</t>
    </r>
  </si>
  <si>
    <r>
      <rPr>
        <sz val="11"/>
        <rFont val="Calibri"/>
        <family val="2"/>
        <scheme val="minor"/>
      </rPr>
      <t>approving or rejecting loan applications within authorized limits ensuring that credit standards of the institution are
respected;</t>
    </r>
  </si>
  <si>
    <r>
      <rPr>
        <sz val="11"/>
        <rFont val="Calibri"/>
        <family val="2"/>
        <scheme val="minor"/>
      </rPr>
      <t>maintaining complete records of all financial transactions of an undertaking according to general bookkeeping principles, with guidance from
accountants;</t>
    </r>
  </si>
  <si>
    <r>
      <rPr>
        <sz val="11"/>
        <rFont val="Calibri"/>
        <family val="2"/>
        <scheme val="minor"/>
      </rPr>
      <t>verifying accuracy of documents and records relating to payments, receipts
and other financial transactions;</t>
    </r>
  </si>
  <si>
    <r>
      <rPr>
        <sz val="11"/>
        <rFont val="Calibri"/>
        <family val="2"/>
        <scheme val="minor"/>
      </rPr>
      <t>Accounting Associate
Professionals</t>
    </r>
  </si>
  <si>
    <r>
      <rPr>
        <sz val="11"/>
        <rFont val="Calibri"/>
        <family val="2"/>
        <scheme val="minor"/>
      </rPr>
      <t>preparing financial statements and reports for specified
periods;</t>
    </r>
  </si>
  <si>
    <r>
      <rPr>
        <sz val="11"/>
        <rFont val="Calibri"/>
        <family val="2"/>
        <scheme val="minor"/>
      </rPr>
      <t>applying knowledge of bookkeeping principles and practices in order to identify and solve problems arising in
the course of their work;</t>
    </r>
  </si>
  <si>
    <r>
      <rPr>
        <sz val="11"/>
        <rFont val="Calibri"/>
        <family val="2"/>
        <scheme val="minor"/>
      </rPr>
      <t>using standard computer software packages to perform accounting and related
calculations;</t>
    </r>
  </si>
  <si>
    <r>
      <rPr>
        <sz val="11"/>
        <rFont val="Calibri"/>
        <family val="2"/>
        <scheme val="minor"/>
      </rPr>
      <t>(a)  assisting in planning and performing statistical,
mathematical, actuarial, and related calculations;</t>
    </r>
  </si>
  <si>
    <r>
      <rPr>
        <sz val="11"/>
        <rFont val="Calibri"/>
        <family val="2"/>
        <scheme val="minor"/>
      </rPr>
      <t>(b)  preparing detailed estimates of quantities and costs of materials and labour required for statistical census
and survey operations;</t>
    </r>
  </si>
  <si>
    <r>
      <rPr>
        <sz val="11"/>
        <rFont val="Calibri"/>
        <family val="2"/>
        <scheme val="minor"/>
      </rPr>
      <t>(c)  performing technical tasks connected with establishing,
maintaining and using registers and sampling frames for census and survey
operations;</t>
    </r>
  </si>
  <si>
    <r>
      <rPr>
        <sz val="11"/>
        <rFont val="Calibri"/>
        <family val="2"/>
        <scheme val="minor"/>
      </rPr>
      <t>(d)  performing technical tasks connected with data collection and quality control operations
in censuses and surveys;</t>
    </r>
  </si>
  <si>
    <r>
      <rPr>
        <sz val="11"/>
        <rFont val="Calibri"/>
        <family val="2"/>
        <scheme val="minor"/>
      </rPr>
      <t>(e)  using standard computer software packages to perform
mathematical, actuarial, statistical, accounting and related calculations;</t>
    </r>
  </si>
  <si>
    <r>
      <rPr>
        <sz val="11"/>
        <rFont val="Calibri"/>
        <family val="2"/>
        <scheme val="minor"/>
      </rPr>
      <t>(f)  preparing statistical, mathematical, actuarial,
accounting and other results for presentation in graphical or tabular form;</t>
    </r>
  </si>
  <si>
    <r>
      <rPr>
        <sz val="11"/>
        <rFont val="Calibri"/>
        <family val="2"/>
        <scheme val="minor"/>
      </rPr>
      <t>(g)  applying knowledge of statistical, mathematical, actuarial, accounting and
related principles and practices in order to identify and solve problems arising in the course
of their work;</t>
    </r>
  </si>
  <si>
    <r>
      <rPr>
        <sz val="11"/>
        <rFont val="Calibri"/>
        <family val="2"/>
        <scheme val="minor"/>
      </rPr>
      <t>(a)  determining the quality or value of raw materials, real estate, industrial equipment,
personal and household effects, works of art, gems and other objects;</t>
    </r>
  </si>
  <si>
    <r>
      <rPr>
        <sz val="11"/>
        <rFont val="Calibri"/>
        <family val="2"/>
        <scheme val="minor"/>
      </rPr>
      <t>(b)  assessing the extent of damage or loss and liabilities of insurance companies and
underwriters for losses covered by insurance policies;</t>
    </r>
  </si>
  <si>
    <r>
      <rPr>
        <sz val="11"/>
        <rFont val="Calibri"/>
        <family val="2"/>
        <scheme val="minor"/>
      </rPr>
      <t>(c)  obtaining records of sales and value of similar items or
property;</t>
    </r>
  </si>
  <si>
    <r>
      <rPr>
        <sz val="11"/>
        <rFont val="Calibri"/>
        <family val="2"/>
        <scheme val="minor"/>
      </rPr>
      <t>(d)  inspecting items or property to evaluate condition,
size and construction;</t>
    </r>
  </si>
  <si>
    <r>
      <rPr>
        <sz val="11"/>
        <rFont val="Calibri"/>
        <family val="2"/>
        <scheme val="minor"/>
      </rPr>
      <t>(a)  obtaining information about customers’
circumstances necessary to determine appropriate type of
insurance and conditions;</t>
    </r>
  </si>
  <si>
    <r>
      <rPr>
        <sz val="11"/>
        <rFont val="Calibri"/>
        <family val="2"/>
        <scheme val="minor"/>
      </rPr>
      <t>(b)  negotiating with customers to determine type and degree of risk for which
insurance is required;</t>
    </r>
  </si>
  <si>
    <r>
      <rPr>
        <sz val="11"/>
        <rFont val="Calibri"/>
        <family val="2"/>
        <scheme val="minor"/>
      </rPr>
      <t>(c)  explaining details of insurance and conditions, risk
coverage premiums and
benefits to customers;</t>
    </r>
  </si>
  <si>
    <r>
      <rPr>
        <sz val="11"/>
        <rFont val="Calibri"/>
        <family val="2"/>
        <scheme val="minor"/>
      </rPr>
      <t>(d)  assisting clients to determine the type and level of coverage required, calculating
premiums and establishing method of payment;</t>
    </r>
  </si>
  <si>
    <r>
      <rPr>
        <sz val="11"/>
        <rFont val="Calibri"/>
        <family val="2"/>
        <scheme val="minor"/>
      </rPr>
      <t>(f)  advising on, negotiating terms for and placing
insurance contracts for large
or special types of projects, installations or risks.</t>
    </r>
  </si>
  <si>
    <r>
      <rPr>
        <sz val="11"/>
        <rFont val="Calibri"/>
        <family val="2"/>
        <scheme val="minor"/>
      </rPr>
      <t>(b)  selling equipment, supplies and related services to business establishments or
individuals;</t>
    </r>
  </si>
  <si>
    <r>
      <rPr>
        <sz val="11"/>
        <rFont val="Calibri"/>
        <family val="2"/>
        <scheme val="minor"/>
      </rPr>
      <t>(d)  providing prospective customers with information about the characteristics and functions of the products and
equipment for sale, and
demonstrating its use or qualities;</t>
    </r>
  </si>
  <si>
    <r>
      <rPr>
        <sz val="11"/>
        <rFont val="Calibri"/>
        <family val="2"/>
        <scheme val="minor"/>
      </rPr>
      <t>(e)  quoting prices and credit terms, recording orders and
arranging deliveries;</t>
    </r>
  </si>
  <si>
    <r>
      <rPr>
        <sz val="11"/>
        <rFont val="Calibri"/>
        <family val="2"/>
        <scheme val="minor"/>
      </rPr>
      <t>(g)  following up clients to ensure satisfaction with
products purchased.</t>
    </r>
  </si>
  <si>
    <r>
      <rPr>
        <sz val="11"/>
        <rFont val="Calibri"/>
        <family val="2"/>
        <scheme val="minor"/>
      </rPr>
      <t>(a)  determining or negotiating contract terms and conditions, awarding supplier contracts or
recommending contract awards for the purchase of equipment, raw materials,
products, services and merchandise for resale;</t>
    </r>
  </si>
  <si>
    <r>
      <rPr>
        <sz val="11"/>
        <rFont val="Calibri"/>
        <family val="2"/>
        <scheme val="minor"/>
      </rPr>
      <t>(b)  obtaining information about requirements and stock and developing specifications for quantity and quality to be
purchased, costs, delivery dates and other contract
conditions;</t>
    </r>
  </si>
  <si>
    <r>
      <rPr>
        <sz val="11"/>
        <rFont val="Calibri"/>
        <family val="2"/>
        <scheme val="minor"/>
      </rPr>
      <t>(c)   purchasing general and specialized equipment,
materials or business services for use or for further processing by their
establishment;</t>
    </r>
  </si>
  <si>
    <r>
      <rPr>
        <sz val="11"/>
        <rFont val="Calibri"/>
        <family val="2"/>
        <scheme val="minor"/>
      </rPr>
      <t>(d)  inviting tenders, consulting with suppliers and
reviewing quotations;</t>
    </r>
  </si>
  <si>
    <r>
      <rPr>
        <sz val="11"/>
        <rFont val="Calibri"/>
        <family val="2"/>
        <scheme val="minor"/>
      </rPr>
      <t>(e)   purchasing merchandise for resale by retail or
wholesale establishments;</t>
    </r>
  </si>
  <si>
    <r>
      <rPr>
        <sz val="11"/>
        <rFont val="Calibri"/>
        <family val="2"/>
        <scheme val="minor"/>
      </rPr>
      <t>(f)   studying market reports, trade periodicals and sales promotion materials and
visiting trade shows, showrooms, factories and
product design events;</t>
    </r>
  </si>
  <si>
    <r>
      <rPr>
        <sz val="11"/>
        <rFont val="Calibri"/>
        <family val="2"/>
        <scheme val="minor"/>
      </rPr>
      <t>(g)  selecting the merchandise or products that best fit the
establishment’s requirements;</t>
    </r>
  </si>
  <si>
    <r>
      <rPr>
        <sz val="11"/>
        <rFont val="Calibri"/>
        <family val="2"/>
        <scheme val="minor"/>
      </rPr>
      <t>(h)  interviewing suppliers and negotiating prices, discounts, credit terms and transportation
arrangements;</t>
    </r>
  </si>
  <si>
    <r>
      <rPr>
        <sz val="11"/>
        <rFont val="Calibri"/>
        <family val="2"/>
        <scheme val="minor"/>
      </rPr>
      <t>(i)   overseeing distribution of merchandise to outlets and maintaining adequate stock
levels;</t>
    </r>
  </si>
  <si>
    <r>
      <rPr>
        <sz val="11"/>
        <rFont val="Calibri"/>
        <family val="2"/>
        <scheme val="minor"/>
      </rPr>
      <t>(j)   establishing delivery schedules, monitoring
progress and contacting clients
and suppliers to resolve problems.</t>
    </r>
  </si>
  <si>
    <r>
      <rPr>
        <sz val="11"/>
        <rFont val="Calibri"/>
        <family val="2"/>
        <scheme val="minor"/>
      </rPr>
      <t>(a)  carrying out customs clearance procedures for
exports or imports;</t>
    </r>
  </si>
  <si>
    <r>
      <rPr>
        <sz val="11"/>
        <rFont val="Calibri"/>
        <family val="2"/>
        <scheme val="minor"/>
      </rPr>
      <t>(c)  ensuring that export/import licences and
other formalities are in order;</t>
    </r>
  </si>
  <si>
    <r>
      <rPr>
        <sz val="11"/>
        <rFont val="Calibri"/>
        <family val="2"/>
        <scheme val="minor"/>
      </rPr>
      <t>(e)  checking import/export documentation to determine cargo contents, and classifying
goods into different fee or tariff groups, using a tariff
coding system.</t>
    </r>
  </si>
  <si>
    <r>
      <rPr>
        <sz val="11"/>
        <rFont val="Calibri"/>
        <family val="2"/>
        <scheme val="minor"/>
      </rPr>
      <t>promoting conferences,
conventions and trade shows to potential customers;</t>
    </r>
  </si>
  <si>
    <r>
      <rPr>
        <sz val="11"/>
        <rFont val="Calibri"/>
        <family val="2"/>
        <scheme val="minor"/>
      </rPr>
      <t>responding to inquiries concerning services provided and costs for room and
equipment hire, catering and related services;</t>
    </r>
  </si>
  <si>
    <r>
      <rPr>
        <sz val="11"/>
        <rFont val="Calibri"/>
        <family val="2"/>
        <scheme val="minor"/>
      </rPr>
      <t>meeting with clients to discuss their needs and outlining package options to meet these
needs;</t>
    </r>
  </si>
  <si>
    <r>
      <rPr>
        <sz val="11"/>
        <rFont val="Calibri"/>
        <family val="2"/>
        <scheme val="minor"/>
      </rPr>
      <t>arranging and coordinating services such as conference facilities, catering, signage, displays, audiovisual and computer equipment, accommodation, transport and social events for participants, and logistical arrangements for
presenters;</t>
    </r>
  </si>
  <si>
    <r>
      <rPr>
        <sz val="11"/>
        <rFont val="Calibri"/>
        <family val="2"/>
        <scheme val="minor"/>
      </rPr>
      <t>negotiating the type and costs
of services to be provided within budget;</t>
    </r>
  </si>
  <si>
    <r>
      <rPr>
        <sz val="11"/>
        <rFont val="Calibri"/>
        <family val="2"/>
        <scheme val="minor"/>
      </rPr>
      <t>overseeing work by contractors and reporting on
variations to work orders.</t>
    </r>
  </si>
  <si>
    <r>
      <rPr>
        <sz val="11"/>
        <rFont val="Calibri"/>
        <family val="2"/>
        <scheme val="minor"/>
      </rPr>
      <t>(a)  obtaining information about properties to be sold or leased, the circumstances of
their owner and the needs of prospective buyers or tenants;</t>
    </r>
  </si>
  <si>
    <r>
      <rPr>
        <sz val="11"/>
        <rFont val="Calibri"/>
        <family val="2"/>
        <scheme val="minor"/>
      </rPr>
      <t>(b)  showing properties to be sold or leased to prospective
buyers or tenants and
explaining terms of sale or conditions of rent or lease;</t>
    </r>
  </si>
  <si>
    <r>
      <rPr>
        <sz val="11"/>
        <rFont val="Calibri"/>
        <family val="2"/>
        <scheme val="minor"/>
      </rPr>
      <t>(c)  facilitating negotiations with tenants and owners on
rents and fees;</t>
    </r>
  </si>
  <si>
    <r>
      <rPr>
        <sz val="11"/>
        <rFont val="Calibri"/>
        <family val="2"/>
        <scheme val="minor"/>
      </rPr>
      <t>(d)  drawing up leasing and sale agreements and
estimating costs;</t>
    </r>
  </si>
  <si>
    <r>
      <rPr>
        <sz val="11"/>
        <rFont val="Calibri"/>
        <family val="2"/>
        <scheme val="minor"/>
      </rPr>
      <t>(e)  arranging signing of lease agreements and transfer of
property rights;</t>
    </r>
  </si>
  <si>
    <r>
      <rPr>
        <sz val="11"/>
        <rFont val="Calibri"/>
        <family val="2"/>
        <scheme val="minor"/>
      </rPr>
      <t>(f)  collecting rent and bond monies on behalf of owners and inspecting properties
before, during and after tenancies;</t>
    </r>
  </si>
  <si>
    <r>
      <rPr>
        <sz val="11"/>
        <rFont val="Calibri"/>
        <family val="2"/>
        <scheme val="minor"/>
      </rPr>
      <t>(g)  ensuring the availability of workers to perform
maintenance of the properties.</t>
    </r>
  </si>
  <si>
    <r>
      <rPr>
        <sz val="11"/>
        <rFont val="Calibri"/>
        <family val="2"/>
        <scheme val="minor"/>
      </rPr>
      <t>(b)  negotiating contracts on behalf of seller or buyer and explaining terms of sale and
payment to client;</t>
    </r>
  </si>
  <si>
    <r>
      <rPr>
        <sz val="11"/>
        <rFont val="Calibri"/>
        <family val="2"/>
        <scheme val="minor"/>
      </rPr>
      <t>(c)  signing agreements on behalf of seller or buyer and ensuring that the contract is
honoured;</t>
    </r>
  </si>
  <si>
    <r>
      <rPr>
        <sz val="11"/>
        <rFont val="Calibri"/>
        <family val="2"/>
        <scheme val="minor"/>
      </rPr>
      <t>(d)  making sure that the business service purchased is made available to the buyer in the agreed format at the agreed
time;</t>
    </r>
  </si>
  <si>
    <r>
      <rPr>
        <sz val="11"/>
        <rFont val="Calibri"/>
        <family val="2"/>
        <scheme val="minor"/>
      </rPr>
      <t>(e)  selling by auction various kinds of property, cars,
commodities, livestock, art, jewellery and other objects.</t>
    </r>
  </si>
  <si>
    <r>
      <rPr>
        <sz val="11"/>
        <rFont val="Calibri"/>
        <family val="2"/>
        <scheme val="minor"/>
      </rPr>
      <t>(f)  organizing group tours for business or vacation travel and
making bulk travel and accommodation bookings.</t>
    </r>
  </si>
  <si>
    <r>
      <rPr>
        <sz val="11"/>
        <rFont val="Calibri"/>
        <family val="2"/>
        <scheme val="minor"/>
      </rPr>
      <t>(a)  coordinating, assigning and reviewing the work of
clerks engaged in the following duties: word processing, record keeping and filing, operating telephones and switchboards; data entry, desktop publishing and other activities involving
general office and administrative skills;</t>
    </r>
  </si>
  <si>
    <r>
      <rPr>
        <sz val="11"/>
        <rFont val="Calibri"/>
        <family val="2"/>
        <scheme val="minor"/>
      </rPr>
      <t>(b)  establishing work schedules and procedures and coordinating activities with
other work units or
departments;</t>
    </r>
  </si>
  <si>
    <r>
      <rPr>
        <sz val="11"/>
        <rFont val="Calibri"/>
        <family val="2"/>
        <scheme val="minor"/>
      </rPr>
      <t>(c)  resolving work-related problems and preparing and submitting progress and other
reports;</t>
    </r>
  </si>
  <si>
    <r>
      <rPr>
        <sz val="11"/>
        <rFont val="Calibri"/>
        <family val="2"/>
        <scheme val="minor"/>
      </rPr>
      <t>(d)  training and instructing employees in job duties, safety
procedures and company
policies, or arranging for training to be provided;</t>
    </r>
  </si>
  <si>
    <r>
      <rPr>
        <sz val="11"/>
        <rFont val="Calibri"/>
        <family val="2"/>
        <scheme val="minor"/>
      </rPr>
      <t>(e)  evaluating employees’ job performance and conformity
with  regulations, and recommending appropriate
personnel action;</t>
    </r>
  </si>
  <si>
    <r>
      <rPr>
        <sz val="11"/>
        <rFont val="Calibri"/>
        <family val="2"/>
        <scheme val="minor"/>
      </rPr>
      <t>(f)  assisting in recruitment, interviewing and selection of
employees.</t>
    </r>
  </si>
  <si>
    <r>
      <rPr>
        <sz val="11"/>
        <rFont val="Calibri"/>
        <family val="2"/>
        <scheme val="minor"/>
      </rPr>
      <t>(a)  preparing and processing legal documents and papers, such as deeds, wills, affidavits
and briefs;</t>
    </r>
  </si>
  <si>
    <r>
      <rPr>
        <sz val="11"/>
        <rFont val="Calibri"/>
        <family val="2"/>
        <scheme val="minor"/>
      </rPr>
      <t>(b)  reviewing and proofreading documents and
correspondence to ensure compliance with legal
procedures;</t>
    </r>
  </si>
  <si>
    <r>
      <rPr>
        <sz val="11"/>
        <rFont val="Calibri"/>
        <family val="2"/>
        <scheme val="minor"/>
      </rPr>
      <t>(c)  mailing, faxing or arranging for delivery of legal
correspondence to clients, witnesses and court officials;</t>
    </r>
  </si>
  <si>
    <r>
      <rPr>
        <sz val="11"/>
        <rFont val="Calibri"/>
        <family val="2"/>
        <scheme val="minor"/>
      </rPr>
      <t>(d)  organizing and maintaining documents, case
files and law libraries;</t>
    </r>
  </si>
  <si>
    <r>
      <rPr>
        <sz val="11"/>
        <rFont val="Calibri"/>
        <family val="2"/>
        <scheme val="minor"/>
      </rPr>
      <t>(e)  screening requests for meetings, scheduling and
organizing meetings;</t>
    </r>
  </si>
  <si>
    <r>
      <rPr>
        <sz val="11"/>
        <rFont val="Calibri"/>
        <family val="2"/>
        <scheme val="minor"/>
      </rPr>
      <t>(f)  assisting in the preparation of budgets, monitoring of expenditures, drafting of contracts and purchasing or
acquisition orders;</t>
    </r>
  </si>
  <si>
    <r>
      <rPr>
        <sz val="11"/>
        <rFont val="Calibri"/>
        <family val="2"/>
        <scheme val="minor"/>
      </rPr>
      <t>Administrative and Executive
Secretaries</t>
    </r>
  </si>
  <si>
    <r>
      <rPr>
        <sz val="11"/>
        <rFont val="Calibri"/>
        <family val="2"/>
        <scheme val="minor"/>
      </rPr>
      <t>(b)  obtaining, proposing and monitoring deadlines and
follow-up dates;</t>
    </r>
  </si>
  <si>
    <r>
      <rPr>
        <sz val="11"/>
        <rFont val="Calibri"/>
        <family val="2"/>
        <scheme val="minor"/>
      </rPr>
      <t>(c)  screening requests for meetings, scheduling and
organizing meetings and travel
arrangements;</t>
    </r>
  </si>
  <si>
    <r>
      <rPr>
        <sz val="11"/>
        <rFont val="Calibri"/>
        <family val="2"/>
        <scheme val="minor"/>
      </rPr>
      <t>(d)  assisting in the preparation of budgets, monitoring of expenditures, drafting of contracts and purchasing or
acquisition orders;</t>
    </r>
  </si>
  <si>
    <r>
      <rPr>
        <sz val="11"/>
        <rFont val="Calibri"/>
        <family val="2"/>
        <scheme val="minor"/>
      </rPr>
      <t>(e)  liaising with other staff about a range of matters
relating to the organization’s operations;</t>
    </r>
  </si>
  <si>
    <r>
      <rPr>
        <sz val="11"/>
        <rFont val="Calibri"/>
        <family val="2"/>
        <scheme val="minor"/>
      </rPr>
      <t>(f)  writing and answering business or technical letters
and other similar correspondence;</t>
    </r>
  </si>
  <si>
    <r>
      <rPr>
        <sz val="11"/>
        <rFont val="Calibri"/>
        <family val="2"/>
        <scheme val="minor"/>
      </rPr>
      <t>(g)  preparing verbatim reports of proceedings in legislative assemblies, courts of law or other places, using shorthand
or  specialized office equipment.</t>
    </r>
  </si>
  <si>
    <r>
      <rPr>
        <sz val="11"/>
        <rFont val="Calibri"/>
        <family val="2"/>
        <scheme val="minor"/>
      </rPr>
      <t>(a)  scheduling and confirming medical appointments and
communicating messages for medical staff and patients;</t>
    </r>
  </si>
  <si>
    <r>
      <rPr>
        <sz val="11"/>
        <rFont val="Calibri"/>
        <family val="2"/>
        <scheme val="minor"/>
      </rPr>
      <t>(b)  compiling, recording and reviewing medical charts, reports, documents and
correspondence;</t>
    </r>
  </si>
  <si>
    <r>
      <rPr>
        <sz val="11"/>
        <rFont val="Calibri"/>
        <family val="2"/>
        <scheme val="minor"/>
      </rPr>
      <t>(c)  interviewing patients to complete forms, documents
and case histories;</t>
    </r>
  </si>
  <si>
    <r>
      <rPr>
        <sz val="11"/>
        <rFont val="Calibri"/>
        <family val="2"/>
        <scheme val="minor"/>
      </rPr>
      <t>(e)  maintaining medical files and records and technical
library;</t>
    </r>
  </si>
  <si>
    <r>
      <rPr>
        <sz val="11"/>
        <rFont val="Calibri"/>
        <family val="2"/>
        <scheme val="minor"/>
      </rPr>
      <t>(f)  preparing financial statements and billing
procedures;</t>
    </r>
  </si>
  <si>
    <r>
      <rPr>
        <sz val="11"/>
        <rFont val="Calibri"/>
        <family val="2"/>
        <scheme val="minor"/>
      </rPr>
      <t>(g)  assisting in the preparation of budgets, drafting of
contracts and purchasing or
acquisition orders;</t>
    </r>
  </si>
  <si>
    <r>
      <rPr>
        <sz val="11"/>
        <rFont val="Calibri"/>
        <family val="2"/>
        <scheme val="minor"/>
      </rPr>
      <t>(h)  supervising the work of office support workers and
other office staff.</t>
    </r>
  </si>
  <si>
    <r>
      <rPr>
        <sz val="11"/>
        <rFont val="Calibri"/>
        <family val="2"/>
        <scheme val="minor"/>
      </rPr>
      <t>(a)  patrolling national borders and coastal waters to stop
persons from illegally entering or leaving the country and
from illegally importing or exporting currency or goods;</t>
    </r>
  </si>
  <si>
    <r>
      <rPr>
        <sz val="11"/>
        <rFont val="Calibri"/>
        <family val="2"/>
        <scheme val="minor"/>
      </rPr>
      <t>(b)  checking travel documents of persons crossing national borders to ensure that they
have the necessary
authorizations and certificates;</t>
    </r>
  </si>
  <si>
    <r>
      <rPr>
        <sz val="11"/>
        <rFont val="Calibri"/>
        <family val="2"/>
        <scheme val="minor"/>
      </rPr>
      <t>(c)  inspecting the luggage of persons crossing national borders to ensure that it
conforms to government rules and regulations concerning import or export of goods and
currencies;</t>
    </r>
  </si>
  <si>
    <r>
      <rPr>
        <sz val="11"/>
        <rFont val="Calibri"/>
        <family val="2"/>
        <scheme val="minor"/>
      </rPr>
      <t>(d)  examining transport documents and freight of vehicles crossing national
borders to ensure conformity with government rules and regulations concerning goods in transit and the import and export of goods, and to verify that necessary payments have
been made;</t>
    </r>
  </si>
  <si>
    <r>
      <rPr>
        <sz val="11"/>
        <rFont val="Calibri"/>
        <family val="2"/>
        <scheme val="minor"/>
      </rPr>
      <t>(e)  detaining persons and seizing prohibited and
undeclared goods found to be
in violation of immigration and customs laws;</t>
    </r>
  </si>
  <si>
    <r>
      <rPr>
        <sz val="11"/>
        <rFont val="Calibri"/>
        <family val="2"/>
        <scheme val="minor"/>
      </rPr>
      <t>(f)  coordinating and cooperating with other agencies involved in law
enforcement, deportation and
prosecution;</t>
    </r>
  </si>
  <si>
    <r>
      <rPr>
        <sz val="11"/>
        <rFont val="Calibri"/>
        <family val="2"/>
        <scheme val="minor"/>
      </rPr>
      <t>(g)  performing related administrative tasks to record
findings, transactions,
violations and determinations;</t>
    </r>
  </si>
  <si>
    <r>
      <rPr>
        <sz val="11"/>
        <rFont val="Calibri"/>
        <family val="2"/>
        <scheme val="minor"/>
      </rPr>
      <t>(a)  advising organizations, enterprises and the public on government laws, rules and regulations concerning the determination and payment of
taxes, duties and other government fees, and on the
public’s rights and obligations;</t>
    </r>
  </si>
  <si>
    <r>
      <rPr>
        <sz val="11"/>
        <rFont val="Calibri"/>
        <family val="2"/>
        <scheme val="minor"/>
      </rPr>
      <t>(b)  examining tax returns, bills of sale and other relevant documents to determine types and amounts of taxes, duties and other types of fees to be
paid;</t>
    </r>
  </si>
  <si>
    <r>
      <rPr>
        <sz val="11"/>
        <rFont val="Calibri"/>
        <family val="2"/>
        <scheme val="minor"/>
      </rPr>
      <t>(c)  investigating filed tax returns and accounting
records, systems and internal controls of organizations to ensure compliance with
taxation laws and regulations;</t>
    </r>
  </si>
  <si>
    <r>
      <rPr>
        <sz val="11"/>
        <rFont val="Calibri"/>
        <family val="2"/>
        <scheme val="minor"/>
      </rPr>
      <t>(d)  performing related administrative tasks to
document findings, maintain
records and report on actions taken for cases.</t>
    </r>
  </si>
  <si>
    <r>
      <rPr>
        <sz val="11"/>
        <rFont val="Calibri"/>
        <family val="2"/>
        <scheme val="minor"/>
      </rPr>
      <t>(a)  establishing contacts and sources of information about crimes planned or committed, in order to prevent crimes or
identify suspected offenders;</t>
    </r>
  </si>
  <si>
    <r>
      <rPr>
        <sz val="11"/>
        <rFont val="Calibri"/>
        <family val="2"/>
        <scheme val="minor"/>
      </rPr>
      <t>(b)  obtaining and verifying evidence by examining crime and accident scenes for clues
and physical evidence, interviewing witnesses and suspects and analysing
documents and computer files;</t>
    </r>
  </si>
  <si>
    <r>
      <rPr>
        <sz val="11"/>
        <rFont val="Calibri"/>
        <family val="2"/>
        <scheme val="minor"/>
      </rPr>
      <t>(c)  analysing evidence in order to solve crimes, identify
criminal activity and gather information for court cases;</t>
    </r>
  </si>
  <si>
    <r>
      <rPr>
        <sz val="11"/>
        <rFont val="Calibri"/>
        <family val="2"/>
        <scheme val="minor"/>
      </rPr>
      <t>(d)  establishing contacts and sources of information not readily available or apparent concerning establishments or
the circumstances and behaviour of persons, usually with the aim of preventing a
crime;</t>
    </r>
  </si>
  <si>
    <r>
      <rPr>
        <sz val="11"/>
        <rFont val="Calibri"/>
        <family val="2"/>
        <scheme val="minor"/>
      </rPr>
      <t>(f)  testifying in courts of law or reporting to superiors about circumstances and results of
investigations.</t>
    </r>
  </si>
  <si>
    <r>
      <rPr>
        <sz val="11"/>
        <rFont val="Calibri"/>
        <family val="2"/>
        <scheme val="minor"/>
      </rPr>
      <t>(a)  examining places of business to ensure the use of correct weights and measures
in trade;</t>
    </r>
  </si>
  <si>
    <r>
      <rPr>
        <sz val="11"/>
        <rFont val="Calibri"/>
        <family val="2"/>
        <scheme val="minor"/>
      </rPr>
      <t>(b)  monitoring price regulations to assess
appropriateness of costs for goods and services to protect consumer interests;</t>
    </r>
  </si>
  <si>
    <r>
      <rPr>
        <sz val="11"/>
        <rFont val="Calibri"/>
        <family val="2"/>
        <scheme val="minor"/>
      </rPr>
      <t>(c)  monitoring wage regulations to ensure
appropriate levels of pay for work performed and to assess compliance with employment standards legislation;</t>
    </r>
  </si>
  <si>
    <r>
      <rPr>
        <sz val="11"/>
        <rFont val="Calibri"/>
        <family val="2"/>
        <scheme val="minor"/>
      </rPr>
      <t>(d)  performing related investigative and
administrative tasks to record findings, document compliance problems or inappropriate business
practices and to prepare reports and correspondence.</t>
    </r>
  </si>
  <si>
    <r>
      <rPr>
        <sz val="11"/>
        <rFont val="Calibri"/>
        <family val="2"/>
        <scheme val="minor"/>
      </rPr>
      <t>(a)  collecting information relevant to clients’ needs and assessing their relevant skills,
strengths and deficits;</t>
    </r>
  </si>
  <si>
    <r>
      <rPr>
        <sz val="11"/>
        <rFont val="Calibri"/>
        <family val="2"/>
        <scheme val="minor"/>
      </rPr>
      <t>(b)  helping persons with disabilities or the elderly to
obtain services and to improve
their ability to function in society;</t>
    </r>
  </si>
  <si>
    <r>
      <rPr>
        <sz val="11"/>
        <rFont val="Calibri"/>
        <family val="2"/>
        <scheme val="minor"/>
      </rPr>
      <t>(c)  assisting clients to identify options and develop plans of
action, while providing necessary support and
assistance;</t>
    </r>
  </si>
  <si>
    <r>
      <rPr>
        <sz val="11"/>
        <rFont val="Calibri"/>
        <family val="2"/>
        <scheme val="minor"/>
      </rPr>
      <t>(d)  assisting clients to identify and access community
resources including legal, medical and financial assistance, housing, employment, transportation, assistance with moves, day
care and other referral services;</t>
    </r>
  </si>
  <si>
    <r>
      <rPr>
        <sz val="11"/>
        <rFont val="Calibri"/>
        <family val="2"/>
        <scheme val="minor"/>
      </rPr>
      <t>(e)  counselling clients living in group homes and half-way
houses, supervising their activities and assisting in pre-
release and release planning;</t>
    </r>
  </si>
  <si>
    <r>
      <rPr>
        <sz val="11"/>
        <rFont val="Calibri"/>
        <family val="2"/>
        <scheme val="minor"/>
      </rPr>
      <t>(f)  participating in the selection and admission of
clients to appropriate
programmes;</t>
    </r>
  </si>
  <si>
    <r>
      <rPr>
        <sz val="11"/>
        <rFont val="Calibri"/>
        <family val="2"/>
        <scheme val="minor"/>
      </rPr>
      <t>Social Work Associate
Professionals</t>
    </r>
  </si>
  <si>
    <r>
      <rPr>
        <sz val="11"/>
        <rFont val="Calibri"/>
        <family val="2"/>
        <scheme val="minor"/>
      </rPr>
      <t>(g)  providing crisis intervention and emergency
shelter services;</t>
    </r>
  </si>
  <si>
    <r>
      <rPr>
        <sz val="11"/>
        <rFont val="Calibri"/>
        <family val="2"/>
        <scheme val="minor"/>
      </rPr>
      <t>(h)  implementing life skills workshops, substance abuse
treatment programmes, behaviour management programmes, youth services programmes and other community and social service programmes under the supervision of social work or
health care professionals;</t>
    </r>
  </si>
  <si>
    <r>
      <rPr>
        <sz val="11"/>
        <rFont val="Calibri"/>
        <family val="2"/>
        <scheme val="minor"/>
      </rPr>
      <t>(i)   assisting in evaluating the effectiveness of interventions
and programmes by
monitoring and reporting on clients’ progress;</t>
    </r>
  </si>
  <si>
    <r>
      <rPr>
        <sz val="11"/>
        <rFont val="Calibri"/>
        <family val="2"/>
        <scheme val="minor"/>
      </rPr>
      <t>(j)   maintaining contact with other social service agencies,
schools and health care providers involved with clients to provide information and obtain feedback on clients’
overall situation and progress.</t>
    </r>
  </si>
  <si>
    <r>
      <rPr>
        <sz val="11"/>
        <rFont val="Calibri"/>
        <family val="2"/>
        <scheme val="minor"/>
      </rPr>
      <t>(b)  preaching and propagating the teachings of a particular
religious faith;</t>
    </r>
  </si>
  <si>
    <r>
      <rPr>
        <sz val="11"/>
        <rFont val="Calibri"/>
        <family val="2"/>
        <scheme val="minor"/>
      </rPr>
      <t>(c)  assisting at services of public worship and religious
rites;</t>
    </r>
  </si>
  <si>
    <r>
      <rPr>
        <sz val="11"/>
        <rFont val="Calibri"/>
        <family val="2"/>
        <scheme val="minor"/>
      </rPr>
      <t>(d)  providing religious education, spiritual guidance
and moral support to
individuals and  communities;</t>
    </r>
  </si>
  <si>
    <r>
      <rPr>
        <sz val="11"/>
        <rFont val="Calibri"/>
        <family val="2"/>
        <scheme val="minor"/>
      </rPr>
      <t>(e)  administering and participating in programmes to
provide food, clothing and
shelter to those in need;</t>
    </r>
  </si>
  <si>
    <r>
      <rPr>
        <sz val="11"/>
        <rFont val="Calibri"/>
        <family val="2"/>
        <scheme val="minor"/>
      </rPr>
      <t>(f)  advising communities and individuals on proper behaviour and faith to
preserve or improve well- being.</t>
    </r>
  </si>
  <si>
    <r>
      <rPr>
        <sz val="11"/>
        <rFont val="Calibri"/>
        <family val="2"/>
        <scheme val="minor"/>
      </rPr>
      <t>(b)  participating in regular practice and training sessions
and undertaking private training to maintain the required standard of fitness
and skill;</t>
    </r>
  </si>
  <si>
    <r>
      <rPr>
        <sz val="11"/>
        <rFont val="Calibri"/>
        <family val="2"/>
        <scheme val="minor"/>
      </rPr>
      <t>(c)  undertaking sports promotional activities and
media interviews;</t>
    </r>
  </si>
  <si>
    <r>
      <rPr>
        <sz val="11"/>
        <rFont val="Calibri"/>
        <family val="2"/>
        <scheme val="minor"/>
      </rPr>
      <t>(d)  maintaining a high degree of expertise in a particular
sport;</t>
    </r>
  </si>
  <si>
    <r>
      <rPr>
        <sz val="11"/>
        <rFont val="Calibri"/>
        <family val="2"/>
        <scheme val="minor"/>
      </rPr>
      <t>(f)  assessing other competitors and conditions at
venues;</t>
    </r>
  </si>
  <si>
    <r>
      <rPr>
        <sz val="11"/>
        <rFont val="Calibri"/>
        <family val="2"/>
        <scheme val="minor"/>
      </rPr>
      <t>(h)  adhering to the rules and regulations associated with a
specific sport.</t>
    </r>
  </si>
  <si>
    <r>
      <rPr>
        <sz val="11"/>
        <rFont val="Calibri"/>
        <family val="2"/>
        <scheme val="minor"/>
      </rPr>
      <t>Sports Coaches, Instructors and
Officials</t>
    </r>
  </si>
  <si>
    <r>
      <rPr>
        <sz val="11"/>
        <rFont val="Calibri"/>
        <family val="2"/>
        <scheme val="minor"/>
      </rPr>
      <t>(a)  identifying strengths and weaknesses of athletes or
teams;</t>
    </r>
  </si>
  <si>
    <r>
      <rPr>
        <sz val="11"/>
        <rFont val="Calibri"/>
        <family val="2"/>
        <scheme val="minor"/>
      </rPr>
      <t>(b)  planning, developing and implementing training and
practice sessions;</t>
    </r>
  </si>
  <si>
    <r>
      <rPr>
        <sz val="11"/>
        <rFont val="Calibri"/>
        <family val="2"/>
        <scheme val="minor"/>
      </rPr>
      <t>Sports Coaches,
Instructors and Officials</t>
    </r>
  </si>
  <si>
    <r>
      <rPr>
        <sz val="11"/>
        <rFont val="Calibri"/>
        <family val="2"/>
        <scheme val="minor"/>
      </rPr>
      <t>(c)  developing, planning and
coordinating competitive schedules and programmes;</t>
    </r>
  </si>
  <si>
    <r>
      <rPr>
        <sz val="11"/>
        <rFont val="Calibri"/>
        <family val="2"/>
        <scheme val="minor"/>
      </rPr>
      <t>(d)  motivating and preparing athletes or teams for
competitive events or games;</t>
    </r>
  </si>
  <si>
    <r>
      <rPr>
        <sz val="11"/>
        <rFont val="Calibri"/>
        <family val="2"/>
        <scheme val="minor"/>
      </rPr>
      <t>(e)  formulating competitive strategy, developing game plans and directing athletes and players during games or
athletic events;</t>
    </r>
  </si>
  <si>
    <r>
      <rPr>
        <sz val="11"/>
        <rFont val="Calibri"/>
        <family val="2"/>
        <scheme val="minor"/>
      </rPr>
      <t>(f)  analysing and evaluating athletes’ or teams’
performances and modifying training programmes;</t>
    </r>
  </si>
  <si>
    <r>
      <rPr>
        <sz val="11"/>
        <rFont val="Calibri"/>
        <family val="2"/>
        <scheme val="minor"/>
      </rPr>
      <t>(g)  monitoring and analysing technique and performance, and determining how future
improvements can be made;</t>
    </r>
  </si>
  <si>
    <r>
      <rPr>
        <sz val="11"/>
        <rFont val="Calibri"/>
        <family val="2"/>
        <scheme val="minor"/>
      </rPr>
      <t>(h)  officiating at sporting events or athletic competitions to maintain standards of play and to ensure that game rules
and safety regulations are observed;</t>
    </r>
  </si>
  <si>
    <r>
      <rPr>
        <sz val="11"/>
        <rFont val="Calibri"/>
        <family val="2"/>
        <scheme val="minor"/>
      </rPr>
      <t>(i)   recording lapsed time and keeping score during events or
competitions;</t>
    </r>
  </si>
  <si>
    <r>
      <rPr>
        <sz val="11"/>
        <rFont val="Calibri"/>
        <family val="2"/>
        <scheme val="minor"/>
      </rPr>
      <t>(j)   judging the performance of competitors, awarding
points, imposing penalties for
infractions and determining results;</t>
    </r>
  </si>
  <si>
    <r>
      <rPr>
        <sz val="11"/>
        <rFont val="Calibri"/>
        <family val="2"/>
        <scheme val="minor"/>
      </rPr>
      <t>taking photographs for advertising or other commercial, industrial or scientific purposes and to illustrate stories and articles in
newspapers, magazines and other publications;</t>
    </r>
  </si>
  <si>
    <r>
      <rPr>
        <sz val="11"/>
        <rFont val="Calibri"/>
        <family val="2"/>
        <scheme val="minor"/>
      </rPr>
      <t>studying requirements of a particular assignment and decide on type of camera, film, lighting and background
accessories to be used;</t>
    </r>
  </si>
  <si>
    <r>
      <rPr>
        <sz val="11"/>
        <rFont val="Calibri"/>
        <family val="2"/>
        <scheme val="minor"/>
      </rPr>
      <t>determining picture composition, making technical adjustments to equipment and
photograph subject;</t>
    </r>
  </si>
  <si>
    <r>
      <rPr>
        <sz val="11"/>
        <rFont val="Calibri"/>
        <family val="2"/>
        <scheme val="minor"/>
      </rPr>
      <t>operating scanners to transfer
photographic images to computers;</t>
    </r>
  </si>
  <si>
    <r>
      <rPr>
        <sz val="11"/>
        <rFont val="Calibri"/>
        <family val="2"/>
        <scheme val="minor"/>
      </rPr>
      <t>operating computers to manipulate photographic
images;</t>
    </r>
  </si>
  <si>
    <r>
      <rPr>
        <sz val="11"/>
        <rFont val="Calibri"/>
        <family val="2"/>
        <scheme val="minor"/>
      </rPr>
      <t>adapting existing photographic images to create new digitized images to be included in
multimedia products;</t>
    </r>
  </si>
  <si>
    <r>
      <rPr>
        <sz val="11"/>
        <rFont val="Calibri"/>
        <family val="2"/>
        <scheme val="minor"/>
      </rPr>
      <t>(a)  determining the objectives and constraints of the design
brief by consulting with clients and stakeholders;</t>
    </r>
  </si>
  <si>
    <r>
      <rPr>
        <sz val="11"/>
        <rFont val="Calibri"/>
        <family val="2"/>
        <scheme val="minor"/>
      </rPr>
      <t>(b)  researching and analysing spatial, functional, efficiency,
safety and aesthetic requirements;</t>
    </r>
  </si>
  <si>
    <r>
      <rPr>
        <sz val="11"/>
        <rFont val="Calibri"/>
        <family val="2"/>
        <scheme val="minor"/>
      </rPr>
      <t>(c)  formulating design concepts for the interiors of
buildings;</t>
    </r>
  </si>
  <si>
    <r>
      <rPr>
        <sz val="11"/>
        <rFont val="Calibri"/>
        <family val="2"/>
        <scheme val="minor"/>
      </rPr>
      <t>(e)  negotiating design solutions with clients,
management, suppliers and
construction staff;</t>
    </r>
  </si>
  <si>
    <r>
      <rPr>
        <sz val="11"/>
        <rFont val="Calibri"/>
        <family val="2"/>
        <scheme val="minor"/>
      </rPr>
      <t>(f)  selecting, specifying and recommending functional and aesthetic materials, furniture
and products for interiors;</t>
    </r>
  </si>
  <si>
    <r>
      <rPr>
        <sz val="11"/>
        <rFont val="Calibri"/>
        <family val="2"/>
        <scheme val="minor"/>
      </rPr>
      <t>(g)  detailing and documenting selected design for
construction;</t>
    </r>
  </si>
  <si>
    <r>
      <rPr>
        <sz val="11"/>
        <rFont val="Calibri"/>
        <family val="2"/>
        <scheme val="minor"/>
      </rPr>
      <t>(j)   designing and decorating show windows and other
display areas to promote products and services.</t>
    </r>
  </si>
  <si>
    <r>
      <rPr>
        <sz val="11"/>
        <rFont val="Calibri"/>
        <family val="2"/>
        <scheme val="minor"/>
      </rPr>
      <t>planning and developing recipes and menus, estimating food and labour costs, and
ordering food supplies;</t>
    </r>
  </si>
  <si>
    <r>
      <rPr>
        <sz val="11"/>
        <rFont val="Calibri"/>
        <family val="2"/>
        <scheme val="minor"/>
      </rPr>
      <t>monitoring quality of dishes at all stages of preparation and
presentation;</t>
    </r>
  </si>
  <si>
    <r>
      <rPr>
        <sz val="11"/>
        <rFont val="Calibri"/>
        <family val="2"/>
        <scheme val="minor"/>
      </rPr>
      <t>discussing food preparation issues with managers, dieticians, kitchen and waiting
staff;</t>
    </r>
  </si>
  <si>
    <r>
      <rPr>
        <sz val="11"/>
        <rFont val="Calibri"/>
        <family val="2"/>
        <scheme val="minor"/>
      </rPr>
      <t>supervising and coordinating the activities of cooks and other workers engaged in food
preparation;</t>
    </r>
  </si>
  <si>
    <r>
      <rPr>
        <sz val="11"/>
        <rFont val="Calibri"/>
        <family val="2"/>
        <scheme val="minor"/>
      </rPr>
      <t>inspecting supplies, equipment and work areas to ensure conformity with established
standards;</t>
    </r>
  </si>
  <si>
    <r>
      <rPr>
        <sz val="11"/>
        <rFont val="Calibri"/>
        <family val="2"/>
        <scheme val="minor"/>
      </rPr>
      <t>determining how food should be presented, and creating
decorative food displays;</t>
    </r>
  </si>
  <si>
    <r>
      <rPr>
        <sz val="11"/>
        <rFont val="Calibri"/>
        <family val="2"/>
        <scheme val="minor"/>
      </rPr>
      <t>instructing cooks and other workers in the preparation, cooking, garnishing and
presentation of food;</t>
    </r>
  </si>
  <si>
    <r>
      <rPr>
        <sz val="11"/>
        <rFont val="Calibri"/>
        <family val="2"/>
        <scheme val="minor"/>
      </rPr>
      <t>preparing, seasoning and
cooking speciality foods and complex dishes;</t>
    </r>
  </si>
  <si>
    <r>
      <rPr>
        <sz val="11"/>
        <rFont val="Calibri"/>
        <family val="2"/>
        <scheme val="minor"/>
      </rPr>
      <t>explaining and enforcing hygiene and food safety
regulations.</t>
    </r>
  </si>
  <si>
    <r>
      <rPr>
        <sz val="11"/>
        <rFont val="Calibri"/>
        <family val="2"/>
        <scheme val="minor"/>
      </rPr>
      <t>(b)  entering commands, using computer terminals, and activating controls on computer and peripheral equipment to integrate and
operate equipment;</t>
    </r>
  </si>
  <si>
    <r>
      <rPr>
        <sz val="11"/>
        <rFont val="Calibri"/>
        <family val="2"/>
        <scheme val="minor"/>
      </rPr>
      <t>(c)  monitoring systems for equipment failure or errors in
performance;</t>
    </r>
  </si>
  <si>
    <r>
      <rPr>
        <sz val="11"/>
        <rFont val="Calibri"/>
        <family val="2"/>
        <scheme val="minor"/>
      </rPr>
      <t>(e)  responding to program error messages by finding and
correcting problems, escalating the problem to other staff or terminating the program;</t>
    </r>
  </si>
  <si>
    <r>
      <rPr>
        <sz val="11"/>
        <rFont val="Calibri"/>
        <family val="2"/>
        <scheme val="minor"/>
      </rPr>
      <t>(f)  reading job set-up instructions to determine
equipment to be used, order of use, material such as disks and paper to be loaded, and to control settings;</t>
    </r>
  </si>
  <si>
    <r>
      <rPr>
        <sz val="11"/>
        <rFont val="Calibri"/>
        <family val="2"/>
        <scheme val="minor"/>
      </rPr>
      <t>(g)  retrieving, separating and sorting program output as needed, and sending data to
specified users;</t>
    </r>
  </si>
  <si>
    <r>
      <rPr>
        <sz val="11"/>
        <rFont val="Calibri"/>
        <family val="2"/>
        <scheme val="minor"/>
      </rPr>
      <t>(h)  loading peripheral equipment, such as printers, with selected materials for operating runs, or overseeing
loading of peripheral
equipment by peripheral equipment operators.</t>
    </r>
  </si>
  <si>
    <r>
      <rPr>
        <sz val="11"/>
        <rFont val="Calibri"/>
        <family val="2"/>
        <scheme val="minor"/>
      </rPr>
      <t>(a)  answering user inquiries regarding software or
hardware operation to resolve problems;</t>
    </r>
  </si>
  <si>
    <r>
      <rPr>
        <sz val="11"/>
        <rFont val="Calibri"/>
        <family val="2"/>
        <scheme val="minor"/>
      </rPr>
      <t>(b)  entering commands and observing system functioning to verify correct operations
and detect errors;</t>
    </r>
  </si>
  <si>
    <r>
      <rPr>
        <sz val="11"/>
        <rFont val="Calibri"/>
        <family val="2"/>
        <scheme val="minor"/>
      </rPr>
      <t>(c)   installing and performing minor repairs to hardware,
software or peripheral equipment, following design or installation specifications;</t>
    </r>
  </si>
  <si>
    <r>
      <rPr>
        <sz val="11"/>
        <rFont val="Calibri"/>
        <family val="2"/>
        <scheme val="minor"/>
      </rPr>
      <t>(d)  overseeing the daily performance of
communications and computer systems;</t>
    </r>
  </si>
  <si>
    <r>
      <rPr>
        <sz val="11"/>
        <rFont val="Calibri"/>
        <family val="2"/>
        <scheme val="minor"/>
      </rPr>
      <t>(e)  setting up equipment for employee use and performing or ensuring proper installation of cables, operating systems or
appropriate software;</t>
    </r>
  </si>
  <si>
    <r>
      <rPr>
        <sz val="11"/>
        <rFont val="Calibri"/>
        <family val="2"/>
        <scheme val="minor"/>
      </rPr>
      <t>(f)  maintaining records of daily data communication transactions, problems and remedial actions taken, or
installation activities;</t>
    </r>
  </si>
  <si>
    <r>
      <rPr>
        <sz val="11"/>
        <rFont val="Calibri"/>
        <family val="2"/>
        <scheme val="minor"/>
      </rPr>
      <t>(g)  emulating or reproducing technical problems
encountered by users;</t>
    </r>
  </si>
  <si>
    <r>
      <rPr>
        <sz val="11"/>
        <rFont val="Calibri"/>
        <family val="2"/>
        <scheme val="minor"/>
      </rPr>
      <t>(h)  consulting user guides, technical manuals and other documents to research and
implement solutions;</t>
    </r>
  </si>
  <si>
    <r>
      <rPr>
        <sz val="11"/>
        <rFont val="Calibri"/>
        <family val="2"/>
        <scheme val="minor"/>
      </rPr>
      <t>(i)   assisting applications programmers, systems
developers and other ICT professionals to develop and test ICT products and services.</t>
    </r>
  </si>
  <si>
    <r>
      <rPr>
        <sz val="11"/>
        <rFont val="Calibri"/>
        <family val="2"/>
        <scheme val="minor"/>
      </rPr>
      <t>(a)  installing, monitoring and supporting the reliability and
usability of Internet and
Intranet websites or web server hardware or software;</t>
    </r>
  </si>
  <si>
    <r>
      <rPr>
        <sz val="11"/>
        <rFont val="Calibri"/>
        <family val="2"/>
        <scheme val="minor"/>
      </rPr>
      <t>(b)  developing and maintaining documentation,
policies and instructions, recording operational
procedures and system logs;</t>
    </r>
  </si>
  <si>
    <r>
      <rPr>
        <sz val="11"/>
        <rFont val="Calibri"/>
        <family val="2"/>
        <scheme val="minor"/>
      </rPr>
      <t>(c)  developing, coordinating, implementing and monitoring
security measures;</t>
    </r>
  </si>
  <si>
    <r>
      <rPr>
        <sz val="11"/>
        <rFont val="Calibri"/>
        <family val="2"/>
        <scheme val="minor"/>
      </rPr>
      <t>(d)  analysing and making recommendations to enhance
performance, including upgrading and acquiring new
systems;</t>
    </r>
  </si>
  <si>
    <r>
      <rPr>
        <sz val="11"/>
        <rFont val="Calibri"/>
        <family val="2"/>
        <scheme val="minor"/>
      </rPr>
      <t>(e)  liaising with, and providing guidance to, clients
and users;</t>
    </r>
  </si>
  <si>
    <r>
      <rPr>
        <sz val="11"/>
        <rFont val="Calibri"/>
        <family val="2"/>
        <scheme val="minor"/>
      </rPr>
      <t>(g)  performing web server backup and recovery
operations.</t>
    </r>
  </si>
  <si>
    <r>
      <rPr>
        <sz val="11"/>
        <rFont val="Calibri"/>
        <family val="2"/>
        <scheme val="minor"/>
      </rPr>
      <t>controlling equipment to edit and mix image and sound recordings to ensure satisfactory quality and to
create special image and sound effects;</t>
    </r>
  </si>
  <si>
    <r>
      <rPr>
        <sz val="11"/>
        <rFont val="Calibri"/>
        <family val="2"/>
        <scheme val="minor"/>
      </rPr>
      <t>applying knowledge of principles and practices of image and sound recording
and editing in order to identify and solve problems;</t>
    </r>
  </si>
  <si>
    <r>
      <rPr>
        <sz val="11"/>
        <rFont val="Calibri"/>
        <family val="2"/>
        <scheme val="minor"/>
      </rPr>
      <t>controlling transmitting and broadcast systems and satellite
systems for radio and television programmes;</t>
    </r>
  </si>
  <si>
    <r>
      <rPr>
        <sz val="11"/>
        <rFont val="Calibri"/>
        <family val="2"/>
        <scheme val="minor"/>
      </rPr>
      <t>controlling radio communications systems, satellite services and multiplex systems on land, sea or in
aircraft;</t>
    </r>
  </si>
  <si>
    <r>
      <rPr>
        <sz val="11"/>
        <rFont val="Calibri"/>
        <family val="2"/>
        <scheme val="minor"/>
      </rPr>
      <t>applying knowledge of principles and practices of broadcasting, telecommunications terminals and transmissions systems in
order to identify and solve problems;</t>
    </r>
  </si>
  <si>
    <r>
      <rPr>
        <sz val="11"/>
        <rFont val="Calibri"/>
        <family val="2"/>
        <scheme val="minor"/>
      </rPr>
      <t>(a)  recording, preparing, sorting, classifying and filing
information;</t>
    </r>
  </si>
  <si>
    <r>
      <rPr>
        <sz val="11"/>
        <rFont val="Calibri"/>
        <family val="2"/>
        <scheme val="minor"/>
      </rPr>
      <t>(d)  preparing reports and correspondence of a routine
nature;</t>
    </r>
  </si>
  <si>
    <r>
      <rPr>
        <sz val="11"/>
        <rFont val="Calibri"/>
        <family val="2"/>
        <scheme val="minor"/>
      </rPr>
      <t>(f)  responding to telephone or electronic inquiries or
forwarding to appropriate
person;</t>
    </r>
  </si>
  <si>
    <r>
      <rPr>
        <sz val="11"/>
        <rFont val="Calibri"/>
        <family val="2"/>
        <scheme val="minor"/>
      </rPr>
      <t>(g)  checking figures, preparing invoices and
recording details of financial
transactions made;</t>
    </r>
  </si>
  <si>
    <r>
      <rPr>
        <sz val="11"/>
        <rFont val="Calibri"/>
        <family val="2"/>
        <scheme val="minor"/>
      </rPr>
      <t>(h)  transcribing information onto computers, and
proofreading and correcting
copy.</t>
    </r>
  </si>
  <si>
    <r>
      <rPr>
        <sz val="11"/>
        <rFont val="Calibri"/>
        <family val="2"/>
        <scheme val="minor"/>
      </rPr>
      <t>(a)  checking, formatting and transcribing correspondence,
minutes and reports from dictation, electronic documents or written drafts to conform to office standards, using typewriter, personal
computer or other word processing equipment;</t>
    </r>
  </si>
  <si>
    <r>
      <rPr>
        <sz val="11"/>
        <rFont val="Calibri"/>
        <family val="2"/>
        <scheme val="minor"/>
      </rPr>
      <t>(b)  using various computer software packages including
spreadsheets to provide administrative support;</t>
    </r>
  </si>
  <si>
    <r>
      <rPr>
        <sz val="11"/>
        <rFont val="Calibri"/>
        <family val="2"/>
        <scheme val="minor"/>
      </rPr>
      <t>(d)  scanning, recording and distributing mail,
correspondence and other documents;</t>
    </r>
  </si>
  <si>
    <r>
      <rPr>
        <sz val="11"/>
        <rFont val="Calibri"/>
        <family val="2"/>
        <scheme val="minor"/>
      </rPr>
      <t>(e)  screening requests for meetings or appointments and
helping to organize meetings;</t>
    </r>
  </si>
  <si>
    <r>
      <rPr>
        <sz val="11"/>
        <rFont val="Calibri"/>
        <family val="2"/>
        <scheme val="minor"/>
      </rPr>
      <t>(f)  screening and recording staff members’ leave and other
entitlements;</t>
    </r>
  </si>
  <si>
    <r>
      <rPr>
        <sz val="11"/>
        <rFont val="Calibri"/>
        <family val="2"/>
        <scheme val="minor"/>
      </rPr>
      <t>(h)  dealing with routine correspondence on their own
initiative.</t>
    </r>
  </si>
  <si>
    <r>
      <rPr>
        <sz val="11"/>
        <rFont val="Calibri"/>
        <family val="2"/>
        <scheme val="minor"/>
      </rPr>
      <t>(d)  filing and storing completed documents on
computer hard drive or disk, or maintaining a computer filing system to store, retrieve
or update documents;</t>
    </r>
  </si>
  <si>
    <r>
      <rPr>
        <sz val="11"/>
        <rFont val="Calibri"/>
        <family val="2"/>
        <scheme val="minor"/>
      </rPr>
      <t>(e)  taking dictation and recording other matter in
shorthand;</t>
    </r>
  </si>
  <si>
    <r>
      <rPr>
        <sz val="11"/>
        <rFont val="Calibri"/>
        <family val="2"/>
        <scheme val="minor"/>
      </rPr>
      <t>(f)  reproducing the spoken word, environmental sounds and song lyrics as captions for
cinema and television programming;</t>
    </r>
  </si>
  <si>
    <r>
      <rPr>
        <sz val="11"/>
        <rFont val="Calibri"/>
        <family val="2"/>
        <scheme val="minor"/>
      </rPr>
      <t>(a)  receiving and registering invoices, forms, records and
other documents for data
capture;</t>
    </r>
  </si>
  <si>
    <r>
      <rPr>
        <sz val="11"/>
        <rFont val="Calibri"/>
        <family val="2"/>
        <scheme val="minor"/>
      </rPr>
      <t>(b)  entering numerical data, codes and text from source
material into computer-
compatible storage and processing devices;</t>
    </r>
  </si>
  <si>
    <r>
      <rPr>
        <sz val="11"/>
        <rFont val="Calibri"/>
        <family val="2"/>
        <scheme val="minor"/>
      </rPr>
      <t>(c)  verifying accuracy and completeness of data and correcting entered data, if
needed;</t>
    </r>
  </si>
  <si>
    <r>
      <rPr>
        <sz val="11"/>
        <rFont val="Calibri"/>
        <family val="2"/>
        <scheme val="minor"/>
      </rPr>
      <t>(a)  processing customer cash deposits and withdrawals,
cheques, transfers, bills, credit card payments, money orders, certified cheques and other
related banking transactions;</t>
    </r>
  </si>
  <si>
    <r>
      <rPr>
        <sz val="11"/>
        <rFont val="Calibri"/>
        <family val="2"/>
        <scheme val="minor"/>
      </rPr>
      <t>(c)  paying bills and making money transfers on clients’
behalf;</t>
    </r>
  </si>
  <si>
    <r>
      <rPr>
        <sz val="11"/>
        <rFont val="Calibri"/>
        <family val="2"/>
        <scheme val="minor"/>
      </rPr>
      <t>(d)  receiving mail, selling postage stamps and
conducting other post office counter business such as bill payments, money transfers
and related business;</t>
    </r>
  </si>
  <si>
    <r>
      <rPr>
        <sz val="11"/>
        <rFont val="Calibri"/>
        <family val="2"/>
        <scheme val="minor"/>
      </rPr>
      <t>(e)  changing money from one
currency to another, as requested by clients;</t>
    </r>
  </si>
  <si>
    <r>
      <rPr>
        <sz val="11"/>
        <rFont val="Calibri"/>
        <family val="2"/>
        <scheme val="minor"/>
      </rPr>
      <t>(f)   making records of all transactions and reconciling
them with cash balance.</t>
    </r>
  </si>
  <si>
    <r>
      <rPr>
        <sz val="11"/>
        <rFont val="Calibri"/>
        <family val="2"/>
        <scheme val="minor"/>
      </rPr>
      <t>(a)  determining risks to decide odds and to hedge or
refuse bets;</t>
    </r>
  </si>
  <si>
    <r>
      <rPr>
        <sz val="11"/>
        <rFont val="Calibri"/>
        <family val="2"/>
        <scheme val="minor"/>
      </rPr>
      <t>(c)  distributing cards, rolling dice or spinning a roulette
wheel:</t>
    </r>
  </si>
  <si>
    <r>
      <rPr>
        <sz val="11"/>
        <rFont val="Calibri"/>
        <family val="2"/>
        <scheme val="minor"/>
      </rPr>
      <t>(d)  explaining and interpreting operating rules of
a gambling establishment;</t>
    </r>
  </si>
  <si>
    <r>
      <rPr>
        <sz val="11"/>
        <rFont val="Calibri"/>
        <family val="2"/>
        <scheme val="minor"/>
      </rPr>
      <t>(e)  announcing winning numbers, paying winners and
collecting payments from losers;</t>
    </r>
  </si>
  <si>
    <r>
      <rPr>
        <sz val="11"/>
        <rFont val="Calibri"/>
        <family val="2"/>
        <scheme val="minor"/>
      </rPr>
      <t>(a)  evaluating articles offered as pledges, calculating
interest, and lending money;</t>
    </r>
  </si>
  <si>
    <r>
      <rPr>
        <sz val="11"/>
        <rFont val="Calibri"/>
        <family val="2"/>
        <scheme val="minor"/>
      </rPr>
      <t>(b)  returning articles when the loan is paid or, in the event of non-payment, selling pledged
articles;</t>
    </r>
  </si>
  <si>
    <r>
      <rPr>
        <sz val="11"/>
        <rFont val="Calibri"/>
        <family val="2"/>
        <scheme val="minor"/>
      </rPr>
      <t>(c)  lending money as personal loans against success of future
harvest and other similar
undertakings;</t>
    </r>
  </si>
  <si>
    <r>
      <rPr>
        <sz val="11"/>
        <rFont val="Calibri"/>
        <family val="2"/>
        <scheme val="minor"/>
      </rPr>
      <t>(d)  collecting loans when the pledge involved the success of
future harvest and other
similar undertakings;</t>
    </r>
  </si>
  <si>
    <r>
      <rPr>
        <sz val="11"/>
        <rFont val="Calibri"/>
        <family val="2"/>
        <scheme val="minor"/>
      </rPr>
      <t>(e)  keeping a record of items received and money
distributed and received.;</t>
    </r>
  </si>
  <si>
    <r>
      <rPr>
        <sz val="11"/>
        <rFont val="Calibri"/>
        <family val="2"/>
        <scheme val="minor"/>
      </rPr>
      <t>(b)  telephoning, visiting or writing to customers to collect
money or arrange for later payments;</t>
    </r>
  </si>
  <si>
    <r>
      <rPr>
        <sz val="11"/>
        <rFont val="Calibri"/>
        <family val="2"/>
        <scheme val="minor"/>
      </rPr>
      <t>(c)  preparing reports including amounts collected, and maintaining records and
files related to collection
work;</t>
    </r>
  </si>
  <si>
    <r>
      <rPr>
        <sz val="11"/>
        <rFont val="Calibri"/>
        <family val="2"/>
        <scheme val="minor"/>
      </rPr>
      <t>(d)  recommending legal action or discontinuation of service when payment cannot
be otherwise obtained;</t>
    </r>
  </si>
  <si>
    <r>
      <rPr>
        <sz val="11"/>
        <rFont val="Calibri"/>
        <family val="2"/>
        <scheme val="minor"/>
      </rPr>
      <t>obtaining information about the availability, cost and convenience of different types of transport and accommodation, ascertaining customers’ requirements and
advising them on travel arrangements;</t>
    </r>
  </si>
  <si>
    <r>
      <rPr>
        <sz val="11"/>
        <rFont val="Calibri"/>
        <family val="2"/>
        <scheme val="minor"/>
      </rPr>
      <t>providing information about local and regional attractions, sightseeing tours, restaurants,
arts and entertainment, and providing maps and brochures;</t>
    </r>
  </si>
  <si>
    <r>
      <rPr>
        <sz val="11"/>
        <rFont val="Calibri"/>
        <family val="2"/>
        <scheme val="minor"/>
      </rPr>
      <t>making and confirming reservations for travel, tours
and accommodation;</t>
    </r>
  </si>
  <si>
    <r>
      <rPr>
        <sz val="11"/>
        <rFont val="Calibri"/>
        <family val="2"/>
        <scheme val="minor"/>
      </rPr>
      <t>verifying travel documentation and registering passengers and luggage at check-in and
departure;</t>
    </r>
  </si>
  <si>
    <r>
      <rPr>
        <sz val="11"/>
        <rFont val="Calibri"/>
        <family val="2"/>
        <scheme val="minor"/>
      </rPr>
      <t>dealing with incoming calls and messages from clients, whether to answer queries,
handle calls for service or sort out complaints;</t>
    </r>
  </si>
  <si>
    <r>
      <rPr>
        <sz val="11"/>
        <rFont val="Calibri"/>
        <family val="2"/>
        <scheme val="minor"/>
      </rPr>
      <t>sending letters, information sheets and other documents to
clients;</t>
    </r>
  </si>
  <si>
    <r>
      <rPr>
        <sz val="11"/>
        <rFont val="Calibri"/>
        <family val="2"/>
        <scheme val="minor"/>
      </rPr>
      <t>maintaining an inventory of rooms available for occupancy, reservations and
room assignments;</t>
    </r>
  </si>
  <si>
    <r>
      <rPr>
        <sz val="11"/>
        <rFont val="Calibri"/>
        <family val="2"/>
        <scheme val="minor"/>
      </rPr>
      <t>registering arriving guests, assigning rooms, verifying customers’ credit and issuing
room keys;</t>
    </r>
  </si>
  <si>
    <r>
      <rPr>
        <sz val="11"/>
        <rFont val="Calibri"/>
        <family val="2"/>
        <scheme val="minor"/>
      </rPr>
      <t>providing information regarding hotel services and services available in the
community;</t>
    </r>
  </si>
  <si>
    <r>
      <rPr>
        <sz val="11"/>
        <rFont val="Calibri"/>
        <family val="2"/>
        <scheme val="minor"/>
      </rPr>
      <t>providing information about
availability of accommodation and making room reservations;</t>
    </r>
  </si>
  <si>
    <r>
      <rPr>
        <sz val="11"/>
        <rFont val="Calibri"/>
        <family val="2"/>
        <scheme val="minor"/>
      </rPr>
      <t>responding to guests’ requests for housekeeping and
maintenance services as well as to complaints;</t>
    </r>
  </si>
  <si>
    <r>
      <rPr>
        <sz val="11"/>
        <rFont val="Calibri"/>
        <family val="2"/>
        <scheme val="minor"/>
      </rPr>
      <t>compiling and checking guest accounts for charges using computerized or manual
systems;</t>
    </r>
  </si>
  <si>
    <r>
      <rPr>
        <sz val="11"/>
        <rFont val="Calibri"/>
        <family val="2"/>
        <scheme val="minor"/>
      </rPr>
      <t>receiving and forwarding messages in person or using
telephones or telephone switchboards;</t>
    </r>
  </si>
  <si>
    <r>
      <rPr>
        <sz val="11"/>
        <rFont val="Calibri"/>
        <family val="2"/>
        <scheme val="minor"/>
      </rPr>
      <t>reviewing statements of charges to departing guests
and receiving payment.</t>
    </r>
  </si>
  <si>
    <r>
      <rPr>
        <sz val="11"/>
        <rFont val="Calibri"/>
        <family val="2"/>
        <scheme val="minor"/>
      </rPr>
      <t>(a)  answering inquiries about goods, services and policy and providing information about
their availability, location,
price and related issues;</t>
    </r>
  </si>
  <si>
    <r>
      <rPr>
        <sz val="11"/>
        <rFont val="Calibri"/>
        <family val="2"/>
        <scheme val="minor"/>
      </rPr>
      <t>(b)  responding to inquiries about problems and providing
advice, information and
assistance;</t>
    </r>
  </si>
  <si>
    <r>
      <rPr>
        <sz val="11"/>
        <rFont val="Calibri"/>
        <family val="2"/>
        <scheme val="minor"/>
      </rPr>
      <t>(c)  recording information about inquiries and
complaints;</t>
    </r>
  </si>
  <si>
    <r>
      <rPr>
        <sz val="11"/>
        <rFont val="Calibri"/>
        <family val="2"/>
        <scheme val="minor"/>
      </rPr>
      <t>(d)  referring complex inquiries to team leaders or
expert advisers;</t>
    </r>
  </si>
  <si>
    <r>
      <rPr>
        <sz val="11"/>
        <rFont val="Calibri"/>
        <family val="2"/>
        <scheme val="minor"/>
      </rPr>
      <t>(e)  issuing relevant forms, information kits and brochures
to interested parties.</t>
    </r>
  </si>
  <si>
    <r>
      <rPr>
        <sz val="11"/>
        <rFont val="Calibri"/>
        <family val="2"/>
        <scheme val="minor"/>
      </rPr>
      <t>(c)  dealing with telephone requests for information or
appointments;</t>
    </r>
  </si>
  <si>
    <r>
      <rPr>
        <sz val="11"/>
        <rFont val="Calibri"/>
        <family val="2"/>
        <scheme val="minor"/>
      </rPr>
      <t>(e)  supplying information pamphlets, brochures or
forms.</t>
    </r>
  </si>
  <si>
    <r>
      <rPr>
        <sz val="11"/>
        <rFont val="Calibri"/>
        <family val="2"/>
        <scheme val="minor"/>
      </rPr>
      <t>(a)  interviewing patients to obtain and process information
required to provide hospital services;</t>
    </r>
  </si>
  <si>
    <r>
      <rPr>
        <sz val="11"/>
        <rFont val="Calibri"/>
        <family val="2"/>
        <scheme val="minor"/>
      </rPr>
      <t>(b)  interviewing applicants for public assistance to gather information pertinent to their
application;</t>
    </r>
  </si>
  <si>
    <r>
      <rPr>
        <sz val="11"/>
        <rFont val="Calibri"/>
        <family val="2"/>
        <scheme val="minor"/>
      </rPr>
      <t>(e)  providing information and answering questions
concerning benefits and claims procedures;</t>
    </r>
  </si>
  <si>
    <r>
      <rPr>
        <sz val="11"/>
        <rFont val="Calibri"/>
        <family val="2"/>
        <scheme val="minor"/>
      </rPr>
      <t>(f)  referring patients or applicants to other
organizations if they are ineligible for services.</t>
    </r>
  </si>
  <si>
    <r>
      <rPr>
        <sz val="11"/>
        <rFont val="Calibri"/>
        <family val="2"/>
        <scheme val="minor"/>
      </rPr>
      <t>(a)  checking figures, postings and documents for correct
entry, mathematical accuracy and proper codes;</t>
    </r>
  </si>
  <si>
    <r>
      <rPr>
        <sz val="11"/>
        <rFont val="Calibri"/>
        <family val="2"/>
        <scheme val="minor"/>
      </rPr>
      <t>(b)  operating computers programmed with accounting software to record, store and
analyse information;</t>
    </r>
  </si>
  <si>
    <r>
      <rPr>
        <sz val="11"/>
        <rFont val="Calibri"/>
        <family val="2"/>
        <scheme val="minor"/>
      </rPr>
      <t>(c)  classifying, recording and summarizing numerical and financial data to compile and keep financial records, using
journals and ledgers or computers;</t>
    </r>
  </si>
  <si>
    <r>
      <rPr>
        <sz val="11"/>
        <rFont val="Calibri"/>
        <family val="2"/>
        <scheme val="minor"/>
      </rPr>
      <t>(d)  calculating, preparing and issuing bills, invoices, account statements and other financial
statements according to established procedures.</t>
    </r>
  </si>
  <si>
    <r>
      <rPr>
        <sz val="11"/>
        <rFont val="Calibri"/>
        <family val="2"/>
        <scheme val="minor"/>
      </rPr>
      <t>(e)  compiling statistical, financial, accounting or auditing reports and tables pertaining to such matters as cash receipts, expenditures,
accounts payable and
receivable, and profits and losses.</t>
    </r>
  </si>
  <si>
    <r>
      <rPr>
        <sz val="11"/>
        <rFont val="Calibri"/>
        <family val="2"/>
        <scheme val="minor"/>
      </rPr>
      <t>(a)  processing insurance enrolments, cancellations, claims transactions, policy
changes and payments;</t>
    </r>
  </si>
  <si>
    <r>
      <rPr>
        <sz val="11"/>
        <rFont val="Calibri"/>
        <family val="2"/>
        <scheme val="minor"/>
      </rPr>
      <t>(b)  obtaining and compiling statistical or actuarial data based on routine or special
sources of information;</t>
    </r>
  </si>
  <si>
    <r>
      <rPr>
        <sz val="11"/>
        <rFont val="Calibri"/>
        <family val="2"/>
        <scheme val="minor"/>
      </rPr>
      <t>(c)  calculating totals, averages, percentages and other details and presenting them in the required tabular
form;</t>
    </r>
  </si>
  <si>
    <r>
      <rPr>
        <sz val="11"/>
        <rFont val="Calibri"/>
        <family val="2"/>
        <scheme val="minor"/>
      </rPr>
      <t>(d)  preparing financial documents, and calculating interest or brokerage charges
and stamp duties payable;</t>
    </r>
  </si>
  <si>
    <r>
      <rPr>
        <sz val="11"/>
        <rFont val="Calibri"/>
        <family val="2"/>
        <scheme val="minor"/>
      </rPr>
      <t>(e)  maintaining records of bonds, shares and other
securities bought or sold on behalf of clients or employers.</t>
    </r>
  </si>
  <si>
    <r>
      <rPr>
        <sz val="11"/>
        <rFont val="Calibri"/>
        <family val="2"/>
        <scheme val="minor"/>
      </rPr>
      <t>(a)  maintaining records of employee attendance, leave and overtime to calculate pay and benefit entitlements, using
manual or computerized systems;</t>
    </r>
  </si>
  <si>
    <r>
      <rPr>
        <sz val="11"/>
        <rFont val="Calibri"/>
        <family val="2"/>
        <scheme val="minor"/>
      </rPr>
      <t>(b)  preparing and verifying statements of earnings for employees, indicating gross
and net salaries and deductions such as taxes, union dues, garnishments and
insurance and pension plans;</t>
    </r>
  </si>
  <si>
    <r>
      <rPr>
        <sz val="11"/>
        <rFont val="Calibri"/>
        <family val="2"/>
        <scheme val="minor"/>
      </rPr>
      <t>(c)  preparing employee payments and benefit payments by cheque or
electronic transfer;</t>
    </r>
  </si>
  <si>
    <r>
      <rPr>
        <sz val="11"/>
        <rFont val="Calibri"/>
        <family val="2"/>
        <scheme val="minor"/>
      </rPr>
      <t>(d)  reviewing time sheets, work charts, wage
computation and other information to detect and reconcile payroll
discrepancies;</t>
    </r>
  </si>
  <si>
    <r>
      <rPr>
        <sz val="11"/>
        <rFont val="Calibri"/>
        <family val="2"/>
        <scheme val="minor"/>
      </rPr>
      <t>(e)  verifying attendance, hours worked and pay adjustments, and posting information into designated
records.</t>
    </r>
  </si>
  <si>
    <r>
      <rPr>
        <sz val="11"/>
        <rFont val="Calibri"/>
        <family val="2"/>
        <scheme val="minor"/>
      </rPr>
      <t>(a)  arranging and controlling receipt and dispatch of goods
and keeping relevant records;</t>
    </r>
  </si>
  <si>
    <r>
      <rPr>
        <sz val="11"/>
        <rFont val="Calibri"/>
        <family val="2"/>
        <scheme val="minor"/>
      </rPr>
      <t>(b)  maintaining stock records, verifying issue of goods,
estimating needs and making
requisitions of new stocks;</t>
    </r>
  </si>
  <si>
    <r>
      <rPr>
        <sz val="11"/>
        <rFont val="Calibri"/>
        <family val="2"/>
        <scheme val="minor"/>
      </rPr>
      <t>(c)  receiving, storing and issuing tools, spare parts or
various equipment, and
maintaining relevant records;</t>
    </r>
  </si>
  <si>
    <r>
      <rPr>
        <sz val="11"/>
        <rFont val="Calibri"/>
        <family val="2"/>
        <scheme val="minor"/>
      </rPr>
      <t>(d)  weighing goods received or produced, or for issue or dispatch, and maintaining
relevant records;</t>
    </r>
  </si>
  <si>
    <r>
      <rPr>
        <sz val="11"/>
        <rFont val="Calibri"/>
        <family val="2"/>
        <scheme val="minor"/>
      </rPr>
      <t>(e)  compiling inventories of furniture and other items
received for storage.</t>
    </r>
  </si>
  <si>
    <r>
      <rPr>
        <sz val="11"/>
        <rFont val="Calibri"/>
        <family val="2"/>
        <scheme val="minor"/>
      </rPr>
      <t>(a)  computing quantities, qualities and types of materials required by
production programmes;</t>
    </r>
  </si>
  <si>
    <r>
      <rPr>
        <sz val="11"/>
        <rFont val="Calibri"/>
        <family val="2"/>
        <scheme val="minor"/>
      </rPr>
      <t>(b)  preparing production requirements schedules, ensuring that materials are available when needed, and
keeping relevant records;</t>
    </r>
  </si>
  <si>
    <r>
      <rPr>
        <sz val="11"/>
        <rFont val="Calibri"/>
        <family val="2"/>
        <scheme val="minor"/>
      </rPr>
      <t>(c)  preparing or assisting in the preparation of production operation schedules on the basis of customers’ orders and
production capacity and performance;</t>
    </r>
  </si>
  <si>
    <r>
      <rPr>
        <sz val="11"/>
        <rFont val="Calibri"/>
        <family val="2"/>
        <scheme val="minor"/>
      </rPr>
      <t>(d)  verifying stocks, arranging deliveries and investigating
delays;</t>
    </r>
  </si>
  <si>
    <r>
      <rPr>
        <sz val="11"/>
        <rFont val="Calibri"/>
        <family val="2"/>
        <scheme val="minor"/>
      </rPr>
      <t>(e)  recording and coordinating the flow of work
and materials between
departments.</t>
    </r>
  </si>
  <si>
    <r>
      <rPr>
        <sz val="11"/>
        <rFont val="Calibri"/>
        <family val="2"/>
        <scheme val="minor"/>
      </rPr>
      <t>(a)  keeping records of operational aspects and
coordinating the timing of
passenger and freight transport;</t>
    </r>
  </si>
  <si>
    <r>
      <rPr>
        <sz val="11"/>
        <rFont val="Calibri"/>
        <family val="2"/>
        <scheme val="minor"/>
      </rPr>
      <t>(b)  directing train routings within a division or zone of a railway system and keeping
related records;</t>
    </r>
  </si>
  <si>
    <r>
      <rPr>
        <sz val="11"/>
        <rFont val="Calibri"/>
        <family val="2"/>
        <scheme val="minor"/>
      </rPr>
      <t>(c)  directing, controlling and keeping records of freight
handling at a railway yard;</t>
    </r>
  </si>
  <si>
    <r>
      <rPr>
        <sz val="11"/>
        <rFont val="Calibri"/>
        <family val="2"/>
        <scheme val="minor"/>
      </rPr>
      <t>(d)  coordinating and keeping records of operational
activities concerning road transport, such as allocation and scheduling of vehicles and drivers, loading and unloading
of vehicles, and storage of goods in transit;</t>
    </r>
  </si>
  <si>
    <r>
      <rPr>
        <sz val="11"/>
        <rFont val="Calibri"/>
        <family val="2"/>
        <scheme val="minor"/>
      </rPr>
      <t>(e)  coordinating and keeping records of operational activities concerning air
transport of passengers and freight, such as passenger lists
and freight manifests;</t>
    </r>
  </si>
  <si>
    <r>
      <rPr>
        <sz val="11"/>
        <rFont val="Calibri"/>
        <family val="2"/>
        <scheme val="minor"/>
      </rPr>
      <t>(a)  issuing and receiving library books and other
materials;</t>
    </r>
  </si>
  <si>
    <r>
      <rPr>
        <sz val="11"/>
        <rFont val="Calibri"/>
        <family val="2"/>
        <scheme val="minor"/>
      </rPr>
      <t>(c)  performing clerical activities such as manual and
electronic filing, word processing and occasional
typing;</t>
    </r>
  </si>
  <si>
    <r>
      <rPr>
        <sz val="11"/>
        <rFont val="Calibri"/>
        <family val="2"/>
        <scheme val="minor"/>
      </rPr>
      <t>(e)  assisting library users in accessing basic library materials and making
interlibrary loans;</t>
    </r>
  </si>
  <si>
    <r>
      <rPr>
        <sz val="11"/>
        <rFont val="Calibri"/>
        <family val="2"/>
        <scheme val="minor"/>
      </rPr>
      <t>(f)  maintaining library records relating to the acquisition,
issue and return of books and other materials.</t>
    </r>
  </si>
  <si>
    <r>
      <rPr>
        <sz val="11"/>
        <rFont val="Calibri"/>
        <family val="2"/>
        <scheme val="minor"/>
      </rPr>
      <t>(a)  converting information into codes and classifying
information by codes for data- processing purposes;</t>
    </r>
  </si>
  <si>
    <r>
      <rPr>
        <sz val="11"/>
        <rFont val="Calibri"/>
        <family val="2"/>
        <scheme val="minor"/>
      </rPr>
      <t>(b)  comparing proofs of texts and related material prepared
for printing with original material, correcting errors and marking texts for printer
according to the established rules;</t>
    </r>
  </si>
  <si>
    <r>
      <rPr>
        <sz val="11"/>
        <rFont val="Calibri"/>
        <family val="2"/>
        <scheme val="minor"/>
      </rPr>
      <t>(c)  sorting forms and marking them with identification
numbers;</t>
    </r>
  </si>
  <si>
    <r>
      <rPr>
        <sz val="11"/>
        <rFont val="Calibri"/>
        <family val="2"/>
        <scheme val="minor"/>
      </rPr>
      <t>(d)  sorting documents for filing or to collate sets of
pages;</t>
    </r>
  </si>
  <si>
    <r>
      <rPr>
        <sz val="11"/>
        <rFont val="Calibri"/>
        <family val="2"/>
        <scheme val="minor"/>
      </rPr>
      <t>(a)  sorting or classifying materials according to
guidelines such as content, purpose, user criteria, or chronological, alphabetical or
numerical order;</t>
    </r>
  </si>
  <si>
    <r>
      <rPr>
        <sz val="11"/>
        <rFont val="Calibri"/>
        <family val="2"/>
        <scheme val="minor"/>
      </rPr>
      <t>(c)  locating and remove materials from files when
requested;</t>
    </r>
  </si>
  <si>
    <r>
      <rPr>
        <sz val="11"/>
        <rFont val="Calibri"/>
        <family val="2"/>
        <scheme val="minor"/>
      </rPr>
      <t>(a)  updating information on employment history, salaries,
performance evaluations, qualifications and training,
and leave taken and accumulated;</t>
    </r>
  </si>
  <si>
    <r>
      <rPr>
        <sz val="11"/>
        <rFont val="Calibri"/>
        <family val="2"/>
        <scheme val="minor"/>
      </rPr>
      <t>(b)  initiating records for newly appointed workers and
checking records for completeness;</t>
    </r>
  </si>
  <si>
    <r>
      <rPr>
        <sz val="11"/>
        <rFont val="Calibri"/>
        <family val="2"/>
        <scheme val="minor"/>
      </rPr>
      <t>(c)  processing applications for employment and promotions and advising applicants of
results;</t>
    </r>
  </si>
  <si>
    <r>
      <rPr>
        <sz val="11"/>
        <rFont val="Calibri"/>
        <family val="2"/>
        <scheme val="minor"/>
      </rPr>
      <t>(d)  receiving and answering inquiries about employment
entitlements and conditions;</t>
    </r>
  </si>
  <si>
    <r>
      <rPr>
        <sz val="11"/>
        <rFont val="Calibri"/>
        <family val="2"/>
        <scheme val="minor"/>
      </rPr>
      <t>(e)  sending out job applications and
announcements of job
openings and job examinations;</t>
    </r>
  </si>
  <si>
    <r>
      <rPr>
        <sz val="11"/>
        <rFont val="Calibri"/>
        <family val="2"/>
        <scheme val="minor"/>
      </rPr>
      <t>(f)  maintaining and updating manual and computerized
filing and registration systems, and compiling and preparing
reports and documents relating to personnel activities;</t>
    </r>
  </si>
  <si>
    <r>
      <rPr>
        <sz val="11"/>
        <rFont val="Calibri"/>
        <family val="2"/>
        <scheme val="minor"/>
      </rPr>
      <t>(g)  storing and retrieving personnel records and files on
request.</t>
    </r>
  </si>
  <si>
    <r>
      <rPr>
        <sz val="11"/>
        <rFont val="Calibri"/>
        <family val="2"/>
        <scheme val="minor"/>
      </rPr>
      <t>(a)  receiving customers’ orders for classified
advertising, writing and editing copy, calculating advertising rates and billing
customers;</t>
    </r>
  </si>
  <si>
    <r>
      <rPr>
        <sz val="11"/>
        <rFont val="Calibri"/>
        <family val="2"/>
        <scheme val="minor"/>
      </rPr>
      <t>(b)  writing business and government correspondence such as replies to requests for information and assistance,
damage claims, credit and
billing inquiries and service complaints;</t>
    </r>
  </si>
  <si>
    <r>
      <rPr>
        <sz val="11"/>
        <rFont val="Calibri"/>
        <family val="2"/>
        <scheme val="minor"/>
      </rPr>
      <t>(c)  assisting in the preparation of periodicals, advertisements,
catalogues, directories and other material for publication;</t>
    </r>
  </si>
  <si>
    <r>
      <rPr>
        <sz val="11"/>
        <rFont val="Calibri"/>
        <family val="2"/>
        <scheme val="minor"/>
      </rPr>
      <t>(d)  reading newspapers, magazines, press releases and other publications to locate and file articles of interest to
staff and clients.</t>
    </r>
  </si>
  <si>
    <r>
      <rPr>
        <sz val="11"/>
        <rFont val="Calibri"/>
        <family val="2"/>
        <scheme val="minor"/>
      </rPr>
      <t>(a)  greeting passengers entering aircraft or ships,
checking tickets or boarding passes, and directing passengers to their seats or
berths;</t>
    </r>
  </si>
  <si>
    <r>
      <rPr>
        <sz val="11"/>
        <rFont val="Calibri"/>
        <family val="2"/>
        <scheme val="minor"/>
      </rPr>
      <t>(b)  announcing, explaining and demonstrating safety and emergency procedures such as the use of oxygen masks, seat
belts and life jackets;</t>
    </r>
  </si>
  <si>
    <r>
      <rPr>
        <sz val="11"/>
        <rFont val="Calibri"/>
        <family val="2"/>
        <scheme val="minor"/>
      </rPr>
      <t>(c)  assembling and serving pre-prepared meals and
beverages;</t>
    </r>
  </si>
  <si>
    <r>
      <rPr>
        <sz val="11"/>
        <rFont val="Calibri"/>
        <family val="2"/>
        <scheme val="minor"/>
      </rPr>
      <t>(e)  taking care of general needs and comfort of passengers, answering
inquiries, and keeping cabins
clean and tidy;</t>
    </r>
  </si>
  <si>
    <r>
      <rPr>
        <sz val="11"/>
        <rFont val="Calibri"/>
        <family val="2"/>
        <scheme val="minor"/>
      </rPr>
      <t>(f)  directing and assisting passengers and following prescribed procedures in the event of an emergency, such
as evacuating an aircraft
following an emergency landing;</t>
    </r>
  </si>
  <si>
    <r>
      <rPr>
        <sz val="11"/>
        <rFont val="Calibri"/>
        <family val="2"/>
        <scheme val="minor"/>
      </rPr>
      <t>(g)  verifying that first aid kits and other emergency
equipment are in working order;</t>
    </r>
  </si>
  <si>
    <r>
      <rPr>
        <sz val="11"/>
        <rFont val="Calibri"/>
        <family val="2"/>
        <scheme val="minor"/>
      </rPr>
      <t>(i)  attending pre-flight briefings concerning weather, altitudes, routes, emergency procedures, crew coordination,
lengths of flights, food and
beverage services offered, and numbers of passengers;</t>
    </r>
  </si>
  <si>
    <r>
      <rPr>
        <sz val="11"/>
        <rFont val="Calibri"/>
        <family val="2"/>
        <scheme val="minor"/>
      </rPr>
      <t>(j)  preparing passengers and aircraft for take-off and
landing;</t>
    </r>
  </si>
  <si>
    <r>
      <rPr>
        <sz val="11"/>
        <rFont val="Calibri"/>
        <family val="2"/>
        <scheme val="minor"/>
      </rPr>
      <t>(k)  determining special assistance needs of passengers
such as small children, the elderly or disabled persons.</t>
    </r>
  </si>
  <si>
    <r>
      <rPr>
        <sz val="11"/>
        <rFont val="Calibri"/>
        <family val="2"/>
        <scheme val="minor"/>
      </rPr>
      <t>(a)  collecting and issuing tickets, passes or fares, and
checking the validity of tickets
issued previously;</t>
    </r>
  </si>
  <si>
    <r>
      <rPr>
        <sz val="11"/>
        <rFont val="Calibri"/>
        <family val="2"/>
        <scheme val="minor"/>
      </rPr>
      <t>(b)  attending to sleeping-cars and their occupants on
passenger trains;</t>
    </r>
  </si>
  <si>
    <r>
      <rPr>
        <sz val="11"/>
        <rFont val="Calibri"/>
        <family val="2"/>
        <scheme val="minor"/>
      </rPr>
      <t>(c)  providing assistance with boarding, seating and luggage
as required, especially to elderly, sick or injured people;</t>
    </r>
  </si>
  <si>
    <r>
      <rPr>
        <sz val="11"/>
        <rFont val="Calibri"/>
        <family val="2"/>
        <scheme val="minor"/>
      </rPr>
      <t>(e)  performing equipment safety checks prior to
departure;</t>
    </r>
  </si>
  <si>
    <r>
      <rPr>
        <sz val="11"/>
        <rFont val="Calibri"/>
        <family val="2"/>
        <scheme val="minor"/>
      </rPr>
      <t>(g)  greeting passengers boarding transportation
equipment, and announcing routes and stops.</t>
    </r>
  </si>
  <si>
    <r>
      <rPr>
        <sz val="11"/>
        <rFont val="Calibri"/>
        <family val="2"/>
        <scheme val="minor"/>
      </rPr>
      <t>(i)  responding to passengers’ requests and complaints and providing information about
stops and connections;</t>
    </r>
  </si>
  <si>
    <r>
      <rPr>
        <sz val="11"/>
        <rFont val="Calibri"/>
        <family val="2"/>
        <scheme val="minor"/>
      </rPr>
      <t>(j)  taking appropriate action in case of emergencies or
accidents.</t>
    </r>
  </si>
  <si>
    <r>
      <rPr>
        <sz val="11"/>
        <rFont val="Calibri"/>
        <family val="2"/>
        <scheme val="minor"/>
      </rPr>
      <t>escorting and guiding tourists
on cruises and sightseeing tours;</t>
    </r>
  </si>
  <si>
    <r>
      <rPr>
        <sz val="11"/>
        <rFont val="Calibri"/>
        <family val="2"/>
        <scheme val="minor"/>
      </rPr>
      <t>escorting visitors through places of interest such as museums, exhibitions, theme parks, factories and other
industrial establishments;</t>
    </r>
  </si>
  <si>
    <r>
      <rPr>
        <sz val="11"/>
        <rFont val="Calibri"/>
        <family val="2"/>
        <scheme val="minor"/>
      </rPr>
      <t>describing and providing information on points of interest and exhibits and
responding to questions;</t>
    </r>
  </si>
  <si>
    <r>
      <rPr>
        <sz val="11"/>
        <rFont val="Calibri"/>
        <family val="2"/>
        <scheme val="minor"/>
      </rPr>
      <t>monitoring visitors’ activities to ensure compliance with establishment or tour
regulations and safety practices;</t>
    </r>
  </si>
  <si>
    <r>
      <rPr>
        <sz val="11"/>
        <rFont val="Calibri"/>
        <family val="2"/>
        <scheme val="minor"/>
      </rPr>
      <t>greeting and registering visitors and tour participants, and issuing any required identification badges or safety
devices;</t>
    </r>
  </si>
  <si>
    <r>
      <rPr>
        <sz val="11"/>
        <rFont val="Calibri"/>
        <family val="2"/>
        <scheme val="minor"/>
      </rPr>
      <t>distributing brochures, showing audiovisual presentations, and explaining
procedures and operations at tour sites;</t>
    </r>
  </si>
  <si>
    <r>
      <rPr>
        <sz val="11"/>
        <rFont val="Calibri"/>
        <family val="2"/>
        <scheme val="minor"/>
      </rPr>
      <t>providing for physical safety of groups, and performing activities such as providing first aid and directing
emergency evacuations;</t>
    </r>
  </si>
  <si>
    <r>
      <rPr>
        <sz val="11"/>
        <rFont val="Calibri"/>
        <family val="2"/>
        <scheme val="minor"/>
      </rPr>
      <t>resolving any problems with
tour itineraries, service or accommodation.</t>
    </r>
  </si>
  <si>
    <r>
      <rPr>
        <sz val="11"/>
        <rFont val="Calibri"/>
        <family val="2"/>
        <scheme val="minor"/>
      </rPr>
      <t>escorting and guiding tourists on cruises and sightseeing
tours;</t>
    </r>
  </si>
  <si>
    <r>
      <rPr>
        <sz val="11"/>
        <rFont val="Calibri"/>
        <family val="2"/>
        <scheme val="minor"/>
      </rPr>
      <t>escorting visitors through places of interest such as museums, exhibitions, theme
parks, factories and other industrial establishments;</t>
    </r>
  </si>
  <si>
    <r>
      <rPr>
        <sz val="11"/>
        <rFont val="Calibri"/>
        <family val="2"/>
        <scheme val="minor"/>
      </rPr>
      <t>planning, supervising and coordinating the work of
kitchen helpers;</t>
    </r>
  </si>
  <si>
    <r>
      <rPr>
        <sz val="11"/>
        <rFont val="Calibri"/>
        <family val="2"/>
        <scheme val="minor"/>
      </rPr>
      <t>weighing, measuring and mixing ingredients according to recipes and personal
judgement;</t>
    </r>
  </si>
  <si>
    <r>
      <rPr>
        <sz val="11"/>
        <rFont val="Calibri"/>
        <family val="2"/>
        <scheme val="minor"/>
      </rPr>
      <t>regulating the temperature of ovens, grills, roasters and other cooking equipment; inspecting and cleaning the kitchen, kitchen equipment and serving areas to ensure safe and sanitary food
handling practices;</t>
    </r>
  </si>
  <si>
    <r>
      <rPr>
        <sz val="11"/>
        <rFont val="Calibri"/>
        <family val="2"/>
        <scheme val="minor"/>
      </rPr>
      <t>operating large-volume cooking equipment such as grills, deep-fat fryers, or
griddles.</t>
    </r>
  </si>
  <si>
    <r>
      <rPr>
        <sz val="11"/>
        <rFont val="Calibri"/>
        <family val="2"/>
        <scheme val="minor"/>
      </rPr>
      <t>setting tables with clean linen, cutlery, crockery and
glassware;</t>
    </r>
  </si>
  <si>
    <r>
      <rPr>
        <sz val="11"/>
        <rFont val="Calibri"/>
        <family val="2"/>
        <scheme val="minor"/>
      </rPr>
      <t>greeting customers and
presenting them with menus and beverage lists;</t>
    </r>
  </si>
  <si>
    <r>
      <rPr>
        <sz val="11"/>
        <rFont val="Calibri"/>
        <family val="2"/>
        <scheme val="minor"/>
      </rPr>
      <t>advising on food and beverage
choices;</t>
    </r>
  </si>
  <si>
    <r>
      <rPr>
        <sz val="11"/>
        <rFont val="Calibri"/>
        <family val="2"/>
        <scheme val="minor"/>
      </rPr>
      <t>taking orders for food and
drinks and passing orders to kitchen or bar staff;</t>
    </r>
  </si>
  <si>
    <r>
      <rPr>
        <sz val="11"/>
        <rFont val="Calibri"/>
        <family val="2"/>
        <scheme val="minor"/>
      </rPr>
      <t>clearing tables and returning dishes and cutlery to the
kitchen;</t>
    </r>
  </si>
  <si>
    <r>
      <rPr>
        <sz val="11"/>
        <rFont val="Calibri"/>
        <family val="2"/>
        <scheme val="minor"/>
      </rPr>
      <t>presenting bills, accepting payment and operating point- of-sales machines and cash
registers.</t>
    </r>
  </si>
  <si>
    <r>
      <rPr>
        <sz val="11"/>
        <rFont val="Calibri"/>
        <family val="2"/>
        <scheme val="minor"/>
      </rPr>
      <t>taking beverage orders from
serving staff or directly from patrons;</t>
    </r>
  </si>
  <si>
    <r>
      <rPr>
        <sz val="11"/>
        <rFont val="Calibri"/>
        <family val="2"/>
        <scheme val="minor"/>
      </rPr>
      <t>preparing and serving
alcoholic and non-alcoholic drinks at a bar;</t>
    </r>
  </si>
  <si>
    <r>
      <rPr>
        <sz val="11"/>
        <rFont val="Calibri"/>
        <family val="2"/>
        <scheme val="minor"/>
      </rPr>
      <t>washing used glassware, cleaning and maintaining bar service areas, tea- and coffee- making areas and equipment
such as espresso machines;</t>
    </r>
  </si>
  <si>
    <r>
      <rPr>
        <sz val="11"/>
        <rFont val="Calibri"/>
        <family val="2"/>
        <scheme val="minor"/>
      </rPr>
      <t>tapping kegs and attaching
supply lines;</t>
    </r>
  </si>
  <si>
    <r>
      <rPr>
        <sz val="11"/>
        <rFont val="Calibri"/>
        <family val="2"/>
        <scheme val="minor"/>
      </rPr>
      <t>assisting in keeping the bar
properly stocked and arranging bottles and glasses;</t>
    </r>
  </si>
  <si>
    <r>
      <rPr>
        <sz val="11"/>
        <rFont val="Calibri"/>
        <family val="2"/>
        <scheme val="minor"/>
      </rPr>
      <t>checking identification of customers to verify age requirements for purchase of
alcohol;</t>
    </r>
  </si>
  <si>
    <r>
      <rPr>
        <sz val="11"/>
        <rFont val="Calibri"/>
        <family val="2"/>
        <scheme val="minor"/>
      </rPr>
      <t>taking steps to limit problems related to excessive drinking, such as persuading customers to stop drinking, declining further service or ordering
transportation;</t>
    </r>
  </si>
  <si>
    <r>
      <rPr>
        <sz val="11"/>
        <rFont val="Calibri"/>
        <family val="2"/>
        <scheme val="minor"/>
      </rPr>
      <t>styling hair into dreadlocks and braids and adding hair
extensions;</t>
    </r>
  </si>
  <si>
    <r>
      <rPr>
        <sz val="11"/>
        <rFont val="Calibri"/>
        <family val="2"/>
        <scheme val="minor"/>
      </rPr>
      <t>cleaning and applying creams, lotions and related products to face and other parts of the
body;</t>
    </r>
  </si>
  <si>
    <r>
      <rPr>
        <sz val="11"/>
        <rFont val="Calibri"/>
        <family val="2"/>
        <scheme val="minor"/>
      </rPr>
      <t>cleaning, shaping and polishing finger- and toenails and treating ailments of the human foot such as corns,
calluses or deformed toenails;</t>
    </r>
  </si>
  <si>
    <r>
      <rPr>
        <sz val="11"/>
        <rFont val="Calibri"/>
        <family val="2"/>
        <scheme val="minor"/>
      </rPr>
      <t>attending to clients taking baths and administering
elementary massage;</t>
    </r>
  </si>
  <si>
    <r>
      <rPr>
        <sz val="11"/>
        <rFont val="Calibri"/>
        <family val="2"/>
        <scheme val="minor"/>
      </rPr>
      <t>advising clients on diet and
exercise to assist in weight loss and slimming;</t>
    </r>
  </si>
  <si>
    <r>
      <rPr>
        <sz val="11"/>
        <rFont val="Calibri"/>
        <family val="2"/>
        <scheme val="minor"/>
      </rPr>
      <t>(a)  supervising workers employed in households as
domestic staff;</t>
    </r>
  </si>
  <si>
    <r>
      <rPr>
        <sz val="11"/>
        <rFont val="Calibri"/>
        <family val="2"/>
        <scheme val="minor"/>
      </rPr>
      <t>(d)  assisting in cases of minor injury or illness by performing
tasks such as taking temperature, giving medicine,
putting on bandages;</t>
    </r>
  </si>
  <si>
    <r>
      <rPr>
        <sz val="11"/>
        <rFont val="Calibri"/>
        <family val="2"/>
        <scheme val="minor"/>
      </rPr>
      <t>(e)  sweeping or vacuum- cleaning, washing and
polishing floors, furniture and other fixtures.</t>
    </r>
  </si>
  <si>
    <r>
      <rPr>
        <sz val="11"/>
        <rFont val="Calibri"/>
        <family val="2"/>
        <scheme val="minor"/>
      </rPr>
      <t>(f)  making beds, cleaning bathrooms, supplying towels,
soap and related items;</t>
    </r>
  </si>
  <si>
    <r>
      <rPr>
        <sz val="11"/>
        <rFont val="Calibri"/>
        <family val="2"/>
        <scheme val="minor"/>
      </rPr>
      <t>(g)  taking care of household pets and plants, receiving
visitors, answering telephones, delivering messages and
shopping for groceries;</t>
    </r>
  </si>
  <si>
    <r>
      <rPr>
        <sz val="11"/>
        <rFont val="Calibri"/>
        <family val="2"/>
        <scheme val="minor"/>
      </rPr>
      <t>(h)  preparing and cooking meals, setting and clearing tables and serving food and
beverages;</t>
    </r>
  </si>
  <si>
    <r>
      <rPr>
        <sz val="11"/>
        <rFont val="Calibri"/>
        <family val="2"/>
        <scheme val="minor"/>
      </rPr>
      <t>(i)  cleaning kitchens and
generally helping with kitchen work, including dishwashing.</t>
    </r>
  </si>
  <si>
    <r>
      <rPr>
        <sz val="11"/>
        <rFont val="Calibri"/>
        <family val="2"/>
        <scheme val="minor"/>
      </rPr>
      <t>(a)  supervising the work of cleaning, housekeeping and
building maintenance staff and
contractors;</t>
    </r>
  </si>
  <si>
    <r>
      <rPr>
        <sz val="11"/>
        <rFont val="Calibri"/>
        <family val="2"/>
        <scheme val="minor"/>
      </rPr>
      <t>(b)  participating in cleaning, simple repairs and
maintenance of building
interiors;</t>
    </r>
  </si>
  <si>
    <r>
      <rPr>
        <sz val="11"/>
        <rFont val="Calibri"/>
        <family val="2"/>
        <scheme val="minor"/>
      </rPr>
      <t>(c)  tending furnaces and boilers to ensure provision of
heat and hot water;</t>
    </r>
  </si>
  <si>
    <r>
      <rPr>
        <sz val="11"/>
        <rFont val="Calibri"/>
        <family val="2"/>
        <scheme val="minor"/>
      </rPr>
      <t>(d)  regulating conduct of tenants and visitors in such matters as noise abatement or
misuse of property;</t>
    </r>
  </si>
  <si>
    <r>
      <rPr>
        <sz val="11"/>
        <rFont val="Calibri"/>
        <family val="2"/>
        <scheme val="minor"/>
      </rPr>
      <t>(e)  providing small services to absent tenants such as
accepting deliveries on their behalf or providing requested
information to callers;</t>
    </r>
  </si>
  <si>
    <r>
      <rPr>
        <sz val="11"/>
        <rFont val="Calibri"/>
        <family val="2"/>
        <scheme val="minor"/>
      </rPr>
      <t>(f)  notifying management and owners of buildings of the
need for major repairs;</t>
    </r>
  </si>
  <si>
    <r>
      <rPr>
        <sz val="11"/>
        <rFont val="Calibri"/>
        <family val="2"/>
        <scheme val="minor"/>
      </rPr>
      <t>(h)  filling out registration forms and providing tenants
with copies of rules.</t>
    </r>
  </si>
  <si>
    <r>
      <rPr>
        <sz val="11"/>
        <rFont val="Calibri"/>
        <family val="2"/>
        <scheme val="minor"/>
      </rPr>
      <t>(a)  making arrangements for and conducting funerals,
cremations and burials;</t>
    </r>
  </si>
  <si>
    <r>
      <rPr>
        <sz val="11"/>
        <rFont val="Calibri"/>
        <family val="2"/>
        <scheme val="minor"/>
      </rPr>
      <t>(b)  embalming human remains to retard or arrest the
process of decay;</t>
    </r>
  </si>
  <si>
    <r>
      <rPr>
        <sz val="11"/>
        <rFont val="Calibri"/>
        <family val="2"/>
        <scheme val="minor"/>
      </rPr>
      <t>(c)  conforming to health and sanitation and ensuring that legal requirements concerning
embalming are met;</t>
    </r>
  </si>
  <si>
    <r>
      <rPr>
        <sz val="11"/>
        <rFont val="Calibri"/>
        <family val="2"/>
        <scheme val="minor"/>
      </rPr>
      <t>(d)  incising and closing incisions on various parts of the body and reshaping or reconstructing disfigured or maimed human remains when
necessary;</t>
    </r>
  </si>
  <si>
    <r>
      <rPr>
        <sz val="11"/>
        <rFont val="Calibri"/>
        <family val="2"/>
        <scheme val="minor"/>
      </rPr>
      <t>(f)  conducting interviews to arrange for preparation of
obituary notices, to assist with the selection of caskets or urns, and to determine the
location and time of burials or cremations.</t>
    </r>
  </si>
  <si>
    <r>
      <rPr>
        <sz val="11"/>
        <rFont val="Calibri"/>
        <family val="2"/>
        <scheme val="minor"/>
      </rPr>
      <t>(c)  welcoming clients to a night-club and ensuring that
they are entertained well.</t>
    </r>
  </si>
  <si>
    <r>
      <rPr>
        <sz val="11"/>
        <rFont val="Calibri"/>
        <family val="2"/>
        <scheme val="minor"/>
      </rPr>
      <t>(a)  obtaining permission to set up a stand at a particular place
in streets, markets or other open spaces;</t>
    </r>
  </si>
  <si>
    <r>
      <rPr>
        <sz val="11"/>
        <rFont val="Calibri"/>
        <family val="2"/>
        <scheme val="minor"/>
      </rPr>
      <t>(b)  determining product mix, stock and price levels for
goods to be sold;</t>
    </r>
  </si>
  <si>
    <r>
      <rPr>
        <sz val="11"/>
        <rFont val="Calibri"/>
        <family val="2"/>
        <scheme val="minor"/>
      </rPr>
      <t>(c)  buying or contracting a regular supply of goods to be sold from wholesale suppliers
or directly from producers;</t>
    </r>
  </si>
  <si>
    <r>
      <rPr>
        <sz val="11"/>
        <rFont val="Calibri"/>
        <family val="2"/>
        <scheme val="minor"/>
      </rPr>
      <t>(d)  erecting and dismantling stalls and stands, and
transporting, storing, loading
and unloading goods for sale;</t>
    </r>
  </si>
  <si>
    <r>
      <rPr>
        <sz val="11"/>
        <rFont val="Calibri"/>
        <family val="2"/>
        <scheme val="minor"/>
      </rPr>
      <t>(f)  stacking and displaying goods for sale, and wrapping
and packing goods sold;</t>
    </r>
  </si>
  <si>
    <r>
      <rPr>
        <sz val="11"/>
        <rFont val="Calibri"/>
        <family val="2"/>
        <scheme val="minor"/>
      </rPr>
      <t>(g)  keeping accounts and maintaining a record of stock
levels.</t>
    </r>
  </si>
  <si>
    <r>
      <rPr>
        <sz val="11"/>
        <rFont val="Calibri"/>
        <family val="2"/>
        <scheme val="minor"/>
      </rPr>
      <t>(a)  obtaining permission or a licence, where required, to sell food and drinks on the street
or in a public place;</t>
    </r>
  </si>
  <si>
    <r>
      <rPr>
        <sz val="11"/>
        <rFont val="Calibri"/>
        <family val="2"/>
        <scheme val="minor"/>
      </rPr>
      <t>(c)  preparing, either
beforehand or on the spot, food and drinks for sale;</t>
    </r>
  </si>
  <si>
    <r>
      <rPr>
        <sz val="11"/>
        <rFont val="Calibri"/>
        <family val="2"/>
        <scheme val="minor"/>
      </rPr>
      <t>(d)  loading and unloading, pushing, pedalling or carrying
handcarts, trucks, trays or baskets to bring food and drinks to the desired place in the street, or to public places
such as stations or cinemas;</t>
    </r>
  </si>
  <si>
    <r>
      <rPr>
        <sz val="11"/>
        <rFont val="Calibri"/>
        <family val="2"/>
        <scheme val="minor"/>
      </rPr>
      <t>(e)  displaying and selling food and drinks and accepting
payment.</t>
    </r>
  </si>
  <si>
    <r>
      <rPr>
        <sz val="11"/>
        <rFont val="Calibri"/>
        <family val="2"/>
        <scheme val="minor"/>
      </rPr>
      <t>(a)  determining product mix, stock and price levels for
goods to be sold;</t>
    </r>
  </si>
  <si>
    <r>
      <rPr>
        <sz val="11"/>
        <rFont val="Calibri"/>
        <family val="2"/>
        <scheme val="minor"/>
      </rPr>
      <t>(b)  purchasing and ordering goods for sale from markets,
wholesalers and other suppliers;</t>
    </r>
  </si>
  <si>
    <r>
      <rPr>
        <sz val="11"/>
        <rFont val="Calibri"/>
        <family val="2"/>
        <scheme val="minor"/>
      </rPr>
      <t>(c)  budgeting and maintaining records of stock levels and
financial transactions;</t>
    </r>
  </si>
  <si>
    <r>
      <rPr>
        <sz val="11"/>
        <rFont val="Calibri"/>
        <family val="2"/>
        <scheme val="minor"/>
      </rPr>
      <t>(e)  selling goods to customers and advising them on product
use;</t>
    </r>
  </si>
  <si>
    <r>
      <rPr>
        <sz val="11"/>
        <rFont val="Calibri"/>
        <family val="2"/>
        <scheme val="minor"/>
      </rPr>
      <t>(f)  examining returned goods and deciding on appropriate
action;</t>
    </r>
  </si>
  <si>
    <r>
      <rPr>
        <sz val="11"/>
        <rFont val="Calibri"/>
        <family val="2"/>
        <scheme val="minor"/>
      </rPr>
      <t>(a)  planning and preparing work schedules and assigning
staff to specific duties;</t>
    </r>
  </si>
  <si>
    <r>
      <rPr>
        <sz val="11"/>
        <rFont val="Calibri"/>
        <family val="2"/>
        <scheme val="minor"/>
      </rPr>
      <t>(b)  instructing staff on sales procedures, including how to handle difficult or complex
cases;</t>
    </r>
  </si>
  <si>
    <r>
      <rPr>
        <sz val="11"/>
        <rFont val="Calibri"/>
        <family val="2"/>
        <scheme val="minor"/>
      </rPr>
      <t>(d)  participating in and providing advice to managers
on interviewing, hiring, training, evaluating, promoting and dismissing
staff, and resolving staff grievances;</t>
    </r>
  </si>
  <si>
    <r>
      <rPr>
        <sz val="11"/>
        <rFont val="Calibri"/>
        <family val="2"/>
        <scheme val="minor"/>
      </rPr>
      <t>(e)  examining returned goods and deciding on appropriate
action;</t>
    </r>
  </si>
  <si>
    <r>
      <rPr>
        <sz val="11"/>
        <rFont val="Calibri"/>
        <family val="2"/>
        <scheme val="minor"/>
      </rPr>
      <t>(f)  taking inventory of goods for sale and ordering new
stock;</t>
    </r>
  </si>
  <si>
    <r>
      <rPr>
        <sz val="11"/>
        <rFont val="Calibri"/>
        <family val="2"/>
        <scheme val="minor"/>
      </rPr>
      <t>(g)  ensuring that goods and services are correctly priced
and displayed;</t>
    </r>
  </si>
  <si>
    <r>
      <rPr>
        <sz val="11"/>
        <rFont val="Calibri"/>
        <family val="2"/>
        <scheme val="minor"/>
      </rPr>
      <t>(a)  determining customer requirements and advising on product range, price, delivery,
warranties and product use
and care;</t>
    </r>
  </si>
  <si>
    <r>
      <rPr>
        <sz val="11"/>
        <rFont val="Calibri"/>
        <family val="2"/>
        <scheme val="minor"/>
      </rPr>
      <t>(b)  demonstrating and explaining to customers the establishment’s goods and
services;</t>
    </r>
  </si>
  <si>
    <r>
      <rPr>
        <sz val="11"/>
        <rFont val="Calibri"/>
        <family val="2"/>
        <scheme val="minor"/>
      </rPr>
      <t>(c)  selling goods and services, accepting payment by a
variety of payment methods, preparing sales invoices and recording sales using cash
registers;</t>
    </r>
  </si>
  <si>
    <r>
      <rPr>
        <sz val="11"/>
        <rFont val="Calibri"/>
        <family val="2"/>
        <scheme val="minor"/>
      </rPr>
      <t>(d)  assisting with the ongoing management of stock such as
product inventories, and participating in stock takes;</t>
    </r>
  </si>
  <si>
    <r>
      <rPr>
        <sz val="11"/>
        <rFont val="Calibri"/>
        <family val="2"/>
        <scheme val="minor"/>
      </rPr>
      <t>(e)  stacking and displaying goods for sale, and wrapping
and packing goods sold.</t>
    </r>
  </si>
  <si>
    <r>
      <rPr>
        <sz val="11"/>
        <rFont val="Calibri"/>
        <family val="2"/>
        <scheme val="minor"/>
      </rPr>
      <t>(a)  receiving and verifying payment by cash, cheque,
credit card or automatic debit
in stores, ticket offices or similar establishments;</t>
    </r>
  </si>
  <si>
    <r>
      <rPr>
        <sz val="11"/>
        <rFont val="Calibri"/>
        <family val="2"/>
        <scheme val="minor"/>
      </rPr>
      <t>(c)  issuing tickets for attendance at sporting and
cultural events;</t>
    </r>
  </si>
  <si>
    <r>
      <rPr>
        <sz val="11"/>
        <rFont val="Calibri"/>
        <family val="2"/>
        <scheme val="minor"/>
      </rPr>
      <t>(d)  counting and recording money received or paid out and balancing against cash
register sales records;</t>
    </r>
  </si>
  <si>
    <r>
      <rPr>
        <sz val="11"/>
        <rFont val="Calibri"/>
        <family val="2"/>
        <scheme val="minor"/>
      </rPr>
      <t>(e)  receiving incoming cash, checking it against sales slips
and other documents, and
preparing it for deposit at a financial institution</t>
    </r>
  </si>
  <si>
    <r>
      <rPr>
        <sz val="11"/>
        <rFont val="Calibri"/>
        <family val="2"/>
        <scheme val="minor"/>
      </rPr>
      <t>(f)  operating cash registers to calculate totals to be paid from
or to clients;</t>
    </r>
  </si>
  <si>
    <r>
      <rPr>
        <sz val="11"/>
        <rFont val="Calibri"/>
        <family val="2"/>
        <scheme val="minor"/>
      </rPr>
      <t>(a)  setting up displays and demonstrating articles for sale
to inform customers about their characteristics and mode
of use, as well as to stimulate buying interest;</t>
    </r>
  </si>
  <si>
    <r>
      <rPr>
        <sz val="11"/>
        <rFont val="Calibri"/>
        <family val="2"/>
        <scheme val="minor"/>
      </rPr>
      <t>(b)  answering questions and offering advice on the use of
goods;</t>
    </r>
  </si>
  <si>
    <r>
      <rPr>
        <sz val="11"/>
        <rFont val="Calibri"/>
        <family val="2"/>
        <scheme val="minor"/>
      </rPr>
      <t>(d)  taking orders and making arrangements for payment, delivery and collection of
goods;</t>
    </r>
  </si>
  <si>
    <r>
      <rPr>
        <sz val="11"/>
        <rFont val="Calibri"/>
        <family val="2"/>
        <scheme val="minor"/>
      </rPr>
      <t>(e)  offering sample goods and distributing catalogues and
advertising material.</t>
    </r>
  </si>
  <si>
    <r>
      <rPr>
        <sz val="11"/>
        <rFont val="Calibri"/>
        <family val="2"/>
        <scheme val="minor"/>
      </rPr>
      <t>(a)  giving details of various goods or services and of terms of sale by visiting clients and
potential clients in private homes;</t>
    </r>
  </si>
  <si>
    <r>
      <rPr>
        <sz val="11"/>
        <rFont val="Calibri"/>
        <family val="2"/>
        <scheme val="minor"/>
      </rPr>
      <t>(b)  demonstrating or describing goods or services
on offer;</t>
    </r>
  </si>
  <si>
    <r>
      <rPr>
        <sz val="11"/>
        <rFont val="Calibri"/>
        <family val="2"/>
        <scheme val="minor"/>
      </rPr>
      <t>(c)  recording orders and transactions and placing orders
received with suppliers;</t>
    </r>
  </si>
  <si>
    <r>
      <rPr>
        <sz val="11"/>
        <rFont val="Calibri"/>
        <family val="2"/>
        <scheme val="minor"/>
      </rPr>
      <t>(d)  preparing invoices and sales contracts and accepting
payment;</t>
    </r>
  </si>
  <si>
    <r>
      <rPr>
        <sz val="11"/>
        <rFont val="Calibri"/>
        <family val="2"/>
        <scheme val="minor"/>
      </rPr>
      <t>(e)  distributing letters, information sheets and other
documents to clients;</t>
    </r>
  </si>
  <si>
    <r>
      <rPr>
        <sz val="11"/>
        <rFont val="Calibri"/>
        <family val="2"/>
        <scheme val="minor"/>
      </rPr>
      <t>(f)  compiling lists of prospective clients and calling
on them to obtain new
business;</t>
    </r>
  </si>
  <si>
    <r>
      <rPr>
        <sz val="11"/>
        <rFont val="Calibri"/>
        <family val="2"/>
        <scheme val="minor"/>
      </rPr>
      <t>(g)  travelling between sales areas and clients and
transporting samples or goods
for sale.</t>
    </r>
  </si>
  <si>
    <r>
      <rPr>
        <sz val="11"/>
        <rFont val="Calibri"/>
        <family val="2"/>
        <scheme val="minor"/>
      </rPr>
      <t>creating interest in goods and services, and seeking a sale or an agreement to see sales
representatives;</t>
    </r>
  </si>
  <si>
    <r>
      <rPr>
        <sz val="11"/>
        <rFont val="Calibri"/>
        <family val="2"/>
        <scheme val="minor"/>
      </rPr>
      <t>arranging processing and dispatch of goods and services, information kits and
brochures to customers;</t>
    </r>
  </si>
  <si>
    <r>
      <rPr>
        <sz val="11"/>
        <rFont val="Calibri"/>
        <family val="2"/>
        <scheme val="minor"/>
      </rPr>
      <t>reporting competitor activities and issues raised by contacts
for attention by managers;</t>
    </r>
  </si>
  <si>
    <r>
      <rPr>
        <sz val="11"/>
        <rFont val="Calibri"/>
        <family val="2"/>
        <scheme val="minor"/>
      </rPr>
      <t>submitting periodic reports on
telemarketing activities and results.</t>
    </r>
  </si>
  <si>
    <r>
      <rPr>
        <sz val="11"/>
        <rFont val="Calibri"/>
        <family val="2"/>
        <scheme val="minor"/>
      </rPr>
      <t>(a)  filling fuel tanks and containers to level specified
by customer;</t>
    </r>
  </si>
  <si>
    <r>
      <rPr>
        <sz val="11"/>
        <rFont val="Calibri"/>
        <family val="2"/>
        <scheme val="minor"/>
      </rPr>
      <t>(b)  checking and replenishing air pressure in vehicle tyres, oil and other vehicle fluid
levels;</t>
    </r>
  </si>
  <si>
    <r>
      <rPr>
        <sz val="11"/>
        <rFont val="Calibri"/>
        <family val="2"/>
        <scheme val="minor"/>
      </rPr>
      <t>(d)  performing minor repair work to vehicles such as
replacing tyres, light bulbs and windscreen wiper blades;</t>
    </r>
  </si>
  <si>
    <r>
      <rPr>
        <sz val="11"/>
        <rFont val="Calibri"/>
        <family val="2"/>
        <scheme val="minor"/>
      </rPr>
      <t>(g)  cleaning petrol pumps and surrounding driveways, shops
and facilities;</t>
    </r>
  </si>
  <si>
    <r>
      <rPr>
        <sz val="11"/>
        <rFont val="Calibri"/>
        <family val="2"/>
        <scheme val="minor"/>
      </rPr>
      <t>(h)  undertaking stock control and preparing reports on fuel,
oil, accessories and other items sold.</t>
    </r>
  </si>
  <si>
    <r>
      <rPr>
        <sz val="11"/>
        <rFont val="Calibri"/>
        <family val="2"/>
        <scheme val="minor"/>
      </rPr>
      <t>(b)  ascertaining the products desired by customers, assisting
them in making choices and taking orders;</t>
    </r>
  </si>
  <si>
    <r>
      <rPr>
        <sz val="11"/>
        <rFont val="Calibri"/>
        <family val="2"/>
        <scheme val="minor"/>
      </rPr>
      <t>(c)  cleaning, peeling, slicing and trimming foodstuffs, using
manual and electric
appliances;</t>
    </r>
  </si>
  <si>
    <r>
      <rPr>
        <sz val="11"/>
        <rFont val="Calibri"/>
        <family val="2"/>
        <scheme val="minor"/>
      </rPr>
      <t>(d)  preparing simple food items and reheating prepared
meals;</t>
    </r>
  </si>
  <si>
    <r>
      <rPr>
        <sz val="11"/>
        <rFont val="Calibri"/>
        <family val="2"/>
        <scheme val="minor"/>
      </rPr>
      <t>(e)  portioning and wrapping food or placing it directly on
plates for service to patrons;</t>
    </r>
  </si>
  <si>
    <r>
      <rPr>
        <sz val="11"/>
        <rFont val="Calibri"/>
        <family val="2"/>
        <scheme val="minor"/>
      </rPr>
      <t>(g)  stocking refrigerators, salad and buffet bars and keeping records of the
quantities of food used;</t>
    </r>
  </si>
  <si>
    <r>
      <rPr>
        <sz val="11"/>
        <rFont val="Calibri"/>
        <family val="2"/>
        <scheme val="minor"/>
      </rPr>
      <t>Sales Workers Not
Elsewhere Classified</t>
    </r>
  </si>
  <si>
    <r>
      <rPr>
        <sz val="11"/>
        <rFont val="Calibri"/>
        <family val="2"/>
        <scheme val="minor"/>
      </rPr>
      <t>(b)  taking children to and from school or outdoors for
recreation;</t>
    </r>
  </si>
  <si>
    <r>
      <rPr>
        <sz val="11"/>
        <rFont val="Calibri"/>
        <family val="2"/>
        <scheme val="minor"/>
      </rPr>
      <t>(c)  playing games with children, or entertaining them
by reading or storytelling;</t>
    </r>
  </si>
  <si>
    <r>
      <rPr>
        <sz val="11"/>
        <rFont val="Calibri"/>
        <family val="2"/>
        <scheme val="minor"/>
      </rPr>
      <t>(d)  assisting in the preparation of materials and equipment for
children’s education and
recreational activities;</t>
    </r>
  </si>
  <si>
    <r>
      <rPr>
        <sz val="11"/>
        <rFont val="Calibri"/>
        <family val="2"/>
        <scheme val="minor"/>
      </rPr>
      <t>(e)  managing children’s behaviour and guiding their
social development;</t>
    </r>
  </si>
  <si>
    <r>
      <rPr>
        <sz val="11"/>
        <rFont val="Calibri"/>
        <family val="2"/>
        <scheme val="minor"/>
      </rPr>
      <t>(f)  disciplining children and recommending or initiating other measures to control behaviour, such as caring for own clothing and picking up
toys and books;</t>
    </r>
  </si>
  <si>
    <r>
      <rPr>
        <sz val="11"/>
        <rFont val="Calibri"/>
        <family val="2"/>
        <scheme val="minor"/>
      </rPr>
      <t>(h)  keeping records on individual children, including
daily observations and information about activities, meals served and medications
administered.</t>
    </r>
  </si>
  <si>
    <r>
      <rPr>
        <sz val="11"/>
        <rFont val="Calibri"/>
        <family val="2"/>
        <scheme val="minor"/>
      </rPr>
      <t>(a)  demonstrating, supervising and participating in activities that enhance the physical, social, emotional and
intellectual development of
children in schools and pre- schools;</t>
    </r>
  </si>
  <si>
    <r>
      <rPr>
        <sz val="11"/>
        <rFont val="Calibri"/>
        <family val="2"/>
        <scheme val="minor"/>
      </rPr>
      <t>(b)  preparing indoor and outdoor areas for learning and
recreational activities;</t>
    </r>
  </si>
  <si>
    <r>
      <rPr>
        <sz val="11"/>
        <rFont val="Calibri"/>
        <family val="2"/>
        <scheme val="minor"/>
      </rPr>
      <t>(c)  assisting children with intellectual, physical,
behavioural and other learning
difficulties with their studies;</t>
    </r>
  </si>
  <si>
    <r>
      <rPr>
        <sz val="11"/>
        <rFont val="Calibri"/>
        <family val="2"/>
        <scheme val="minor"/>
      </rPr>
      <t>(d)  assisting children individually to learn social
skills;</t>
    </r>
  </si>
  <si>
    <r>
      <rPr>
        <sz val="11"/>
        <rFont val="Calibri"/>
        <family val="2"/>
        <scheme val="minor"/>
      </rPr>
      <t>(e)  assisting with preparing teaching materials, and
copying and collating written and printed material;</t>
    </r>
  </si>
  <si>
    <r>
      <rPr>
        <sz val="11"/>
        <rFont val="Calibri"/>
        <family val="2"/>
        <scheme val="minor"/>
      </rPr>
      <t>(f)  operating audiovisual equipment, computers and
other teaching aides;</t>
    </r>
  </si>
  <si>
    <r>
      <rPr>
        <sz val="11"/>
        <rFont val="Calibri"/>
        <family val="2"/>
        <scheme val="minor"/>
      </rPr>
      <t>providing care, support and treatment to patients and residents of medical, rehabilitative and residential care facilities according to treatment plans established by medical, nursing and other
health professionals;</t>
    </r>
  </si>
  <si>
    <r>
      <rPr>
        <sz val="11"/>
        <rFont val="Calibri"/>
        <family val="2"/>
        <scheme val="minor"/>
      </rPr>
      <t>positioning, lifting and turning patients and transporting them in wheelchairs or on movable
beds;</t>
    </r>
  </si>
  <si>
    <r>
      <rPr>
        <sz val="11"/>
        <rFont val="Calibri"/>
        <family val="2"/>
        <scheme val="minor"/>
      </rPr>
      <t>maintaining patients’ environmental hygiene standards, such as cleaning
patient rooms and changing bed linen;v</t>
    </r>
  </si>
  <si>
    <r>
      <rPr>
        <sz val="11"/>
        <rFont val="Calibri"/>
        <family val="2"/>
        <scheme val="minor"/>
      </rPr>
      <t>providing massage and other non-pharmacological pain relief measures, such as during
pregnancy and labour;</t>
    </r>
  </si>
  <si>
    <r>
      <rPr>
        <sz val="11"/>
        <rFont val="Calibri"/>
        <family val="2"/>
        <scheme val="minor"/>
      </rPr>
      <t>observing patients’ condition, responses and behaviour and reporting changes to a health
professional.</t>
    </r>
  </si>
  <si>
    <r>
      <rPr>
        <sz val="11"/>
        <rFont val="Calibri"/>
        <family val="2"/>
        <scheme val="minor"/>
      </rPr>
      <t>assisting clients with personal and therapeutic care needs such as personal hygiene, feeding, dressing, physical mobility and exercise, communication, taking oral medications and changing dressings, usually according to care plans established by a
health professional;</t>
    </r>
  </si>
  <si>
    <r>
      <rPr>
        <sz val="11"/>
        <rFont val="Calibri"/>
        <family val="2"/>
        <scheme val="minor"/>
      </rPr>
      <t>maintaining records of client care, changes in condition and responses to care and treatment, and reporting concerns or providing referrals to a health or social services
professional;</t>
    </r>
  </si>
  <si>
    <r>
      <rPr>
        <sz val="11"/>
        <rFont val="Calibri"/>
        <family val="2"/>
        <scheme val="minor"/>
      </rPr>
      <t>positioning and lifting clients with physical mobility challenges, and helping transport them in wheelchairs
and motor vehicles;</t>
    </r>
  </si>
  <si>
    <r>
      <rPr>
        <sz val="11"/>
        <rFont val="Calibri"/>
        <family val="2"/>
        <scheme val="minor"/>
      </rPr>
      <t>providing clients and families with emotional support, information and advice on topics such as nutrition, hygiene, exercise, caring for
infants or adapting to disability or illness;</t>
    </r>
  </si>
  <si>
    <r>
      <rPr>
        <sz val="11"/>
        <rFont val="Calibri"/>
        <family val="2"/>
        <scheme val="minor"/>
      </rPr>
      <t>maintaining clients’ environmental hygiene standards, such as changing bed linen, washing clothes and dishes, and cleaning living
quarters;</t>
    </r>
  </si>
  <si>
    <r>
      <rPr>
        <sz val="11"/>
        <rFont val="Calibri"/>
        <family val="2"/>
        <scheme val="minor"/>
      </rPr>
      <t>providing psychological support to clients such as through conversation or
reading aloud;</t>
    </r>
  </si>
  <si>
    <r>
      <rPr>
        <sz val="11"/>
        <rFont val="Calibri"/>
        <family val="2"/>
        <scheme val="minor"/>
      </rPr>
      <t>planning, purchasing, preparing or serving meals to meet nutritional requirements
and prescribed diets;</t>
    </r>
  </si>
  <si>
    <r>
      <rPr>
        <sz val="11"/>
        <rFont val="Calibri"/>
        <family val="2"/>
        <scheme val="minor"/>
      </rPr>
      <t>scheduling and accompanying clients for appointments with medical doctors and other health professionals, or
performing other errands.</t>
    </r>
  </si>
  <si>
    <r>
      <rPr>
        <sz val="11"/>
        <rFont val="Calibri"/>
        <family val="2"/>
        <scheme val="minor"/>
      </rPr>
      <t>(a)  responding to fire alarms and other calls for assistance,
such as automobile and
industrial accidents, bomb threats and other emergencies;</t>
    </r>
  </si>
  <si>
    <r>
      <rPr>
        <sz val="11"/>
        <rFont val="Calibri"/>
        <family val="2"/>
        <scheme val="minor"/>
      </rPr>
      <t>(b)  controlling and extinguishing fires using
manual and power equipment and firefighting chemicals;</t>
    </r>
  </si>
  <si>
    <r>
      <rPr>
        <sz val="11"/>
        <rFont val="Calibri"/>
        <family val="2"/>
        <scheme val="minor"/>
      </rPr>
      <t>(c)  fighting special types of fires and using special equipment in industrial
establishments;</t>
    </r>
  </si>
  <si>
    <r>
      <rPr>
        <sz val="11"/>
        <rFont val="Calibri"/>
        <family val="2"/>
        <scheme val="minor"/>
      </rPr>
      <t>(d)  rescuing people from burning buildings and accident
sites and those trapped in
dangerous situations;</t>
    </r>
  </si>
  <si>
    <r>
      <rPr>
        <sz val="11"/>
        <rFont val="Calibri"/>
        <family val="2"/>
        <scheme val="minor"/>
      </rPr>
      <t>(e)  preventing or limiting the spread of dangerous
substances in case of fires or
accidents;</t>
    </r>
  </si>
  <si>
    <r>
      <rPr>
        <sz val="11"/>
        <rFont val="Calibri"/>
        <family val="2"/>
        <scheme val="minor"/>
      </rPr>
      <t>(a)  patrolling a specific area to maintain public order, responding to emergencies,
protecting people and property and enforcing laws and
regulations;</t>
    </r>
  </si>
  <si>
    <r>
      <rPr>
        <sz val="11"/>
        <rFont val="Calibri"/>
        <family val="2"/>
        <scheme val="minor"/>
      </rPr>
      <t>(b)  identifying, pursuing and arresting suspects and
perpetrators of criminal acts;</t>
    </r>
  </si>
  <si>
    <r>
      <rPr>
        <sz val="11"/>
        <rFont val="Calibri"/>
        <family val="2"/>
        <scheme val="minor"/>
      </rPr>
      <t>(c)  directing traffic and assuming authority in the
event of accidents;</t>
    </r>
  </si>
  <si>
    <r>
      <rPr>
        <sz val="11"/>
        <rFont val="Calibri"/>
        <family val="2"/>
        <scheme val="minor"/>
      </rPr>
      <t>(d)  providing emergency assistance to victims of
accidents, crimes and natural disasters.</t>
    </r>
  </si>
  <si>
    <r>
      <rPr>
        <sz val="11"/>
        <rFont val="Calibri"/>
        <family val="2"/>
        <scheme val="minor"/>
      </rPr>
      <t>(a)  searching arriving prisoners, putting their valuables in safekeeping,
escorting prisoners to cells and
locking them in;</t>
    </r>
  </si>
  <si>
    <r>
      <rPr>
        <sz val="11"/>
        <rFont val="Calibri"/>
        <family val="2"/>
        <scheme val="minor"/>
      </rPr>
      <t>(b)  making periodic inspection tours of cells and inspecting and maintaining the
security of locks, windows, doors and gates;</t>
    </r>
  </si>
  <si>
    <r>
      <rPr>
        <sz val="11"/>
        <rFont val="Calibri"/>
        <family val="2"/>
        <scheme val="minor"/>
      </rPr>
      <t>(c)  supervising prisoners at work and meals, and during
recreation periods;</t>
    </r>
  </si>
  <si>
    <r>
      <rPr>
        <sz val="11"/>
        <rFont val="Calibri"/>
        <family val="2"/>
        <scheme val="minor"/>
      </rPr>
      <t>(d)  observing the conduct and behaviour of prisoners to prevent disturbances and
escapes;</t>
    </r>
  </si>
  <si>
    <r>
      <rPr>
        <sz val="11"/>
        <rFont val="Calibri"/>
        <family val="2"/>
        <scheme val="minor"/>
      </rPr>
      <t>(f)  assisting with the implementation of
rehabilitation programmes;</t>
    </r>
  </si>
  <si>
    <r>
      <rPr>
        <sz val="11"/>
        <rFont val="Calibri"/>
        <family val="2"/>
        <scheme val="minor"/>
      </rPr>
      <t>(g)  escorting prisoners in transit and during temporary
leave.</t>
    </r>
  </si>
  <si>
    <r>
      <rPr>
        <sz val="11"/>
        <rFont val="Calibri"/>
        <family val="2"/>
        <scheme val="minor"/>
      </rPr>
      <t>patrolling premises and checking doors, windows and
gates to prevent and detect signs of unauthorized entry;</t>
    </r>
  </si>
  <si>
    <r>
      <rPr>
        <sz val="11"/>
        <rFont val="Calibri"/>
        <family val="2"/>
        <scheme val="minor"/>
      </rPr>
      <t>controlling access to establishments, monitoring and authorizing the entrance or departure of employees and visitors, checking identification and issuing
security passes;</t>
    </r>
  </si>
  <si>
    <r>
      <rPr>
        <sz val="11"/>
        <rFont val="Calibri"/>
        <family val="2"/>
        <scheme val="minor"/>
      </rPr>
      <t>circulating among visitors, patrons or employees to preserve order, protect property from theft or vandalism and enforce the
regulations of the establishment;</t>
    </r>
  </si>
  <si>
    <r>
      <rPr>
        <sz val="11"/>
        <rFont val="Calibri"/>
        <family val="2"/>
        <scheme val="minor"/>
      </rPr>
      <t>responding to alarms, investigating disturbances and contacting superiors, police or
firefighters as appropriate;</t>
    </r>
  </si>
  <si>
    <r>
      <rPr>
        <sz val="11"/>
        <rFont val="Calibri"/>
        <family val="2"/>
        <scheme val="minor"/>
      </rPr>
      <t>performing security checks of passengers and luggage at
airports;</t>
    </r>
  </si>
  <si>
    <r>
      <rPr>
        <sz val="11"/>
        <rFont val="Calibri"/>
        <family val="2"/>
        <scheme val="minor"/>
      </rPr>
      <t>picking up and ensuring the safe delivery of cash and valuables to banks, automated
teller machines and retail establishments.</t>
    </r>
  </si>
  <si>
    <r>
      <rPr>
        <sz val="11"/>
        <rFont val="Calibri"/>
        <family val="2"/>
        <scheme val="minor"/>
      </rPr>
      <t>responding to citizen complaints concerning stray domestic animals, livestock and wildlife, issuing warnings and citations to owners and impounding lost, homeless
and dangerous animals;</t>
    </r>
  </si>
  <si>
    <r>
      <rPr>
        <sz val="11"/>
        <rFont val="Calibri"/>
        <family val="2"/>
        <scheme val="minor"/>
      </rPr>
      <t>monitoring market activity and conditions, determining types and quantities of crops to be grown, and planning and coordinating production
accordingly;</t>
    </r>
  </si>
  <si>
    <r>
      <rPr>
        <sz val="11"/>
        <rFont val="Calibri"/>
        <family val="2"/>
        <scheme val="minor"/>
      </rPr>
      <t>preparing soil by hand or machine, and spreading
fertilizers and manure;</t>
    </r>
  </si>
  <si>
    <r>
      <rPr>
        <sz val="11"/>
        <rFont val="Calibri"/>
        <family val="2"/>
        <scheme val="minor"/>
      </rPr>
      <t>maintaining crops by cultivating soil, by transplanting, pruning or thinning plants, and by setting up and operating irrigation
equipment;</t>
    </r>
  </si>
  <si>
    <r>
      <rPr>
        <sz val="11"/>
        <rFont val="Calibri"/>
        <family val="2"/>
        <scheme val="minor"/>
      </rPr>
      <t>controlling weeds, pests and
diseases by applying herbicides and pesticides;</t>
    </r>
  </si>
  <si>
    <r>
      <rPr>
        <sz val="11"/>
        <rFont val="Calibri"/>
        <family val="2"/>
        <scheme val="minor"/>
      </rPr>
      <t>inspecting, cleaning, grading, packaging, storing and loading crops for sale or delivery to
market;</t>
    </r>
  </si>
  <si>
    <r>
      <rPr>
        <sz val="11"/>
        <rFont val="Calibri"/>
        <family val="2"/>
        <scheme val="minor"/>
      </rPr>
      <t>tending working animals and maintaining farm buildings,
structures, equipment and water supply systems;</t>
    </r>
  </si>
  <si>
    <r>
      <rPr>
        <sz val="11"/>
        <rFont val="Calibri"/>
        <family val="2"/>
        <scheme val="minor"/>
      </rPr>
      <t>training and supervising workers in crop production, maintenance duties, and health and safety precautions, and hiring and discharging
workers and contractors.</t>
    </r>
  </si>
  <si>
    <r>
      <rPr>
        <sz val="11"/>
        <rFont val="Calibri"/>
        <family val="2"/>
        <scheme val="minor"/>
      </rPr>
      <t>monitoring market activity and conditions, determining types and quantities of crops to be grown, and planning and
coordinating production accordingly;</t>
    </r>
  </si>
  <si>
    <r>
      <rPr>
        <sz val="11"/>
        <rFont val="Calibri"/>
        <family val="2"/>
        <scheme val="minor"/>
      </rPr>
      <t>preparing soil by hand or
machine, and spreading fertilizers and manure;</t>
    </r>
  </si>
  <si>
    <r>
      <rPr>
        <sz val="11"/>
        <rFont val="Calibri"/>
        <family val="2"/>
        <scheme val="minor"/>
      </rPr>
      <t>maintaining crops by cultivating soil, by transplanting, pruning or thinning trees and shrubs, and by setting up and operating
irrigation equipment;</t>
    </r>
  </si>
  <si>
    <r>
      <rPr>
        <sz val="11"/>
        <rFont val="Calibri"/>
        <family val="2"/>
        <scheme val="minor"/>
      </rPr>
      <t>controlling weeds, pests and diseases by applying
herbicides and pesticides;</t>
    </r>
  </si>
  <si>
    <r>
      <rPr>
        <sz val="11"/>
        <rFont val="Calibri"/>
        <family val="2"/>
        <scheme val="minor"/>
      </rPr>
      <t>tending trees or bushes, collecting sap and harvesting
crops;</t>
    </r>
  </si>
  <si>
    <r>
      <rPr>
        <sz val="11"/>
        <rFont val="Calibri"/>
        <family val="2"/>
        <scheme val="minor"/>
      </rPr>
      <t>tending working animals and maintaining farm buildings, structures, equipment and
water supply systems;</t>
    </r>
  </si>
  <si>
    <r>
      <rPr>
        <sz val="11"/>
        <rFont val="Calibri"/>
        <family val="2"/>
        <scheme val="minor"/>
      </rPr>
      <t>promoting and marketing products, arranging the sale, purchase and transportation of produce and supplies, and maintaining and evaluating
records of farm activities and transactions;</t>
    </r>
  </si>
  <si>
    <r>
      <rPr>
        <sz val="11"/>
        <rFont val="Calibri"/>
        <family val="2"/>
        <scheme val="minor"/>
      </rPr>
      <t>monitoring market activity and conditions determining kinds and amounts of vegetables, horticultural and nursery products to be grown, and planning and coordinating
production accordingly;</t>
    </r>
  </si>
  <si>
    <r>
      <rPr>
        <sz val="11"/>
        <rFont val="Calibri"/>
        <family val="2"/>
        <scheme val="minor"/>
      </rPr>
      <t>preparing land by conditioning soil, levelling ground and installing and operating
irrigation and drainage systems;</t>
    </r>
  </si>
  <si>
    <r>
      <rPr>
        <sz val="11"/>
        <rFont val="Calibri"/>
        <family val="2"/>
        <scheme val="minor"/>
      </rPr>
      <t>pruning and trimming trees, shrubs and hedges, installing plant supports and protection, and rolling, mowing, aerating
and edging lawns;</t>
    </r>
  </si>
  <si>
    <r>
      <rPr>
        <sz val="11"/>
        <rFont val="Calibri"/>
        <family val="2"/>
        <scheme val="minor"/>
      </rPr>
      <t>constructing features and facilities within gardens, such as paths or paved areas, walls, rockeries, garden beds, ponds and water features, sheds and
fences;</t>
    </r>
  </si>
  <si>
    <r>
      <rPr>
        <sz val="11"/>
        <rFont val="Calibri"/>
        <family val="2"/>
        <scheme val="minor"/>
      </rPr>
      <t>checking the health of plants and trees, identifying and treating weeds, pests and
diseases, and applying mulch and fertilizers;</t>
    </r>
  </si>
  <si>
    <r>
      <rPr>
        <sz val="11"/>
        <rFont val="Calibri"/>
        <family val="2"/>
        <scheme val="minor"/>
      </rPr>
      <t>promoting and marketing products, arranging the sale, purchase and transportation of produce and supplies, and maintaining and evaluating
records of activities and transactions;</t>
    </r>
  </si>
  <si>
    <r>
      <rPr>
        <sz val="11"/>
        <rFont val="Calibri"/>
        <family val="2"/>
        <scheme val="minor"/>
      </rPr>
      <t>training and supervising workers in production, maintenance duties, and health and safety precautions, and hiring and discharging
workers and contractors.</t>
    </r>
  </si>
  <si>
    <r>
      <rPr>
        <sz val="11"/>
        <rFont val="Calibri"/>
        <family val="2"/>
        <scheme val="minor"/>
      </rPr>
      <t>growing flowers and
vegetables by intensive cultivation;</t>
    </r>
  </si>
  <si>
    <r>
      <rPr>
        <sz val="11"/>
        <rFont val="Calibri"/>
        <family val="2"/>
        <scheme val="minor"/>
      </rPr>
      <t>harvesting crops and inspecting, cleaning, grading, packaging, storing and loading products for sale or delivery to
market;</t>
    </r>
  </si>
  <si>
    <r>
      <rPr>
        <sz val="11"/>
        <rFont val="Calibri"/>
        <family val="2"/>
        <scheme val="minor"/>
      </rPr>
      <t>monitoring market activity and conditions, determining kinds and amounts of stock to produce, and planning and
coordinating production accordingly;</t>
    </r>
  </si>
  <si>
    <r>
      <rPr>
        <sz val="11"/>
        <rFont val="Calibri"/>
        <family val="2"/>
        <scheme val="minor"/>
      </rPr>
      <t>cultivating pastures and providing and monitoring fodder and water supplies to maintain appropriate
nutritional levels and condition of livestock;</t>
    </r>
  </si>
  <si>
    <r>
      <rPr>
        <sz val="11"/>
        <rFont val="Calibri"/>
        <family val="2"/>
        <scheme val="minor"/>
      </rPr>
      <t>monitoring and examining animals to detect illness, injury or disease, and to check
physical condition such as rate of weight gain;</t>
    </r>
  </si>
  <si>
    <r>
      <rPr>
        <sz val="11"/>
        <rFont val="Calibri"/>
        <family val="2"/>
        <scheme val="minor"/>
      </rPr>
      <t>grooming, marking, clipping, trimming, drenching and/or castrating animals, and shearing coats to collect hair
or wool;</t>
    </r>
  </si>
  <si>
    <r>
      <rPr>
        <sz val="11"/>
        <rFont val="Calibri"/>
        <family val="2"/>
        <scheme val="minor"/>
      </rPr>
      <t>herding livestock to pastures
for grazing or to scales, sheds, vehicles or other enclosures;</t>
    </r>
  </si>
  <si>
    <r>
      <rPr>
        <sz val="11"/>
        <rFont val="Calibri"/>
        <family val="2"/>
        <scheme val="minor"/>
      </rPr>
      <t>mixing feed, additives and medicines in prescribed portions and distributing or
hand-feeding to animals for consumption;</t>
    </r>
  </si>
  <si>
    <r>
      <rPr>
        <sz val="11"/>
        <rFont val="Calibri"/>
        <family val="2"/>
        <scheme val="minor"/>
      </rPr>
      <t>performing duties related to livestock reproduction, such as breeding, artificial insemination and helping with
animal births;</t>
    </r>
  </si>
  <si>
    <r>
      <rPr>
        <sz val="11"/>
        <rFont val="Calibri"/>
        <family val="2"/>
        <scheme val="minor"/>
      </rPr>
      <t>maintaining and cleaning farm buildings, machinery,
equipment and structures;</t>
    </r>
  </si>
  <si>
    <r>
      <rPr>
        <sz val="11"/>
        <rFont val="Calibri"/>
        <family val="2"/>
        <scheme val="minor"/>
      </rPr>
      <t>slaughtering and skinning
animals and preparing them for market;</t>
    </r>
  </si>
  <si>
    <r>
      <rPr>
        <sz val="11"/>
        <rFont val="Calibri"/>
        <family val="2"/>
        <scheme val="minor"/>
      </rPr>
      <t>storing and carrying out some processing of animal and dairy
produce;</t>
    </r>
  </si>
  <si>
    <r>
      <rPr>
        <sz val="11"/>
        <rFont val="Calibri"/>
        <family val="2"/>
        <scheme val="minor"/>
      </rPr>
      <t>training and supervising workers in animal care procedures, maintenance duties and health and safety precautions, and hiring and
discharging workers and contractors.</t>
    </r>
  </si>
  <si>
    <r>
      <rPr>
        <sz val="11"/>
        <rFont val="Calibri"/>
        <family val="2"/>
        <scheme val="minor"/>
      </rPr>
      <t>monitoring market activity, planning and coordinating production accordingly, and maintaining and evaluating
records of farming activities;</t>
    </r>
  </si>
  <si>
    <r>
      <rPr>
        <sz val="11"/>
        <rFont val="Calibri"/>
        <family val="2"/>
        <scheme val="minor"/>
      </rPr>
      <t>growing and purchasing feed and other supplies needed to maintain appropriate
nutritional levels and condition of poultry;</t>
    </r>
  </si>
  <si>
    <r>
      <rPr>
        <sz val="11"/>
        <rFont val="Calibri"/>
        <family val="2"/>
        <scheme val="minor"/>
      </rPr>
      <t>monitoring and examining poultry to detect illness, injury or disease and to check physical condition such as rate of weight gain, and removing weak, ill and dead poultry
from flock;</t>
    </r>
  </si>
  <si>
    <r>
      <rPr>
        <sz val="11"/>
        <rFont val="Calibri"/>
        <family val="2"/>
        <scheme val="minor"/>
      </rPr>
      <t>mixing feed and feed additives
and filling feed and water containers;</t>
    </r>
  </si>
  <si>
    <r>
      <rPr>
        <sz val="11"/>
        <rFont val="Calibri"/>
        <family val="2"/>
        <scheme val="minor"/>
      </rPr>
      <t>vaccinating poultry via drinking water, injection or
dusting of air;</t>
    </r>
  </si>
  <si>
    <r>
      <rPr>
        <sz val="11"/>
        <rFont val="Calibri"/>
        <family val="2"/>
        <scheme val="minor"/>
      </rPr>
      <t>determining sex of chicks and facilitating breeding, artificial
insemination and hatching of eggs;</t>
    </r>
  </si>
  <si>
    <r>
      <rPr>
        <sz val="11"/>
        <rFont val="Calibri"/>
        <family val="2"/>
        <scheme val="minor"/>
      </rPr>
      <t>slaughtering and dressing
poultry for sale or delivery to market;</t>
    </r>
  </si>
  <si>
    <r>
      <rPr>
        <sz val="11"/>
        <rFont val="Calibri"/>
        <family val="2"/>
        <scheme val="minor"/>
      </rPr>
      <t>training and supervising workers in poultry production procedures, maintenance duties and health and safety precautions, and hiring and discharging workers and
contractors.</t>
    </r>
  </si>
  <si>
    <r>
      <rPr>
        <sz val="11"/>
        <rFont val="Calibri"/>
        <family val="2"/>
        <scheme val="minor"/>
      </rPr>
      <t>(a)  monitoring market activity and conditions, determining kinds and amounts of products to produce, and planning and
coordinating production accordingly;</t>
    </r>
  </si>
  <si>
    <r>
      <rPr>
        <sz val="11"/>
        <rFont val="Calibri"/>
        <family val="2"/>
        <scheme val="minor"/>
      </rPr>
      <t>(c)  monitoring and examining animals to detect illness,
injury or disease, and to check physical condition such as rate
of weight gain;</t>
    </r>
  </si>
  <si>
    <r>
      <rPr>
        <sz val="11"/>
        <rFont val="Calibri"/>
        <family val="2"/>
        <scheme val="minor"/>
      </rPr>
      <t>(d)  performing duties related to animal reproduction, such
as breeding, artificial
insemination and helping with animal births;</t>
    </r>
  </si>
  <si>
    <r>
      <rPr>
        <sz val="11"/>
        <rFont val="Calibri"/>
        <family val="2"/>
        <scheme val="minor"/>
      </rPr>
      <t>(e)  renting or investing in, and maintaining and cleaning,
buildings, machinery, equipment and structures;</t>
    </r>
  </si>
  <si>
    <r>
      <rPr>
        <sz val="11"/>
        <rFont val="Calibri"/>
        <family val="2"/>
        <scheme val="minor"/>
      </rPr>
      <t>(f)  slaughtering and skinning animals and preparing animal
products for market;</t>
    </r>
  </si>
  <si>
    <r>
      <rPr>
        <sz val="11"/>
        <rFont val="Calibri"/>
        <family val="2"/>
        <scheme val="minor"/>
      </rPr>
      <t>(h)  promoting and marketing products, arranging the sale, purchase and transportation of stock, produce and supplies,
and maintaining and
evaluating records of activities and transactions;</t>
    </r>
  </si>
  <si>
    <r>
      <rPr>
        <sz val="11"/>
        <rFont val="Calibri"/>
        <family val="2"/>
        <scheme val="minor"/>
      </rPr>
      <t>(i)  training and supervising workers in animal care procedures, maintenance
duties and health and safety
precautions.</t>
    </r>
  </si>
  <si>
    <r>
      <rPr>
        <sz val="11"/>
        <rFont val="Calibri"/>
        <family val="2"/>
        <scheme val="minor"/>
      </rPr>
      <t>monitoring market activity and conditions, determining kinds and amounts of crops to be grown and animals to be raised, and planning and
coordinating production accordingly;</t>
    </r>
  </si>
  <si>
    <r>
      <rPr>
        <sz val="11"/>
        <rFont val="Calibri"/>
        <family val="2"/>
        <scheme val="minor"/>
      </rPr>
      <t>performing operations such as land preparation, sowing, planting, cultivating and
harvesting crops;</t>
    </r>
  </si>
  <si>
    <r>
      <rPr>
        <sz val="11"/>
        <rFont val="Calibri"/>
        <family val="2"/>
        <scheme val="minor"/>
      </rPr>
      <t>killing and skinning animals, and preparing animals or
animal products for market;</t>
    </r>
  </si>
  <si>
    <r>
      <rPr>
        <sz val="11"/>
        <rFont val="Calibri"/>
        <family val="2"/>
        <scheme val="minor"/>
      </rPr>
      <t>renting or investing in and maintaining and cleaning farm buildings, machinery,
equipment, and structures;</t>
    </r>
  </si>
  <si>
    <r>
      <rPr>
        <sz val="11"/>
        <rFont val="Calibri"/>
        <family val="2"/>
        <scheme val="minor"/>
      </rPr>
      <t>promoting and marketing products, arranging the sale, purchase and transportation of livestock, produce and supplies and maintaining and
evaluating records of farm activities and transactions;</t>
    </r>
  </si>
  <si>
    <r>
      <rPr>
        <sz val="11"/>
        <rFont val="Calibri"/>
        <family val="2"/>
        <scheme val="minor"/>
      </rPr>
      <t>training and supervising workers in animal care procedures, maintenance duties, and health and safety precautions and hiring and discharging workers and
contractors.</t>
    </r>
  </si>
  <si>
    <r>
      <rPr>
        <sz val="11"/>
        <rFont val="Calibri"/>
        <family val="2"/>
        <scheme val="minor"/>
      </rPr>
      <t>breeding, raising and cultivating fish, mussels, oysters and other forms of aquatic life as cash crops or for release into freshwater or
saltwater;</t>
    </r>
  </si>
  <si>
    <r>
      <rPr>
        <sz val="11"/>
        <rFont val="Calibri"/>
        <family val="2"/>
        <scheme val="minor"/>
      </rPr>
      <t>collecting and recording growth, production and
environmental data;</t>
    </r>
  </si>
  <si>
    <r>
      <rPr>
        <sz val="11"/>
        <rFont val="Calibri"/>
        <family val="2"/>
        <scheme val="minor"/>
      </rPr>
      <t>monitoring environments to ensure maintenance of optimum conditions for
aquatic life;</t>
    </r>
  </si>
  <si>
    <r>
      <rPr>
        <sz val="11"/>
        <rFont val="Calibri"/>
        <family val="2"/>
        <scheme val="minor"/>
      </rPr>
      <t>directing and monitoring trapping and spawning of fish, egg incubation and fry rearing, applying knowledge of management and fish culturing
techniques;</t>
    </r>
  </si>
  <si>
    <r>
      <rPr>
        <sz val="11"/>
        <rFont val="Calibri"/>
        <family val="2"/>
        <scheme val="minor"/>
      </rPr>
      <t>cleaning, freezing, icing or salting catch on- or offshore, and preparing fish and other
products for shipment;</t>
    </r>
  </si>
  <si>
    <r>
      <rPr>
        <sz val="11"/>
        <rFont val="Calibri"/>
        <family val="2"/>
        <scheme val="minor"/>
      </rPr>
      <t>maintaining buildings, tanks,
machinery, boats and other equipment;</t>
    </r>
  </si>
  <si>
    <r>
      <rPr>
        <sz val="11"/>
        <rFont val="Calibri"/>
        <family val="2"/>
        <scheme val="minor"/>
      </rPr>
      <t>renting or investing in buildings, equipment and machinery, and purchasing
food and other supplies;</t>
    </r>
  </si>
  <si>
    <r>
      <rPr>
        <sz val="11"/>
        <rFont val="Calibri"/>
        <family val="2"/>
        <scheme val="minor"/>
      </rPr>
      <t>supervising and training aquaculture and fish hatchery
support workers.</t>
    </r>
  </si>
  <si>
    <r>
      <rPr>
        <sz val="11"/>
        <rFont val="Calibri"/>
        <family val="2"/>
        <scheme val="minor"/>
      </rPr>
      <t>Inland and Coastal
Waters Fishery Workers</t>
    </r>
  </si>
  <si>
    <r>
      <rPr>
        <sz val="11"/>
        <rFont val="Calibri"/>
        <family val="2"/>
        <scheme val="minor"/>
      </rPr>
      <t>preparing and repairing nets
and other fishing gear and equipment;</t>
    </r>
  </si>
  <si>
    <r>
      <rPr>
        <sz val="11"/>
        <rFont val="Calibri"/>
        <family val="2"/>
        <scheme val="minor"/>
      </rPr>
      <t>selecting areas for fishing, plotting courses and computing navigational positions using compass,
charts and other aids;</t>
    </r>
  </si>
  <si>
    <r>
      <rPr>
        <sz val="11"/>
        <rFont val="Calibri"/>
        <family val="2"/>
        <scheme val="minor"/>
      </rPr>
      <t>Inland and Coastal Waters Fishery
Workers</t>
    </r>
  </si>
  <si>
    <r>
      <rPr>
        <sz val="11"/>
        <rFont val="Calibri"/>
        <family val="2"/>
        <scheme val="minor"/>
      </rPr>
      <t>baiting, setting, operating and hauling in fishing gear by hand or using hoisting
equipment;</t>
    </r>
  </si>
  <si>
    <r>
      <rPr>
        <sz val="11"/>
        <rFont val="Calibri"/>
        <family val="2"/>
        <scheme val="minor"/>
      </rPr>
      <t>maintaining engine fishing
gear and other on-board equipment;</t>
    </r>
  </si>
  <si>
    <r>
      <rPr>
        <sz val="11"/>
        <rFont val="Calibri"/>
        <family val="2"/>
        <scheme val="minor"/>
      </rPr>
      <t>keeping records of transactions, fishing activities, weather and sea conditions,
and estimating costs and budgets;</t>
    </r>
  </si>
  <si>
    <r>
      <rPr>
        <sz val="11"/>
        <rFont val="Calibri"/>
        <family val="2"/>
        <scheme val="minor"/>
      </rPr>
      <t>directing fishing operations, and supervising fishing crew
members.</t>
    </r>
  </si>
  <si>
    <r>
      <rPr>
        <sz val="11"/>
        <rFont val="Calibri"/>
        <family val="2"/>
        <scheme val="minor"/>
      </rPr>
      <t>(d)  breeding, tending and feeding animals and poultry mainly to obtain meat, eggs,
milk, hair, skin or other
products;</t>
    </r>
  </si>
  <si>
    <r>
      <rPr>
        <sz val="11"/>
        <rFont val="Calibri"/>
        <family val="2"/>
        <scheme val="minor"/>
      </rPr>
      <t>(f)  storing produce for later use and carrying out some
processing of produce;</t>
    </r>
  </si>
  <si>
    <r>
      <rPr>
        <sz val="11"/>
        <rFont val="Calibri"/>
        <family val="2"/>
        <scheme val="minor"/>
      </rPr>
      <t>(h)  making tools, clothes and utensils for use by the
household;</t>
    </r>
  </si>
  <si>
    <r>
      <rPr>
        <sz val="11"/>
        <rFont val="Calibri"/>
        <family val="2"/>
        <scheme val="minor"/>
      </rPr>
      <t>(a)  laying stone, brick and similar building blocks to construct or repair walls,
partitions, fireplaces and other structures such as smokestacks, furnaces, converters, kilns and ovens,
piers and abutments;</t>
    </r>
  </si>
  <si>
    <r>
      <rPr>
        <sz val="11"/>
        <rFont val="Calibri"/>
        <family val="2"/>
        <scheme val="minor"/>
      </rPr>
      <t>(c)  laying bricks or other masonry to build patios, garden walls and other
decorative installations</t>
    </r>
  </si>
  <si>
    <r>
      <rPr>
        <sz val="11"/>
        <rFont val="Calibri"/>
        <family val="2"/>
        <scheme val="minor"/>
      </rPr>
      <t>cutting, shaping and finishing building and monumental stone such as granite or marble using hand tools or hand-held
power tools;</t>
    </r>
  </si>
  <si>
    <r>
      <rPr>
        <sz val="11"/>
        <rFont val="Calibri"/>
        <family val="2"/>
        <scheme val="minor"/>
      </rPr>
      <t>making patterns and marking shapes on stone for subsequent sawing, planing, drilling and
other dressing and cutting operations;</t>
    </r>
  </si>
  <si>
    <r>
      <rPr>
        <sz val="11"/>
        <rFont val="Calibri"/>
        <family val="2"/>
        <scheme val="minor"/>
      </rPr>
      <t>making, altering and repairing structural and other woodwork at a workbench or on a
construction site;</t>
    </r>
  </si>
  <si>
    <r>
      <rPr>
        <sz val="11"/>
        <rFont val="Calibri"/>
        <family val="2"/>
        <scheme val="minor"/>
      </rPr>
      <t>constructing, erecting and installing heavy-framed wooden structures on building
sites;</t>
    </r>
  </si>
  <si>
    <r>
      <rPr>
        <sz val="11"/>
        <rFont val="Calibri"/>
        <family val="2"/>
        <scheme val="minor"/>
      </rPr>
      <t>fitting, assembling and altering internal and external fixtures of buildings, such as
walls, doors, door and window frames, facings and panelling;</t>
    </r>
  </si>
  <si>
    <r>
      <rPr>
        <sz val="11"/>
        <rFont val="Calibri"/>
        <family val="2"/>
        <scheme val="minor"/>
      </rPr>
      <t>making, repairing and fitting scenic equipment for theatrical performances and motion picture or television
productions;</t>
    </r>
  </si>
  <si>
    <r>
      <rPr>
        <sz val="11"/>
        <rFont val="Calibri"/>
        <family val="2"/>
        <scheme val="minor"/>
      </rPr>
      <t>constructing, assembling, altering and repairing wooden fixtures and fittings in train
coaches, aircraft, ships, boats, floats and other vehicles.</t>
    </r>
  </si>
  <si>
    <r>
      <rPr>
        <sz val="11"/>
        <rFont val="Calibri"/>
        <family val="2"/>
        <scheme val="minor"/>
      </rPr>
      <t>(a)  climbing and performing miscellaneous construction and building maintenance
work on tall structures such as towers, chimneys and spires;</t>
    </r>
  </si>
  <si>
    <r>
      <rPr>
        <sz val="11"/>
        <rFont val="Calibri"/>
        <family val="2"/>
        <scheme val="minor"/>
      </rPr>
      <t>(b)  erecting temporary metal or wooden scaffolding on
building sites;</t>
    </r>
  </si>
  <si>
    <r>
      <rPr>
        <sz val="11"/>
        <rFont val="Calibri"/>
        <family val="2"/>
        <scheme val="minor"/>
      </rPr>
      <t>(b)  covering roof frameworks with slate and prefabricated
tiles to cover pitched roofs;</t>
    </r>
  </si>
  <si>
    <r>
      <rPr>
        <sz val="11"/>
        <rFont val="Calibri"/>
        <family val="2"/>
        <scheme val="minor"/>
      </rPr>
      <t>(c)  laying a waterproof shield and fixing metallic or synthetic materials to a
building’s frame;</t>
    </r>
  </si>
  <si>
    <r>
      <rPr>
        <sz val="11"/>
        <rFont val="Calibri"/>
        <family val="2"/>
        <scheme val="minor"/>
      </rPr>
      <t>(d)  sizing and cutting roofing materials to fit around edges,
corners and protuberances
such as chimneys;</t>
    </r>
  </si>
  <si>
    <r>
      <rPr>
        <sz val="11"/>
        <rFont val="Calibri"/>
        <family val="2"/>
        <scheme val="minor"/>
      </rPr>
      <t>(e)  using natural materials such as thatching to provide
roof coverings;</t>
    </r>
  </si>
  <si>
    <r>
      <rPr>
        <sz val="11"/>
        <rFont val="Calibri"/>
        <family val="2"/>
        <scheme val="minor"/>
      </rPr>
      <t>(f)  creating temporary structures such as scaffolding
and ladders.</t>
    </r>
  </si>
  <si>
    <r>
      <rPr>
        <sz val="11"/>
        <rFont val="Calibri"/>
        <family val="2"/>
        <scheme val="minor"/>
      </rPr>
      <t>preparing floor areas for covering with a variety of
materials;</t>
    </r>
  </si>
  <si>
    <r>
      <rPr>
        <sz val="11"/>
        <rFont val="Calibri"/>
        <family val="2"/>
        <scheme val="minor"/>
      </rPr>
      <t>assembling carpet, tiles or other materials and laying them on floors according to
design and other specifications;</t>
    </r>
  </si>
  <si>
    <r>
      <rPr>
        <sz val="11"/>
        <rFont val="Calibri"/>
        <family val="2"/>
        <scheme val="minor"/>
      </rPr>
      <t>preparing wall areas for covering with tiles or other materials for decorative or other purposes such as
acoustic insulation;</t>
    </r>
  </si>
  <si>
    <r>
      <rPr>
        <sz val="11"/>
        <rFont val="Calibri"/>
        <family val="2"/>
        <scheme val="minor"/>
      </rPr>
      <t>setting tiles and constructing and laying mosaic panels to walls, floors and other
surfaces.</t>
    </r>
  </si>
  <si>
    <r>
      <rPr>
        <sz val="11"/>
        <rFont val="Calibri"/>
        <family val="2"/>
        <scheme val="minor"/>
      </rPr>
      <t>applying slabs and sheets of insulating or sound-absorbing materials to walls, floors and
ceilings of buildings;</t>
    </r>
  </si>
  <si>
    <r>
      <rPr>
        <sz val="11"/>
        <rFont val="Calibri"/>
        <family val="2"/>
        <scheme val="minor"/>
      </rPr>
      <t>blowing and packing insulating or sound-absorbing materials into cavities between walls, floors and ceilings of
buildings with power-driven machines;</t>
    </r>
  </si>
  <si>
    <r>
      <rPr>
        <sz val="11"/>
        <rFont val="Calibri"/>
        <family val="2"/>
        <scheme val="minor"/>
      </rPr>
      <t>examining plans, specifications and work sites to determine the type, quality
and quantity of insulation material required;</t>
    </r>
  </si>
  <si>
    <r>
      <rPr>
        <sz val="11"/>
        <rFont val="Calibri"/>
        <family val="2"/>
        <scheme val="minor"/>
      </rPr>
      <t>applying insulating materials to exposed surfaces of
equipment such as boilers, pipes and tanks;</t>
    </r>
  </si>
  <si>
    <r>
      <rPr>
        <sz val="11"/>
        <rFont val="Calibri"/>
        <family val="2"/>
        <scheme val="minor"/>
      </rPr>
      <t>(a)  selecting the type of glass to be used, cutting to right size
and shape and installing in windows, doors, showers and
partitions of buildings;</t>
    </r>
  </si>
  <si>
    <r>
      <rPr>
        <sz val="11"/>
        <rFont val="Calibri"/>
        <family val="2"/>
        <scheme val="minor"/>
      </rPr>
      <t>(b)  installing glass and mirrors in skylights, display
cases, interior walls and
ceilings;</t>
    </r>
  </si>
  <si>
    <r>
      <rPr>
        <sz val="11"/>
        <rFont val="Calibri"/>
        <family val="2"/>
        <scheme val="minor"/>
      </rPr>
      <t>(c)  installing or replacing windscreens in vehicles or
boats;</t>
    </r>
  </si>
  <si>
    <r>
      <rPr>
        <sz val="11"/>
        <rFont val="Calibri"/>
        <family val="2"/>
        <scheme val="minor"/>
      </rPr>
      <t>(d)  creating decorative glass features such as glass walls, staircases, balustrades and
stained-glass windows.</t>
    </r>
  </si>
  <si>
    <r>
      <rPr>
        <sz val="11"/>
        <rFont val="Calibri"/>
        <family val="2"/>
        <scheme val="minor"/>
      </rPr>
      <t>examining blueprints, drawings and specifications to determine the layout of plumbing and ventilation
systems and materials required;</t>
    </r>
  </si>
  <si>
    <r>
      <rPr>
        <sz val="11"/>
        <rFont val="Calibri"/>
        <family val="2"/>
        <scheme val="minor"/>
      </rPr>
      <t>measuring, cutting, threading, bending, jointing, assembling, installing, maintaining and repairing pipes, fittings and fixtures of drainage, heating,
ventilation, water supply and sewerage systems;</t>
    </r>
  </si>
  <si>
    <r>
      <rPr>
        <sz val="11"/>
        <rFont val="Calibri"/>
        <family val="2"/>
        <scheme val="minor"/>
      </rPr>
      <t>installing gas appliances, dishwashers and water heaters, sinks and toilets using hand
and power tools;</t>
    </r>
  </si>
  <si>
    <r>
      <rPr>
        <sz val="11"/>
        <rFont val="Calibri"/>
        <family val="2"/>
        <scheme val="minor"/>
      </rPr>
      <t>laying clay, concrete or cast- iron pipes in ditches to form sewers, drains or water mains,
or for other purposes;</t>
    </r>
  </si>
  <si>
    <r>
      <rPr>
        <sz val="11"/>
        <rFont val="Calibri"/>
        <family val="2"/>
        <scheme val="minor"/>
      </rPr>
      <t>inspecting, examining and testing installed systems and pipes, using pressure gauge,
hydrostatic testing, observation or other methods.</t>
    </r>
  </si>
  <si>
    <r>
      <rPr>
        <sz val="11"/>
        <rFont val="Calibri"/>
        <family val="2"/>
        <scheme val="minor"/>
      </rPr>
      <t>assembling, installing and repairing components such as compressors, motors, condensers, evaporators, switches and gauges for air conditioning and refrigeration
systems;</t>
    </r>
  </si>
  <si>
    <r>
      <rPr>
        <sz val="11"/>
        <rFont val="Calibri"/>
        <family val="2"/>
        <scheme val="minor"/>
      </rPr>
      <t>applying or spraying paint, varnish and similar materials
to surfaces, fixtures and fittings of buildings;</t>
    </r>
  </si>
  <si>
    <r>
      <rPr>
        <sz val="11"/>
        <rFont val="Calibri"/>
        <family val="2"/>
        <scheme val="minor"/>
      </rPr>
      <t>measuring and hanging wallpaper or other fabrics on
interior walls and ceilings;</t>
    </r>
  </si>
  <si>
    <r>
      <rPr>
        <sz val="11"/>
        <rFont val="Calibri"/>
        <family val="2"/>
        <scheme val="minor"/>
      </rPr>
      <t>applying paints, varnishes and stains to surfaces using
brushes, rollers and sprays.</t>
    </r>
  </si>
  <si>
    <r>
      <rPr>
        <sz val="11"/>
        <rFont val="Calibri"/>
        <family val="2"/>
        <scheme val="minor"/>
      </rPr>
      <t>preparing surfaces to be coated using a variety of methods to remove grease, dirt
and rust;</t>
    </r>
  </si>
  <si>
    <r>
      <rPr>
        <sz val="11"/>
        <rFont val="Calibri"/>
        <family val="2"/>
        <scheme val="minor"/>
      </rPr>
      <t>painting cars, buses, trucks and other vehicles, and applying varnish and other
protective coatings;</t>
    </r>
  </si>
  <si>
    <r>
      <rPr>
        <sz val="11"/>
        <rFont val="Calibri"/>
        <family val="2"/>
        <scheme val="minor"/>
      </rPr>
      <t>applying paint as well as protective coatings of enamel or varnish on metal, wooden and other manufactured products, usually with a hand-
spraying device.</t>
    </r>
  </si>
  <si>
    <r>
      <rPr>
        <sz val="11"/>
        <rFont val="Calibri"/>
        <family val="2"/>
        <scheme val="minor"/>
      </rPr>
      <t>making moulds by hand or using auxiliary machines on a bench for small metal castings,
on the foundry floor, or in a pit for large castings;</t>
    </r>
  </si>
  <si>
    <r>
      <rPr>
        <sz val="11"/>
        <rFont val="Calibri"/>
        <family val="2"/>
        <scheme val="minor"/>
      </rPr>
      <t>cleaning and smoothing moulds, core boxes, and repairing surface
imperfections;</t>
    </r>
  </si>
  <si>
    <r>
      <rPr>
        <sz val="11"/>
        <rFont val="Calibri"/>
        <family val="2"/>
        <scheme val="minor"/>
      </rPr>
      <t>moving and positioning work pieces such as mould sections, patterns and bottom boards,
using cranes, or signalling others to move work pieces;</t>
    </r>
  </si>
  <si>
    <r>
      <rPr>
        <sz val="11"/>
        <rFont val="Calibri"/>
        <family val="2"/>
        <scheme val="minor"/>
      </rPr>
      <t>lifting upper mould sections from lower sections and
remove moulded patterns.</t>
    </r>
  </si>
  <si>
    <r>
      <rPr>
        <sz val="11"/>
        <rFont val="Calibri"/>
        <family val="2"/>
        <scheme val="minor"/>
      </rPr>
      <t>welding metal parts using gas flame, or an electric arc, thermite compound or other
methods;</t>
    </r>
  </si>
  <si>
    <r>
      <rPr>
        <sz val="11"/>
        <rFont val="Calibri"/>
        <family val="2"/>
        <scheme val="minor"/>
      </rPr>
      <t>using blowtorches to make and repair lead linings, pipes,
floors and other lead fixtures;</t>
    </r>
  </si>
  <si>
    <r>
      <rPr>
        <sz val="11"/>
        <rFont val="Calibri"/>
        <family val="2"/>
        <scheme val="minor"/>
      </rPr>
      <t>monitoring the fitting, burning and welding processes to avoid overheating of parts or warping, shrinking, distortion
or expansion of material;</t>
    </r>
  </si>
  <si>
    <r>
      <rPr>
        <sz val="11"/>
        <rFont val="Calibri"/>
        <family val="2"/>
        <scheme val="minor"/>
      </rPr>
      <t>examining work pieces for defects and measuring work pieces with straight edges or
templates to ensure conformity with specifications.</t>
    </r>
  </si>
  <si>
    <r>
      <rPr>
        <sz val="11"/>
        <rFont val="Calibri"/>
        <family val="2"/>
        <scheme val="minor"/>
      </rPr>
      <t>making and repairing household utensils and other articles in tin, copper and light alloys, or ornamental articles
and fittings;</t>
    </r>
  </si>
  <si>
    <r>
      <rPr>
        <sz val="11"/>
        <rFont val="Calibri"/>
        <family val="2"/>
        <scheme val="minor"/>
      </rPr>
      <t>making and repairing boilers,
tanks, vats and similar containers;</t>
    </r>
  </si>
  <si>
    <r>
      <rPr>
        <sz val="11"/>
        <rFont val="Calibri"/>
        <family val="2"/>
        <scheme val="minor"/>
      </rPr>
      <t>installing and repairing sheet metal parts of vehicles and
aircraft;</t>
    </r>
  </si>
  <si>
    <r>
      <rPr>
        <sz val="11"/>
        <rFont val="Calibri"/>
        <family val="2"/>
        <scheme val="minor"/>
      </rPr>
      <t>converting blueprints into shop drawings to be followed in the construction and
assembly of sheet metal products;</t>
    </r>
  </si>
  <si>
    <r>
      <rPr>
        <sz val="11"/>
        <rFont val="Calibri"/>
        <family val="2"/>
        <scheme val="minor"/>
      </rPr>
      <t>determining project requirements, including scope, assembly sequences and required methods and materials, according to
blueprints, drawings and written or verbal instructions;</t>
    </r>
  </si>
  <si>
    <r>
      <rPr>
        <sz val="11"/>
        <rFont val="Calibri"/>
        <family val="2"/>
        <scheme val="minor"/>
      </rPr>
      <t>inspecting product quality and installation to ensure conformity with
specifications.</t>
    </r>
  </si>
  <si>
    <r>
      <rPr>
        <sz val="11"/>
        <rFont val="Calibri"/>
        <family val="2"/>
        <scheme val="minor"/>
      </rPr>
      <t>marking metal framework as a guide when drilling cutting, and shaping metal stock for use in buildings, ships and
other structures;</t>
    </r>
  </si>
  <si>
    <r>
      <rPr>
        <sz val="11"/>
        <rFont val="Calibri"/>
        <family val="2"/>
        <scheme val="minor"/>
      </rPr>
      <t>Structural Metal
Preparers and Erectors</t>
    </r>
  </si>
  <si>
    <r>
      <rPr>
        <sz val="11"/>
        <rFont val="Calibri"/>
        <family val="2"/>
        <scheme val="minor"/>
      </rPr>
      <t>assembling and erecting the
framework and other metal parts of ships’ structures;</t>
    </r>
  </si>
  <si>
    <r>
      <rPr>
        <sz val="11"/>
        <rFont val="Calibri"/>
        <family val="2"/>
        <scheme val="minor"/>
      </rPr>
      <t>estimating the size, shape and weight of objects to be moved and deciding on the type of
equipment to move them;</t>
    </r>
  </si>
  <si>
    <r>
      <rPr>
        <sz val="11"/>
        <rFont val="Calibri"/>
        <family val="2"/>
        <scheme val="minor"/>
      </rPr>
      <t>installing and repairing cables, ropes, wires, pulleys and other
tackle;</t>
    </r>
  </si>
  <si>
    <r>
      <rPr>
        <sz val="11"/>
        <rFont val="Calibri"/>
        <family val="2"/>
        <scheme val="minor"/>
      </rPr>
      <t>joining, repairing and fitting
attachments to wires, ropes and cables;</t>
    </r>
  </si>
  <si>
    <r>
      <rPr>
        <sz val="11"/>
        <rFont val="Calibri"/>
        <family val="2"/>
        <scheme val="minor"/>
      </rPr>
      <t>working as member of a crew erecting and repairing derricks for drilling water, gas and oil
wells;</t>
    </r>
  </si>
  <si>
    <r>
      <rPr>
        <sz val="11"/>
        <rFont val="Calibri"/>
        <family val="2"/>
        <scheme val="minor"/>
      </rPr>
      <t>lifting and mounting scenery, lighting and other equipment
in theatres and on film sets;</t>
    </r>
  </si>
  <si>
    <r>
      <rPr>
        <sz val="11"/>
        <rFont val="Calibri"/>
        <family val="2"/>
        <scheme val="minor"/>
      </rPr>
      <t>installing and maintaining communication towers, aerial cableways, funicular railways,
ski lifts and similar infrastructure.</t>
    </r>
  </si>
  <si>
    <r>
      <rPr>
        <sz val="11"/>
        <rFont val="Calibri"/>
        <family val="2"/>
        <scheme val="minor"/>
      </rPr>
      <t>heating metal in forge furnaces and manufacturing and repairing articles by drawing, bending,  cutting, hammering metal on an anvil, punching, shearing, joining
and hardening or tempering;</t>
    </r>
  </si>
  <si>
    <r>
      <rPr>
        <sz val="11"/>
        <rFont val="Calibri"/>
        <family val="2"/>
        <scheme val="minor"/>
      </rPr>
      <t>reading work orders or blueprints to determine specified tolerances and sequences of operations for
machine setup;</t>
    </r>
  </si>
  <si>
    <r>
      <rPr>
        <sz val="11"/>
        <rFont val="Calibri"/>
        <family val="2"/>
        <scheme val="minor"/>
      </rPr>
      <t>reading and interpreting engineering drawings and specifications of tools, dies,
prototypes or models;</t>
    </r>
  </si>
  <si>
    <r>
      <rPr>
        <sz val="11"/>
        <rFont val="Calibri"/>
        <family val="2"/>
        <scheme val="minor"/>
      </rPr>
      <t>preparing templates and sketches, and determining
work processes;</t>
    </r>
  </si>
  <si>
    <r>
      <rPr>
        <sz val="11"/>
        <rFont val="Calibri"/>
        <family val="2"/>
        <scheme val="minor"/>
      </rPr>
      <t>visualizing and computing dimensions, sizes, shapes and tolerances of assemblies,
based on specifications;</t>
    </r>
  </si>
  <si>
    <r>
      <rPr>
        <sz val="11"/>
        <rFont val="Calibri"/>
        <family val="2"/>
        <scheme val="minor"/>
      </rPr>
      <t>positioning, securing and measuring metal stock or castings to lay out for
machining;</t>
    </r>
  </si>
  <si>
    <r>
      <rPr>
        <sz val="11"/>
        <rFont val="Calibri"/>
        <family val="2"/>
        <scheme val="minor"/>
      </rPr>
      <t>setting up, operating and maintaining conventional and computer numerically controlled machine tools to cut, turn, mill, plane, drill, bore, grind or otherwise shape work pieces to prescribed
dimensions and finish;</t>
    </r>
  </si>
  <si>
    <r>
      <rPr>
        <sz val="11"/>
        <rFont val="Calibri"/>
        <family val="2"/>
        <scheme val="minor"/>
      </rPr>
      <t>laying out lines and reference points on metal stock to guide other workers who cut, turn, mill, grind or otherwise shape
metal;</t>
    </r>
  </si>
  <si>
    <r>
      <rPr>
        <sz val="11"/>
        <rFont val="Calibri"/>
        <family val="2"/>
        <scheme val="minor"/>
      </rPr>
      <t>verifying dimensions, alignments and clearances of finished parts for conformity with specifications, using precision measuring instruments and testing
completed items for proper operation.</t>
    </r>
  </si>
  <si>
    <r>
      <rPr>
        <sz val="11"/>
        <rFont val="Calibri"/>
        <family val="2"/>
        <scheme val="minor"/>
      </rPr>
      <t>operating and monitoring metal working machines such as lathes, milling, planing, boring, drilling, grinding or honing machines, including multipurpose numerically controlled metal working
machines;</t>
    </r>
  </si>
  <si>
    <r>
      <rPr>
        <sz val="11"/>
        <rFont val="Calibri"/>
        <family val="2"/>
        <scheme val="minor"/>
      </rPr>
      <t>observing machine operations to detect work piece defects or machine malfunctions, and
adjusting machines as necessary;</t>
    </r>
  </si>
  <si>
    <r>
      <rPr>
        <sz val="11"/>
        <rFont val="Calibri"/>
        <family val="2"/>
        <scheme val="minor"/>
      </rPr>
      <t>inspecting work pieces for defects, and measuring work pieces to determine accuracy of machine operation, using rules, templates or other
measuring instruments;</t>
    </r>
  </si>
  <si>
    <r>
      <rPr>
        <sz val="11"/>
        <rFont val="Calibri"/>
        <family val="2"/>
        <scheme val="minor"/>
      </rPr>
      <t>(a)  operating fixed or portable buffing and polishing
machines;</t>
    </r>
  </si>
  <si>
    <r>
      <rPr>
        <sz val="11"/>
        <rFont val="Calibri"/>
        <family val="2"/>
        <scheme val="minor"/>
      </rPr>
      <t>(b)  sharpening cutting tools and instruments using grinding
wheels or mechanically operated grinding machines;</t>
    </r>
  </si>
  <si>
    <r>
      <rPr>
        <sz val="11"/>
        <rFont val="Calibri"/>
        <family val="2"/>
        <scheme val="minor"/>
      </rPr>
      <t>(e)  monitoring machine operations to determine whether adjustments are necessary, and stopping machines when problems
occur;</t>
    </r>
  </si>
  <si>
    <r>
      <rPr>
        <sz val="11"/>
        <rFont val="Calibri"/>
        <family val="2"/>
        <scheme val="minor"/>
      </rPr>
      <t>(f)   inspecting, feeling and measuring work pieces to ensure that surfaces and
dimensions meet specifications;</t>
    </r>
  </si>
  <si>
    <r>
      <rPr>
        <sz val="11"/>
        <rFont val="Calibri"/>
        <family val="2"/>
        <scheme val="minor"/>
      </rPr>
      <t>(g)  selecting and mounting grinding wheels on machines according to specifications, using hand tools and applying knowledge of abrasives and
grinding procedures.</t>
    </r>
  </si>
  <si>
    <r>
      <rPr>
        <sz val="11"/>
        <rFont val="Calibri"/>
        <family val="2"/>
        <scheme val="minor"/>
      </rPr>
      <t>Motor Vehicle Mechanics and
Repairers</t>
    </r>
  </si>
  <si>
    <r>
      <rPr>
        <sz val="11"/>
        <rFont val="Calibri"/>
        <family val="2"/>
        <scheme val="minor"/>
      </rPr>
      <t>fitting, examining, testing and servicing motor vehicle and
motorcycle engines;</t>
    </r>
  </si>
  <si>
    <r>
      <rPr>
        <sz val="11"/>
        <rFont val="Calibri"/>
        <family val="2"/>
        <scheme val="minor"/>
      </rPr>
      <t>fitting, examining, adjusting, dismantling, rebuilding and replacing defective parts of
motor vehicles;</t>
    </r>
  </si>
  <si>
    <r>
      <rPr>
        <sz val="11"/>
        <rFont val="Calibri"/>
        <family val="2"/>
        <scheme val="minor"/>
      </rPr>
      <t>installing or adjusting motors and brakes, and adjusting steering or other parts of
motor vehicles;</t>
    </r>
  </si>
  <si>
    <r>
      <rPr>
        <sz val="11"/>
        <rFont val="Calibri"/>
        <family val="2"/>
        <scheme val="minor"/>
      </rPr>
      <t>performing scheduled maintenance services, such as oil changes, lubrications and engine tune-ups, to achieve smoother running of vehicles
and ensure compliance with pollution regulations;</t>
    </r>
  </si>
  <si>
    <r>
      <rPr>
        <sz val="11"/>
        <rFont val="Calibri"/>
        <family val="2"/>
        <scheme val="minor"/>
      </rPr>
      <t>examining and inspecting airframes and aircraft components, including landing gear, hydraulic systems and
de-icers to detect wear, cracks, breaks, leaks or other
problems;</t>
    </r>
  </si>
  <si>
    <r>
      <rPr>
        <sz val="11"/>
        <rFont val="Calibri"/>
        <family val="2"/>
        <scheme val="minor"/>
      </rPr>
      <t>maintaining, repairing, overhauling, modifying and testing aircraft structural,
mechanical and hydraulic systems;</t>
    </r>
  </si>
  <si>
    <r>
      <rPr>
        <sz val="11"/>
        <rFont val="Calibri"/>
        <family val="2"/>
        <scheme val="minor"/>
      </rPr>
      <t>reading and interpreting manuals, service bulletins and other specifications to determine the feasibility and method of repairing or replacing malfunctioning or
damaged components;</t>
    </r>
  </si>
  <si>
    <r>
      <rPr>
        <sz val="11"/>
        <rFont val="Calibri"/>
        <family val="2"/>
        <scheme val="minor"/>
      </rPr>
      <t>maintaining, repairing and rebuilding aircraft structures, functional components and parts such as wings and fuselage, rigging, hydraulic units, oxygen systems, fuel systems, electrical systems,
gaskets and seals;</t>
    </r>
  </si>
  <si>
    <r>
      <rPr>
        <sz val="11"/>
        <rFont val="Calibri"/>
        <family val="2"/>
        <scheme val="minor"/>
      </rPr>
      <t>maintaining repair logs, documenting all preventive and corrective aircraft
maintenance;</t>
    </r>
  </si>
  <si>
    <r>
      <rPr>
        <sz val="11"/>
        <rFont val="Calibri"/>
        <family val="2"/>
        <scheme val="minor"/>
      </rPr>
      <t>installing and testing electrical and electronic components, assemblies and systems in
aircraft;</t>
    </r>
  </si>
  <si>
    <r>
      <rPr>
        <sz val="11"/>
        <rFont val="Calibri"/>
        <family val="2"/>
        <scheme val="minor"/>
      </rPr>
      <t>connecting components to assemblies such as radio systems, instruments,
magnetos, inverters and in- flight refuelling systems.</t>
    </r>
  </si>
  <si>
    <r>
      <rPr>
        <sz val="11"/>
        <rFont val="Calibri"/>
        <family val="2"/>
        <scheme val="minor"/>
      </rPr>
      <t>(a)  fitting, installing, examining, servicing and
repairing engines, machinery and mechanical equipment;</t>
    </r>
  </si>
  <si>
    <r>
      <rPr>
        <sz val="11"/>
        <rFont val="Calibri"/>
        <family val="2"/>
        <scheme val="minor"/>
      </rPr>
      <t>(b)  oiling and greasing stationary engines and
machinery;</t>
    </r>
  </si>
  <si>
    <r>
      <rPr>
        <sz val="11"/>
        <rFont val="Calibri"/>
        <family val="2"/>
        <scheme val="minor"/>
      </rPr>
      <t>(c)  inspecting and testing new machinery and mechanical
equipment for conformity with standards and specifications;</t>
    </r>
  </si>
  <si>
    <r>
      <rPr>
        <sz val="11"/>
        <rFont val="Calibri"/>
        <family val="2"/>
        <scheme val="minor"/>
      </rPr>
      <t>(d)  disassembling machinery and equipment to remove parts
and make repairs;</t>
    </r>
  </si>
  <si>
    <r>
      <rPr>
        <sz val="11"/>
        <rFont val="Calibri"/>
        <family val="2"/>
        <scheme val="minor"/>
      </rPr>
      <t>(e)  examining parts for defects such as breakage and
excessive wear;</t>
    </r>
  </si>
  <si>
    <r>
      <rPr>
        <sz val="11"/>
        <rFont val="Calibri"/>
        <family val="2"/>
        <scheme val="minor"/>
      </rPr>
      <t>(a)  repairing, cleaning and adjusting mechanisms of timing instruments such as
watches and clocks;</t>
    </r>
  </si>
  <si>
    <r>
      <rPr>
        <sz val="11"/>
        <rFont val="Calibri"/>
        <family val="2"/>
        <scheme val="minor"/>
      </rPr>
      <t>(b)  adjusting timing regulators, using  calipers, watch-rate recorders and
tweezers;</t>
    </r>
  </si>
  <si>
    <r>
      <rPr>
        <sz val="11"/>
        <rFont val="Calibri"/>
        <family val="2"/>
        <scheme val="minor"/>
      </rPr>
      <t>(c)  cleaning, rinsing and drying timepiece parts, using solutions and ultrasonic or mechanical watch-cleaning
machines;</t>
    </r>
  </si>
  <si>
    <r>
      <rPr>
        <sz val="11"/>
        <rFont val="Calibri"/>
        <family val="2"/>
        <scheme val="minor"/>
      </rPr>
      <t>(d)  testing timepiece accuracy and performance, using meters
and other electronic instruments;</t>
    </r>
  </si>
  <si>
    <r>
      <rPr>
        <sz val="11"/>
        <rFont val="Calibri"/>
        <family val="2"/>
        <scheme val="minor"/>
      </rPr>
      <t>(e)  testing accuracy of meters, gauges, indicators, or other
recording or controlling instruments to locate defective components and for
conformity with standards;</t>
    </r>
  </si>
  <si>
    <r>
      <rPr>
        <sz val="11"/>
        <rFont val="Calibri"/>
        <family val="2"/>
        <scheme val="minor"/>
      </rPr>
      <t>(f)  calibrating instruments or scales, using hand tools, computer or electronic
devices;</t>
    </r>
  </si>
  <si>
    <r>
      <rPr>
        <sz val="11"/>
        <rFont val="Calibri"/>
        <family val="2"/>
        <scheme val="minor"/>
      </rPr>
      <t>(g)  inspecting components, connections and drive
mechanisms to detect defects;</t>
    </r>
  </si>
  <si>
    <r>
      <rPr>
        <sz val="11"/>
        <rFont val="Calibri"/>
        <family val="2"/>
        <scheme val="minor"/>
      </rPr>
      <t>(h)  assembling instruments and devices such as
barometers, control valves, gyroscopes, hygrometers, speedometers, tachometers
and thermostats;</t>
    </r>
  </si>
  <si>
    <r>
      <rPr>
        <sz val="11"/>
        <rFont val="Calibri"/>
        <family val="2"/>
        <scheme val="minor"/>
      </rPr>
      <t>(i)  testing, calibrating and adjusting electronic,
mercurial, aneroid and other types of meteorological instruments for compliance with printed specifications and schematic diagrams, using voltmeters, oscilloscopes, tube testers and other test
instruments;</t>
    </r>
  </si>
  <si>
    <r>
      <rPr>
        <sz val="11"/>
        <rFont val="Calibri"/>
        <family val="2"/>
        <scheme val="minor"/>
      </rPr>
      <t>(j)  adjusting and repairing masts, supporting structures,
clearance lights, control panels, control cabling and wiring, and other electrical
and mechanical devices;</t>
    </r>
  </si>
  <si>
    <r>
      <rPr>
        <sz val="11"/>
        <rFont val="Calibri"/>
        <family val="2"/>
        <scheme val="minor"/>
      </rPr>
      <t>(l)  checking whether assembled units conform to specifications and ensuring
stipulated performance and sensitivity by standard tests.</t>
    </r>
  </si>
  <si>
    <r>
      <rPr>
        <sz val="11"/>
        <rFont val="Calibri"/>
        <family val="2"/>
        <scheme val="minor"/>
      </rPr>
      <t>(a)  fabricating and assembling musical instruments and instrument parts of wood, ebonite, metal, leather and
other materials;</t>
    </r>
  </si>
  <si>
    <r>
      <rPr>
        <sz val="11"/>
        <rFont val="Calibri"/>
        <family val="2"/>
        <scheme val="minor"/>
      </rPr>
      <t>(b)  repairing or replacing musical instrument parts and components such as strings, bridges, felts and keys, using
hand and power tools;</t>
    </r>
  </si>
  <si>
    <r>
      <rPr>
        <sz val="11"/>
        <rFont val="Calibri"/>
        <family val="2"/>
        <scheme val="minor"/>
      </rPr>
      <t>(c)  playing and inspecting instruments to evaluate their sound quality and to locate
any defects;</t>
    </r>
  </si>
  <si>
    <r>
      <rPr>
        <sz val="11"/>
        <rFont val="Calibri"/>
        <family val="2"/>
        <scheme val="minor"/>
      </rPr>
      <t>(d)  adjusting string tensions to achieve proper tone or pitch of
stringed instruments;</t>
    </r>
  </si>
  <si>
    <r>
      <rPr>
        <sz val="11"/>
        <rFont val="Calibri"/>
        <family val="2"/>
        <scheme val="minor"/>
      </rPr>
      <t>(e)  adjusting lips, reeds, or toe holes of organ pipes, using
hand tools, to regulate airflow and loudness of sound;</t>
    </r>
  </si>
  <si>
    <r>
      <rPr>
        <sz val="11"/>
        <rFont val="Calibri"/>
        <family val="2"/>
        <scheme val="minor"/>
      </rPr>
      <t>(f)  tuning and servicing pipe organs by adjusting pitch of
organ A pipes to conform with pitch of the tuning fork and adjusting pitch of other pipes
with reference to pitch of tuned pipes;</t>
    </r>
  </si>
  <si>
    <r>
      <rPr>
        <sz val="11"/>
        <rFont val="Calibri"/>
        <family val="2"/>
        <scheme val="minor"/>
      </rPr>
      <t>(h)  tuning accordions by aurally comparing pitch of reeds with master reeds and filing reeds to obtain standard
pitch;</t>
    </r>
  </si>
  <si>
    <r>
      <rPr>
        <sz val="11"/>
        <rFont val="Calibri"/>
        <family val="2"/>
        <scheme val="minor"/>
      </rPr>
      <t>(j)  tuning percussion instruments to required pitch by tightening or loosening cords holding leather pieces fixed atop or at both ends of
the instrument;</t>
    </r>
  </si>
  <si>
    <r>
      <rPr>
        <sz val="11"/>
        <rFont val="Calibri"/>
        <family val="2"/>
        <scheme val="minor"/>
      </rPr>
      <t>(k)  assembling and installing new pipe organs and pianos in
buildings.</t>
    </r>
  </si>
  <si>
    <r>
      <rPr>
        <sz val="11"/>
        <rFont val="Calibri"/>
        <family val="2"/>
        <scheme val="minor"/>
      </rPr>
      <t>creating new jewellery designs and modifying existing designs, using computers as
necessary;</t>
    </r>
  </si>
  <si>
    <r>
      <rPr>
        <sz val="11"/>
        <rFont val="Calibri"/>
        <family val="2"/>
        <scheme val="minor"/>
      </rPr>
      <t>altering existing jewellery mountings in order to reposition jewels or to adjust
mountings;</t>
    </r>
  </si>
  <si>
    <r>
      <rPr>
        <sz val="11"/>
        <rFont val="Calibri"/>
        <family val="2"/>
        <scheme val="minor"/>
      </rPr>
      <t>repairing, reshaping and restyling old jewellery or precious metal ware following
designs or instructions;</t>
    </r>
  </si>
  <si>
    <r>
      <rPr>
        <sz val="11"/>
        <rFont val="Calibri"/>
        <family val="2"/>
        <scheme val="minor"/>
      </rPr>
      <t>making complete jewellery articles such as rings, necklaces, bangles, brooches and bracelets from materials such as gold, silver, platinum
and precious or semi-precious stones;</t>
    </r>
  </si>
  <si>
    <r>
      <rPr>
        <sz val="11"/>
        <rFont val="Calibri"/>
        <family val="2"/>
        <scheme val="minor"/>
      </rPr>
      <t>examining gem surfaces and internal structures, using polariscopes, refractometers, microscopes and other optical instruments to differentiate between stones, to identify rare specimens, or to detect flaws, defects or peculiarities
affecting gem values;</t>
    </r>
  </si>
  <si>
    <r>
      <rPr>
        <sz val="11"/>
        <rFont val="Calibri"/>
        <family val="2"/>
        <scheme val="minor"/>
      </rPr>
      <t>Jewellery and
Precious metal Workers</t>
    </r>
  </si>
  <si>
    <r>
      <rPr>
        <sz val="11"/>
        <rFont val="Calibri"/>
        <family val="2"/>
        <scheme val="minor"/>
      </rPr>
      <t>cutting and polishing gems
and setting them in jewellery articles;</t>
    </r>
  </si>
  <si>
    <r>
      <rPr>
        <sz val="11"/>
        <rFont val="Calibri"/>
        <family val="2"/>
        <scheme val="minor"/>
      </rPr>
      <t>engraving or embossing letters, designs or decorative lines on jewellery and
precious metal ware;</t>
    </r>
  </si>
  <si>
    <r>
      <rPr>
        <sz val="11"/>
        <rFont val="Calibri"/>
        <family val="2"/>
        <scheme val="minor"/>
      </rPr>
      <t>examining assembled or finished products to ensure conformity with specifications, using magnifying glasses or precision measuring
instruments.</t>
    </r>
  </si>
  <si>
    <r>
      <rPr>
        <sz val="11"/>
        <rFont val="Calibri"/>
        <family val="2"/>
        <scheme val="minor"/>
      </rPr>
      <t>(a)  heating glass to pliable stage using gas flames or ovens, and rotating glass to
heat it uniformly;</t>
    </r>
  </si>
  <si>
    <r>
      <rPr>
        <sz val="11"/>
        <rFont val="Calibri"/>
        <family val="2"/>
        <scheme val="minor"/>
      </rPr>
      <t>(c)  grinding and polishing glass objects or parts to correct defects or to prepare surfaces
for further finishing and smoothening and polishing rough edges, using belt
sanders or polishing wheels;</t>
    </r>
  </si>
  <si>
    <r>
      <rPr>
        <sz val="11"/>
        <rFont val="Calibri"/>
        <family val="2"/>
        <scheme val="minor"/>
      </rPr>
      <t>(d)  examining glass stock and finished products and marking
or discarding items with defects such as spots, stains, scars, snags, chips, scratches or unacceptable shapes or
finishes;</t>
    </r>
  </si>
  <si>
    <r>
      <rPr>
        <sz val="11"/>
        <rFont val="Calibri"/>
        <family val="2"/>
        <scheme val="minor"/>
      </rPr>
      <t>(f)  observing gauges, computer printouts and video monitors to verify specified
processing conditions and make adjustments as
necessary;</t>
    </r>
  </si>
  <si>
    <r>
      <rPr>
        <sz val="11"/>
        <rFont val="Calibri"/>
        <family val="2"/>
        <scheme val="minor"/>
      </rPr>
      <t>(g)  positioning patterns or drawings on glass, measuring
dimensions, and marking cutting lines, using glass cutting tools and cutting glass
along marked outlines or around pattern;</t>
    </r>
  </si>
  <si>
    <r>
      <rPr>
        <sz val="11"/>
        <rFont val="Calibri"/>
        <family val="2"/>
        <scheme val="minor"/>
      </rPr>
      <t>(h)  setting up, operating and adjusting computerized or
robotic glass cutting equipment;</t>
    </r>
  </si>
  <si>
    <r>
      <rPr>
        <sz val="11"/>
        <rFont val="Calibri"/>
        <family val="2"/>
        <scheme val="minor"/>
      </rPr>
      <t>(i)  inspecting, weighing and measuring products to verify
conformity with specifications, using instruments such as
micrometers, callipers, magnifiers and rulers;</t>
    </r>
  </si>
  <si>
    <r>
      <rPr>
        <sz val="11"/>
        <rFont val="Calibri"/>
        <family val="2"/>
        <scheme val="minor"/>
      </rPr>
      <t>(k)  transferring patterns for individual stained glass parts
from full size drawings to pattern paper, using stylus to
trace drawings;</t>
    </r>
  </si>
  <si>
    <r>
      <rPr>
        <sz val="11"/>
        <rFont val="Calibri"/>
        <family val="2"/>
        <scheme val="minor"/>
      </rPr>
      <t>(m)  laying out cutting and grinding optical and other
glass to specified dimensions and weight for moulding into lens blanks and for use as
watch crystals.</t>
    </r>
  </si>
  <si>
    <r>
      <rPr>
        <sz val="11"/>
        <rFont val="Calibri"/>
        <family val="2"/>
        <scheme val="minor"/>
      </rPr>
      <t>carving, assembling, weaving, painting and decorating various articles for personal or household use such as salad bowls, serving spoons,
cutting-boards, trays, vases, jugs, baskets, straw hats, straw
mats and similar objects;</t>
    </r>
  </si>
  <si>
    <r>
      <rPr>
        <sz val="11"/>
        <rFont val="Calibri"/>
        <family val="2"/>
        <scheme val="minor"/>
      </rPr>
      <t>carving, assembling, weaving and painting various decorative articles such as statues and other sculptures, chess pieces, jewellery and
similar objects;</t>
    </r>
  </si>
  <si>
    <r>
      <rPr>
        <sz val="11"/>
        <rFont val="Calibri"/>
        <family val="2"/>
        <scheme val="minor"/>
      </rPr>
      <t>forming bottoms of baskets by interlacing strips of rattan, wood veneer or other materials with frameworks of rods of material such as
willow;</t>
    </r>
  </si>
  <si>
    <r>
      <rPr>
        <sz val="11"/>
        <rFont val="Calibri"/>
        <family val="2"/>
        <scheme val="minor"/>
      </rPr>
      <t>(a)  spinning and dyeing with natural dyestuffs, wool, cotton
and other fibres;</t>
    </r>
  </si>
  <si>
    <r>
      <rPr>
        <sz val="11"/>
        <rFont val="Calibri"/>
        <family val="2"/>
        <scheme val="minor"/>
      </rPr>
      <t>(b)  lace-making, and weaving, knitting or embroidering various
garments and articles for household use;</t>
    </r>
  </si>
  <si>
    <r>
      <rPr>
        <sz val="11"/>
        <rFont val="Calibri"/>
        <family val="2"/>
        <scheme val="minor"/>
      </rPr>
      <t>(c)  preparing and dyeing hides with natural dyestuffs
and making traditional footwear or handbags, belts and other accessories;</t>
    </r>
  </si>
  <si>
    <r>
      <rPr>
        <sz val="11"/>
        <rFont val="Calibri"/>
        <family val="2"/>
        <scheme val="minor"/>
      </rPr>
      <t>(h)  knitting garments and other articles on hand-operated
machines or by hand;</t>
    </r>
  </si>
  <si>
    <r>
      <rPr>
        <sz val="11"/>
        <rFont val="Calibri"/>
        <family val="2"/>
        <scheme val="minor"/>
      </rPr>
      <t>(a)  setting, adjusting and monitoring substrate-feed
mechanisms, delivery mechanisms, inking systems and other printing machine
functions;</t>
    </r>
  </si>
  <si>
    <r>
      <rPr>
        <sz val="11"/>
        <rFont val="Calibri"/>
        <family val="2"/>
        <scheme val="minor"/>
      </rPr>
      <t>(b)  mixing ink and solvents to standard, and regulating paper
and ink supply during print runs;</t>
    </r>
  </si>
  <si>
    <r>
      <rPr>
        <sz val="11"/>
        <rFont val="Calibri"/>
        <family val="2"/>
        <scheme val="minor"/>
      </rPr>
      <t>(c)  monitoring, evaluating and determining press to check
print quality standards against
proofs and detect malfunctions;</t>
    </r>
  </si>
  <si>
    <r>
      <rPr>
        <sz val="11"/>
        <rFont val="Calibri"/>
        <family val="2"/>
        <scheme val="minor"/>
      </rPr>
      <t>(d)  producing a variety of printed products using digital,
relief, lithographic, flexographic and gravure printing presses, and in-line
finishing systems;</t>
    </r>
  </si>
  <si>
    <r>
      <rPr>
        <sz val="11"/>
        <rFont val="Calibri"/>
        <family val="2"/>
        <scheme val="minor"/>
      </rPr>
      <t>(e)  preparing plates, blankets and impression cylinders on
small offset lithographic printing presses;</t>
    </r>
  </si>
  <si>
    <r>
      <rPr>
        <sz val="11"/>
        <rFont val="Calibri"/>
        <family val="2"/>
        <scheme val="minor"/>
      </rPr>
      <t>(g)  monitoring machine operations and quality of
printing;</t>
    </r>
  </si>
  <si>
    <r>
      <rPr>
        <sz val="11"/>
        <rFont val="Calibri"/>
        <family val="2"/>
        <scheme val="minor"/>
      </rPr>
      <t>(h)  maintaining, adjusting, repairing and cleaning
machines;</t>
    </r>
  </si>
  <si>
    <r>
      <rPr>
        <sz val="11"/>
        <rFont val="Calibri"/>
        <family val="2"/>
        <scheme val="minor"/>
      </rPr>
      <t>(i)  producing digital print images, and transferring and
outputting images.</t>
    </r>
  </si>
  <si>
    <r>
      <rPr>
        <sz val="11"/>
        <rFont val="Calibri"/>
        <family val="2"/>
        <scheme val="minor"/>
      </rPr>
      <t>(a)  setting up and supervising the operation of automatic
binding and finishing equipment;</t>
    </r>
  </si>
  <si>
    <r>
      <rPr>
        <sz val="11"/>
        <rFont val="Calibri"/>
        <family val="2"/>
        <scheme val="minor"/>
      </rPr>
      <t>(b)  binding full, half and limp-bound books, and
repairing bindings;</t>
    </r>
  </si>
  <si>
    <r>
      <rPr>
        <sz val="11"/>
        <rFont val="Calibri"/>
        <family val="2"/>
        <scheme val="minor"/>
      </rPr>
      <t>(c)  folding, collating and sewing signatures by machine
and hand;</t>
    </r>
  </si>
  <si>
    <r>
      <rPr>
        <sz val="11"/>
        <rFont val="Calibri"/>
        <family val="2"/>
        <scheme val="minor"/>
      </rPr>
      <t>(d)  operating paper guillotines for pre-press and post-press paper cutting and trimming,
and programming
electronically operated units;</t>
    </r>
  </si>
  <si>
    <r>
      <rPr>
        <sz val="11"/>
        <rFont val="Calibri"/>
        <family val="2"/>
        <scheme val="minor"/>
      </rPr>
      <t>(e)  operating systems to insert printed material into
newspapers, magazines and
envelopes;</t>
    </r>
  </si>
  <si>
    <r>
      <rPr>
        <sz val="11"/>
        <rFont val="Calibri"/>
        <family val="2"/>
        <scheme val="minor"/>
      </rPr>
      <t>(f)  embellishing printed products automatically and
manually;</t>
    </r>
  </si>
  <si>
    <r>
      <rPr>
        <sz val="11"/>
        <rFont val="Calibri"/>
        <family val="2"/>
        <scheme val="minor"/>
      </rPr>
      <t>(g)  operating photographic and electronic reproduction
devices.</t>
    </r>
  </si>
  <si>
    <r>
      <rPr>
        <sz val="11"/>
        <rFont val="Calibri"/>
        <family val="2"/>
        <scheme val="minor"/>
      </rPr>
      <t>installing, maintaining and repairing electrical wiring systems and related equipment in various buildings such as schools, hospitals, commercial
establishments, residential buildings and other structures;</t>
    </r>
  </si>
  <si>
    <r>
      <rPr>
        <sz val="11"/>
        <rFont val="Calibri"/>
        <family val="2"/>
        <scheme val="minor"/>
      </rPr>
      <t>examining blueprints, wiring diagrams and specifications to determine sequences and
methods of operation;</t>
    </r>
  </si>
  <si>
    <r>
      <rPr>
        <sz val="11"/>
        <rFont val="Calibri"/>
        <family val="2"/>
        <scheme val="minor"/>
      </rPr>
      <t>planning layout and installation of electrical wiring, equipment and fixtures, based on job specifications and relevant
standards;</t>
    </r>
  </si>
  <si>
    <r>
      <rPr>
        <sz val="11"/>
        <rFont val="Calibri"/>
        <family val="2"/>
        <scheme val="minor"/>
      </rPr>
      <t>inspecting electrical systems, equipment, and components to identify hazards, defects, and the need for adjustment or
repair;</t>
    </r>
  </si>
  <si>
    <r>
      <rPr>
        <sz val="11"/>
        <rFont val="Calibri"/>
        <family val="2"/>
        <scheme val="minor"/>
      </rPr>
      <t>selecting, cutting and
connecting wire and cable to terminals and connectors;</t>
    </r>
  </si>
  <si>
    <r>
      <rPr>
        <sz val="11"/>
        <rFont val="Calibri"/>
        <family val="2"/>
        <scheme val="minor"/>
      </rPr>
      <t>fitting, adjusting and repairing various kinds of electrical machinery and motors, generators, switchgear and control apparatus, instruments,
or electrical parts of elevators and related equipment;</t>
    </r>
  </si>
  <si>
    <r>
      <rPr>
        <sz val="11"/>
        <rFont val="Calibri"/>
        <family val="2"/>
        <scheme val="minor"/>
      </rPr>
      <t>fitting, adjusting and repairing electrical parts in domestic appliances, industrial machines and other
appliances;</t>
    </r>
  </si>
  <si>
    <r>
      <rPr>
        <sz val="11"/>
        <rFont val="Calibri"/>
        <family val="2"/>
        <scheme val="minor"/>
      </rPr>
      <t>Electrical Mechanics and
Fitters</t>
    </r>
  </si>
  <si>
    <r>
      <rPr>
        <sz val="11"/>
        <rFont val="Calibri"/>
        <family val="2"/>
        <scheme val="minor"/>
      </rPr>
      <t>inspecting and testing manufactured electrical
products;</t>
    </r>
  </si>
  <si>
    <r>
      <rPr>
        <sz val="11"/>
        <rFont val="Calibri"/>
        <family val="2"/>
        <scheme val="minor"/>
      </rPr>
      <t>installing, testing, connecting, commissioning, maintaining and modifying electrical
equipment, wiring and control systems;</t>
    </r>
  </si>
  <si>
    <r>
      <rPr>
        <sz val="11"/>
        <rFont val="Calibri"/>
        <family val="2"/>
        <scheme val="minor"/>
      </rPr>
      <t>designing, installing, maintaining, servicing and repairing electricand hydraulic passenger and freight lifts,
escalators, moving walkways and other lift equipment;</t>
    </r>
  </si>
  <si>
    <r>
      <rPr>
        <sz val="11"/>
        <rFont val="Calibri"/>
        <family val="2"/>
        <scheme val="minor"/>
      </rPr>
      <t>installing and repairing overhead and underground electrical power and electrical
traction lines;</t>
    </r>
  </si>
  <si>
    <r>
      <rPr>
        <sz val="11"/>
        <rFont val="Calibri"/>
        <family val="2"/>
        <scheme val="minor"/>
      </rPr>
      <t>Electrical Line Installers and
Repairers</t>
    </r>
  </si>
  <si>
    <r>
      <rPr>
        <sz val="11"/>
        <rFont val="Calibri"/>
        <family val="2"/>
        <scheme val="minor"/>
      </rPr>
      <t>adhering to safety practices and procedures, such as checking equipment regularly
and erecting barriers around work areas;</t>
    </r>
  </si>
  <si>
    <r>
      <rPr>
        <sz val="11"/>
        <rFont val="Calibri"/>
        <family val="2"/>
        <scheme val="minor"/>
      </rPr>
      <t>opening switches or attaching grounding devices to remove electrical hazards from
disturbed or fallen lines or to facilitate repairs;</t>
    </r>
  </si>
  <si>
    <r>
      <rPr>
        <sz val="11"/>
        <rFont val="Calibri"/>
        <family val="2"/>
        <scheme val="minor"/>
      </rPr>
      <t>identifying defective sectionalizing devices, circuit breakers, fuses, voltage regulators, transformers, switches, relays or wiring, using wiring diagrams and
electrical-testing instruments.</t>
    </r>
  </si>
  <si>
    <r>
      <rPr>
        <sz val="11"/>
        <rFont val="Calibri"/>
        <family val="2"/>
        <scheme val="minor"/>
      </rPr>
      <t>examining and testing machines, instruments, components, control systems
and other electronic equipment to identify faults;</t>
    </r>
  </si>
  <si>
    <r>
      <rPr>
        <sz val="11"/>
        <rFont val="Calibri"/>
        <family val="2"/>
        <scheme val="minor"/>
      </rPr>
      <t>adjusting, repairing and replacing worn and defective parts and wiring, and maintaining machines,
equipment and instruments;</t>
    </r>
  </si>
  <si>
    <r>
      <rPr>
        <sz val="11"/>
        <rFont val="Calibri"/>
        <family val="2"/>
        <scheme val="minor"/>
      </rPr>
      <t>Electronics
Mechanics and Servicers</t>
    </r>
  </si>
  <si>
    <r>
      <rPr>
        <sz val="11"/>
        <rFont val="Calibri"/>
        <family val="2"/>
        <scheme val="minor"/>
      </rPr>
      <t>installing electronic
instruments and control systems;</t>
    </r>
  </si>
  <si>
    <r>
      <rPr>
        <sz val="11"/>
        <rFont val="Calibri"/>
        <family val="2"/>
        <scheme val="minor"/>
      </rPr>
      <t>interpreting test data to diagnose malfunctions and
systemic performance problems;</t>
    </r>
  </si>
  <si>
    <r>
      <rPr>
        <sz val="11"/>
        <rFont val="Calibri"/>
        <family val="2"/>
        <scheme val="minor"/>
      </rPr>
      <t>installing, adjusting, repairing or replacing electrical and electronic components, assemblies and systems, using
hand tools, power tools or soldering irons;</t>
    </r>
  </si>
  <si>
    <r>
      <rPr>
        <sz val="11"/>
        <rFont val="Calibri"/>
        <family val="2"/>
        <scheme val="minor"/>
      </rPr>
      <t>connecting components to assemblies such as radio systems, instruments,
magnetos, inverters and in- flight refuelling systems;</t>
    </r>
  </si>
  <si>
    <r>
      <rPr>
        <sz val="11"/>
        <rFont val="Calibri"/>
        <family val="2"/>
        <scheme val="minor"/>
      </rPr>
      <t>installing, maintaining, repairing and diagnosing malfunctions of microwave, telemetry, multiplexing, satellite and other radio and electromagnetic wave
communications systems;</t>
    </r>
  </si>
  <si>
    <r>
      <rPr>
        <sz val="11"/>
        <rFont val="Calibri"/>
        <family val="2"/>
        <scheme val="minor"/>
      </rPr>
      <t>selling meat or fish to customers, including wrapping, weighing and labelling products, and
receiving payment.</t>
    </r>
  </si>
  <si>
    <r>
      <rPr>
        <sz val="11"/>
        <rFont val="Calibri"/>
        <family val="2"/>
        <scheme val="minor"/>
      </rPr>
      <t>making handmade confectionery from mixtures of sugar, chocolate and other
ingredients, using hand tools and some machines;</t>
    </r>
  </si>
  <si>
    <r>
      <rPr>
        <sz val="11"/>
        <rFont val="Calibri"/>
        <family val="2"/>
        <scheme val="minor"/>
      </rPr>
      <t>checking the cleanliness of equipment and operation of premises before production runs to ensure compliance
with occupational health and safety regulations;</t>
    </r>
  </si>
  <si>
    <r>
      <rPr>
        <sz val="11"/>
        <rFont val="Calibri"/>
        <family val="2"/>
        <scheme val="minor"/>
      </rPr>
      <t>coordinating the forming, loading, baking, unloading, de-panning and cooling of
batches of  bread, rolls, pastry and confectionery products.</t>
    </r>
  </si>
  <si>
    <r>
      <rPr>
        <sz val="11"/>
        <rFont val="Calibri"/>
        <family val="2"/>
        <scheme val="minor"/>
      </rPr>
      <t>(a)  boiling or pasteurizing milk to achieve specified
butter fat content;</t>
    </r>
  </si>
  <si>
    <r>
      <rPr>
        <sz val="11"/>
        <rFont val="Calibri"/>
        <family val="2"/>
        <scheme val="minor"/>
      </rPr>
      <t>(b)  separating cream from milk and churning cream into
butter;</t>
    </r>
  </si>
  <si>
    <r>
      <rPr>
        <sz val="11"/>
        <rFont val="Calibri"/>
        <family val="2"/>
        <scheme val="minor"/>
      </rPr>
      <t>(c)  dumping measured amounts of starter and other
ingredients into milk;</t>
    </r>
  </si>
  <si>
    <r>
      <rPr>
        <sz val="11"/>
        <rFont val="Calibri"/>
        <family val="2"/>
        <scheme val="minor"/>
      </rPr>
      <t>(e)  salting cheese and piercing or smearing cheese with cultured wash to develop
mould growth;</t>
    </r>
  </si>
  <si>
    <r>
      <rPr>
        <sz val="11"/>
        <rFont val="Calibri"/>
        <family val="2"/>
        <scheme val="minor"/>
      </rPr>
      <t>(f)  placing and turning cheese blocks on shelves to cure
cheese;</t>
    </r>
  </si>
  <si>
    <r>
      <rPr>
        <sz val="11"/>
        <rFont val="Calibri"/>
        <family val="2"/>
        <scheme val="minor"/>
      </rPr>
      <t>(g)  monitoring product quality before packaging by inspecting, taking samples and adjusting treatment conditions
when necessary;</t>
    </r>
  </si>
  <si>
    <r>
      <rPr>
        <sz val="11"/>
        <rFont val="Calibri"/>
        <family val="2"/>
        <scheme val="minor"/>
      </rPr>
      <t>(h)  recording amounts of ingredients used, test results
and time cycles.</t>
    </r>
  </si>
  <si>
    <r>
      <rPr>
        <sz val="11"/>
        <rFont val="Calibri"/>
        <family val="2"/>
        <scheme val="minor"/>
      </rPr>
      <t>(c)  cooking, salting or drying fruit, vegetables and related
foods;</t>
    </r>
  </si>
  <si>
    <r>
      <rPr>
        <sz val="11"/>
        <rFont val="Calibri"/>
        <family val="2"/>
        <scheme val="minor"/>
      </rPr>
      <t>(d)  mixing and adding ingredients such as pectin, sugar, spices and vinegar to
assist preservation and enhance texture, appearance
and flavour;</t>
    </r>
  </si>
  <si>
    <r>
      <rPr>
        <sz val="11"/>
        <rFont val="Calibri"/>
        <family val="2"/>
        <scheme val="minor"/>
      </rPr>
      <t>(e)  transferring preserved foods to sterile jars, bottles or
other containers.</t>
    </r>
  </si>
  <si>
    <r>
      <rPr>
        <sz val="11"/>
        <rFont val="Calibri"/>
        <family val="2"/>
        <scheme val="minor"/>
      </rPr>
      <t>(a)  operating woodworking machines such as power saws, jointers, mortisers and shapers,
and using hand tools to cut, shape and form parts and
components;</t>
    </r>
  </si>
  <si>
    <r>
      <rPr>
        <sz val="11"/>
        <rFont val="Calibri"/>
        <family val="2"/>
        <scheme val="minor"/>
      </rPr>
      <t>(b)  studying plans, verifying dimensions of articles to be
made, or preparing specifications and checking the quality and fit of pieces in
order to ensure adherence to specifications;</t>
    </r>
  </si>
  <si>
    <r>
      <rPr>
        <sz val="11"/>
        <rFont val="Calibri"/>
        <family val="2"/>
        <scheme val="minor"/>
      </rPr>
      <t>(c)  trimming joints and fitting parts and subassemblies together to form complete units using glue and clamps, and reinforcing joints using
nails, screws or other
fasteners;</t>
    </r>
  </si>
  <si>
    <r>
      <rPr>
        <sz val="11"/>
        <rFont val="Calibri"/>
        <family val="2"/>
        <scheme val="minor"/>
      </rPr>
      <t>(d)  making, restyling and repairing various wooden articles such as cabinets, furniture, vehicles, scale
models, sports equipment and other parts or products;</t>
    </r>
  </si>
  <si>
    <r>
      <rPr>
        <sz val="11"/>
        <rFont val="Calibri"/>
        <family val="2"/>
        <scheme val="minor"/>
      </rPr>
      <t>(e)  decorating furniture and fixtures by inlaying wood or applying veneer and carving
designs;</t>
    </r>
  </si>
  <si>
    <r>
      <rPr>
        <sz val="11"/>
        <rFont val="Calibri"/>
        <family val="2"/>
        <scheme val="minor"/>
      </rPr>
      <t>making overcoats, suits, skirts, shirts, blouses, lingerie, corsetry, hats, wigs and similar garments, often to
clients’ individual requirements;</t>
    </r>
  </si>
  <si>
    <r>
      <rPr>
        <sz val="11"/>
        <rFont val="Calibri"/>
        <family val="2"/>
        <scheme val="minor"/>
      </rPr>
      <t>selecting textile fabrics, leather or fur pelts matching the desired size, colour, texture and quality of the garment; cutting to shape them to garment pattern and arranging them on the pattern
according to the design of  the garment;</t>
    </r>
  </si>
  <si>
    <r>
      <rPr>
        <sz val="11"/>
        <rFont val="Calibri"/>
        <family val="2"/>
        <scheme val="minor"/>
      </rPr>
      <t>selecting and modifying commercial patterns to customers’ and clothing
manufacturers’ specifications and fit;</t>
    </r>
  </si>
  <si>
    <r>
      <rPr>
        <sz val="11"/>
        <rFont val="Calibri"/>
        <family val="2"/>
        <scheme val="minor"/>
      </rPr>
      <t>fitting, altering and repairing tailored clothing, dresses, coats and other made-to- measure garments according
to customers’ requests;</t>
    </r>
  </si>
  <si>
    <r>
      <rPr>
        <sz val="11"/>
        <rFont val="Calibri"/>
        <family val="2"/>
        <scheme val="minor"/>
      </rPr>
      <t>folding, twisting and draping material such as satin or silk, or sewing ribbon or cloth in the form of artificial flowers or bows around crown and
brim to shape and decorate hats;</t>
    </r>
  </si>
  <si>
    <r>
      <rPr>
        <sz val="11"/>
        <rFont val="Calibri"/>
        <family val="2"/>
        <scheme val="minor"/>
      </rPr>
      <t>blending shades of hair to give a natural appearance to wigs, arranging woven hair in specified positions and sewing
hair together to form hairpieces;</t>
    </r>
  </si>
  <si>
    <r>
      <rPr>
        <sz val="11"/>
        <rFont val="Calibri"/>
        <family val="2"/>
        <scheme val="minor"/>
      </rPr>
      <t>(a)  creating a master pattern for each size within a range of garment sizes, using charts,
drafting instruments, computers and/or grading
devices;</t>
    </r>
  </si>
  <si>
    <r>
      <rPr>
        <sz val="11"/>
        <rFont val="Calibri"/>
        <family val="2"/>
        <scheme val="minor"/>
      </rPr>
      <t>(b)  creating the blueprint or pattern pieces for a particular apparel design with the aid of
a computer;</t>
    </r>
  </si>
  <si>
    <r>
      <rPr>
        <sz val="11"/>
        <rFont val="Calibri"/>
        <family val="2"/>
        <scheme val="minor"/>
      </rPr>
      <t>(c)  calculating dimensions of patterns according to sizes, considering stretching of
material;</t>
    </r>
  </si>
  <si>
    <r>
      <rPr>
        <sz val="11"/>
        <rFont val="Calibri"/>
        <family val="2"/>
        <scheme val="minor"/>
      </rPr>
      <t>(d)  drawing details on outlined parts to indicate
where parts are to be joined, as well as the positions of pleats, pockets, buttonholes on garments, decorative stitching on shoe parts or eyelets on canvas products, using
computers or drafting instruments;</t>
    </r>
  </si>
  <si>
    <r>
      <rPr>
        <sz val="11"/>
        <rFont val="Calibri"/>
        <family val="2"/>
        <scheme val="minor"/>
      </rPr>
      <t>(e)  positioning templates or measuring materials to locate specified points of cuts or to
obtain maximum yields, and marking fabric accordingly;</t>
    </r>
  </si>
  <si>
    <r>
      <rPr>
        <sz val="11"/>
        <rFont val="Calibri"/>
        <family val="2"/>
        <scheme val="minor"/>
      </rPr>
      <t>(f)  laying out the master pattern on fabric and cutting
sample patterns;</t>
    </r>
  </si>
  <si>
    <r>
      <rPr>
        <sz val="11"/>
        <rFont val="Calibri"/>
        <family val="2"/>
        <scheme val="minor"/>
      </rPr>
      <t>(h)  placing patterns on top of layers of fabric and cutting fabric following patterns, using electric or manual knives, cutters or computer
numerically controlled cutting
devices;</t>
    </r>
  </si>
  <si>
    <r>
      <rPr>
        <sz val="11"/>
        <rFont val="Calibri"/>
        <family val="2"/>
        <scheme val="minor"/>
      </rPr>
      <t>(i)  cutting fabric or fur pelts to make parts for garments and
other fur articles;</t>
    </r>
  </si>
  <si>
    <r>
      <rPr>
        <sz val="11"/>
        <rFont val="Calibri"/>
        <family val="2"/>
        <scheme val="minor"/>
      </rPr>
      <t>(j)  trimming excess material or cutting threads off finished products, such as cutting loose
ends of a finished product;</t>
    </r>
  </si>
  <si>
    <r>
      <rPr>
        <sz val="11"/>
        <rFont val="Calibri"/>
        <family val="2"/>
        <scheme val="minor"/>
      </rPr>
      <t>(k)  positioning leather on the cutting bed of machines,
maximizing usage according
to skin grain, skin flaws and skin stretch;</t>
    </r>
  </si>
  <si>
    <r>
      <rPr>
        <sz val="11"/>
        <rFont val="Calibri"/>
        <family val="2"/>
        <scheme val="minor"/>
      </rPr>
      <t>(l)  performing patternmaking, marking and cutting tasks in
the manufacture of other products such as soft
furnishings and canvas goods.</t>
    </r>
  </si>
  <si>
    <r>
      <rPr>
        <sz val="11"/>
        <rFont val="Calibri"/>
        <family val="2"/>
        <scheme val="minor"/>
      </rPr>
      <t>(a)  repairing defective or damaged portions of cloths or
garments by hand, using matching thread and needle;</t>
    </r>
  </si>
  <si>
    <r>
      <rPr>
        <sz val="11"/>
        <rFont val="Calibri"/>
        <family val="2"/>
        <scheme val="minor"/>
      </rPr>
      <t>(b)  removing stitches from garments to be altered, using
rippers or razor blades;</t>
    </r>
  </si>
  <si>
    <r>
      <rPr>
        <sz val="11"/>
        <rFont val="Calibri"/>
        <family val="2"/>
        <scheme val="minor"/>
      </rPr>
      <t>(c)  selecting thread according to specifications or colour of
parts, or dyeing thread to
match colour and shade of cloth to be darned;</t>
    </r>
  </si>
  <si>
    <r>
      <rPr>
        <sz val="11"/>
        <rFont val="Calibri"/>
        <family val="2"/>
        <scheme val="minor"/>
      </rPr>
      <t>(d)  patching holes, sewing tears and ripped seams, or
darning defects in items, using needle and thread;</t>
    </r>
  </si>
  <si>
    <r>
      <rPr>
        <sz val="11"/>
        <rFont val="Calibri"/>
        <family val="2"/>
        <scheme val="minor"/>
      </rPr>
      <t>(e)  pulling knots to the wrong sides of garments, using
hooks;</t>
    </r>
  </si>
  <si>
    <r>
      <rPr>
        <sz val="11"/>
        <rFont val="Calibri"/>
        <family val="2"/>
        <scheme val="minor"/>
      </rPr>
      <t>(f)  trimming ends with scissors to make mended
portions look uniform with the pattern of cloth;</t>
    </r>
  </si>
  <si>
    <r>
      <rPr>
        <sz val="11"/>
        <rFont val="Calibri"/>
        <family val="2"/>
        <scheme val="minor"/>
      </rPr>
      <t>(g)  sewing ornamental designs by hand over stamped, printed or stencilled patterns
on fabric, using needle and coloured thread;</t>
    </r>
  </si>
  <si>
    <r>
      <rPr>
        <sz val="11"/>
        <rFont val="Calibri"/>
        <family val="2"/>
        <scheme val="minor"/>
      </rPr>
      <t>(h)  embroidering ornamental designs on cloth by hand or machine, using needle and
coloured thread;</t>
    </r>
  </si>
  <si>
    <r>
      <rPr>
        <sz val="11"/>
        <rFont val="Calibri"/>
        <family val="2"/>
        <scheme val="minor"/>
      </rPr>
      <t>(i)  softening leather or shoe material with water to prepare
it for sewing;</t>
    </r>
  </si>
  <si>
    <r>
      <rPr>
        <sz val="11"/>
        <rFont val="Calibri"/>
        <family val="2"/>
        <scheme val="minor"/>
      </rPr>
      <t>(j)  sewing or gluing decorative trimmings to
articles such as hats, caps or other millinery;</t>
    </r>
  </si>
  <si>
    <r>
      <rPr>
        <sz val="11"/>
        <rFont val="Calibri"/>
        <family val="2"/>
        <scheme val="minor"/>
      </rPr>
      <t>(k) hand-sewing umbrella covers to frames, tacking cover to ribs along seams,
sewing corners to tips of ribs and sewing ties to outside of cover to hold umbrella when
folded;</t>
    </r>
  </si>
  <si>
    <r>
      <rPr>
        <sz val="11"/>
        <rFont val="Calibri"/>
        <family val="2"/>
        <scheme val="minor"/>
      </rPr>
      <t>(l) fabricating and assembling thick cloth, canvas and similar materials into sails, awning,
tarpaulins and tents.</t>
    </r>
  </si>
  <si>
    <r>
      <rPr>
        <sz val="11"/>
        <rFont val="Calibri"/>
        <family val="2"/>
        <scheme val="minor"/>
      </rPr>
      <t>making, modifying and repairing standard footwear to
meet individual requirements;</t>
    </r>
  </si>
  <si>
    <r>
      <rPr>
        <sz val="11"/>
        <rFont val="Calibri"/>
        <family val="2"/>
        <scheme val="minor"/>
      </rPr>
      <t>making, modifying and repairing orthopaedic or therapeutic footwear according to doctors’ prescriptions, or modifying existing footwear for people with foot problems and special
needs;</t>
    </r>
  </si>
  <si>
    <r>
      <rPr>
        <sz val="11"/>
        <rFont val="Calibri"/>
        <family val="2"/>
        <scheme val="minor"/>
      </rPr>
      <t>preparing inserts, heel pads and lifts from casts of
customers’ feet;</t>
    </r>
  </si>
  <si>
    <r>
      <rPr>
        <sz val="11"/>
        <rFont val="Calibri"/>
        <family val="2"/>
        <scheme val="minor"/>
      </rPr>
      <t>studying drawings and other specifications to make footwear according to
customers’ needs;</t>
    </r>
  </si>
  <si>
    <r>
      <rPr>
        <sz val="11"/>
        <rFont val="Calibri"/>
        <family val="2"/>
        <scheme val="minor"/>
      </rPr>
      <t>studying work orders and/or shoe part tags to obtain information about workloads,
specifications and the types of materials to be used;</t>
    </r>
  </si>
  <si>
    <r>
      <rPr>
        <sz val="11"/>
        <rFont val="Calibri"/>
        <family val="2"/>
        <scheme val="minor"/>
      </rPr>
      <t>checking the texture, colour and strength of leather to
ensure that it is adequate for a particular purpose;</t>
    </r>
  </si>
  <si>
    <r>
      <rPr>
        <sz val="11"/>
        <rFont val="Calibri"/>
        <family val="2"/>
        <scheme val="minor"/>
      </rPr>
      <t>sewing rips or patching holes to repair articles such as purses, belts, shoes and
luggage;</t>
    </r>
  </si>
  <si>
    <r>
      <rPr>
        <sz val="11"/>
        <rFont val="Calibri"/>
        <family val="2"/>
        <scheme val="minor"/>
      </rPr>
      <t>removing and examining shoes, shoe parts and designs to verify conformity with specifications, such as proper
embedding of stitches in channels;</t>
    </r>
  </si>
  <si>
    <r>
      <rPr>
        <sz val="11"/>
        <rFont val="Calibri"/>
        <family val="2"/>
        <scheme val="minor"/>
      </rPr>
      <t>making and repairing articles such as saddles and harnesses for animals, luggage, handbags, briefcases, leather bags, belts and other
accessories.</t>
    </r>
  </si>
  <si>
    <r>
      <rPr>
        <sz val="11"/>
        <rFont val="Calibri"/>
        <family val="2"/>
        <scheme val="minor"/>
      </rPr>
      <t>covering areas to specified depths with pesticides, applying knowledge of weather conditions, droplet
sizes, elevation-to-distance ratios, and obstructions;</t>
    </r>
  </si>
  <si>
    <r>
      <rPr>
        <sz val="11"/>
        <rFont val="Calibri"/>
        <family val="2"/>
        <scheme val="minor"/>
      </rPr>
      <t>spraying or releasing chemical solutions or toxic gases, and setting traps to kill pests and
vermin, such as mice, termites and roaches;</t>
    </r>
  </si>
  <si>
    <r>
      <rPr>
        <sz val="11"/>
        <rFont val="Calibri"/>
        <family val="2"/>
        <scheme val="minor"/>
      </rPr>
      <t>(a) positioning, operating and monitoring the performance of a variety of underground and
surface mining equipment including continuous mining,
cutting and channelling plant;</t>
    </r>
  </si>
  <si>
    <r>
      <rPr>
        <sz val="11"/>
        <rFont val="Calibri"/>
        <family val="2"/>
        <scheme val="minor"/>
      </rPr>
      <t>(b) setting up and operating drilling equipment in
underground and surface
mines and quarries;</t>
    </r>
  </si>
  <si>
    <r>
      <rPr>
        <sz val="11"/>
        <rFont val="Calibri"/>
        <family val="2"/>
        <scheme val="minor"/>
      </rPr>
      <t>(c) operating machinery and using hand or power tools to remove loosened rock, ore,
coal and other deposits;</t>
    </r>
  </si>
  <si>
    <r>
      <rPr>
        <sz val="11"/>
        <rFont val="Calibri"/>
        <family val="2"/>
        <scheme val="minor"/>
      </rPr>
      <t>(d) preparing, fitting and installing supports in underground workings
including rock bolts;</t>
    </r>
  </si>
  <si>
    <r>
      <rPr>
        <sz val="11"/>
        <rFont val="Calibri"/>
        <family val="2"/>
        <scheme val="minor"/>
      </rPr>
      <t>(e) operating machinery to open new shafts, drives, air
vents and rises;</t>
    </r>
  </si>
  <si>
    <r>
      <rPr>
        <sz val="11"/>
        <rFont val="Calibri"/>
        <family val="2"/>
        <scheme val="minor"/>
      </rPr>
      <t>(f) operating auxiliary plant such as pumps to expel air,
water and mud;</t>
    </r>
  </si>
  <si>
    <r>
      <rPr>
        <sz val="11"/>
        <rFont val="Calibri"/>
        <family val="2"/>
        <scheme val="minor"/>
      </rPr>
      <t>(g) performing minor maintenance and repairs and lubricating and cleaning plant,
machines and tools;</t>
    </r>
  </si>
  <si>
    <r>
      <rPr>
        <sz val="11"/>
        <rFont val="Calibri"/>
        <family val="2"/>
        <scheme val="minor"/>
      </rPr>
      <t>(h) completing records detailing operations completed
during shifts;</t>
    </r>
  </si>
  <si>
    <r>
      <rPr>
        <sz val="11"/>
        <rFont val="Calibri"/>
        <family val="2"/>
        <scheme val="minor"/>
      </rPr>
      <t>(a)  dismantling, moving and assembling drilling rigs and
auxiliary equipment;</t>
    </r>
  </si>
  <si>
    <r>
      <rPr>
        <sz val="11"/>
        <rFont val="Calibri"/>
        <family val="2"/>
        <scheme val="minor"/>
      </rPr>
      <t>(b)  assembling and dismantling pipes, casings and
drill heads, and replacing dysfunctional equipment;</t>
    </r>
  </si>
  <si>
    <r>
      <rPr>
        <sz val="11"/>
        <rFont val="Calibri"/>
        <family val="2"/>
        <scheme val="minor"/>
      </rPr>
      <t>(c)  operating controls to lower and raise drill pipes and
casings in and out of wells,
regulate pressure in the well and control the speed of tools;</t>
    </r>
  </si>
  <si>
    <r>
      <rPr>
        <sz val="11"/>
        <rFont val="Calibri"/>
        <family val="2"/>
        <scheme val="minor"/>
      </rPr>
      <t>(d)  preparing drilling fluid and checking the operation of
pumps to ensure adequate circulation of fluid in drill
pipes and wells;</t>
    </r>
  </si>
  <si>
    <r>
      <rPr>
        <sz val="11"/>
        <rFont val="Calibri"/>
        <family val="2"/>
        <scheme val="minor"/>
      </rPr>
      <t>(e)  monitoring gauges and other indicators, listening to
equipment to detect malfunctions and unusual well conditions, and determining
the need to change drilling or equipment;</t>
    </r>
  </si>
  <si>
    <r>
      <rPr>
        <sz val="11"/>
        <rFont val="Calibri"/>
        <family val="2"/>
        <scheme val="minor"/>
      </rPr>
      <t>(f)  maintaining, adjusting, repairing and cleaning drilling
rigs, hoisting and other machinery;</t>
    </r>
  </si>
  <si>
    <r>
      <rPr>
        <sz val="11"/>
        <rFont val="Calibri"/>
        <family val="2"/>
        <scheme val="minor"/>
      </rPr>
      <t>(g)  maintaining records of drilling and servicing
operations;</t>
    </r>
  </si>
  <si>
    <r>
      <rPr>
        <sz val="11"/>
        <rFont val="Calibri"/>
        <family val="2"/>
        <scheme val="minor"/>
      </rPr>
      <t>(h)  operating machines and tools to extract dust, cuttings and lost and broken drilling equipment from holes and
wells;</t>
    </r>
  </si>
  <si>
    <r>
      <rPr>
        <sz val="11"/>
        <rFont val="Calibri"/>
        <family val="2"/>
        <scheme val="minor"/>
      </rPr>
      <t>operating plant to produce cement, lime and clinker, including loading and unloading ingredients and operating continuous feed equipment such as pumps and
conveyors;</t>
    </r>
  </si>
  <si>
    <r>
      <rPr>
        <sz val="11"/>
        <rFont val="Calibri"/>
        <family val="2"/>
        <scheme val="minor"/>
      </rPr>
      <t>operating plant and machinery which assemble and fill moulds with concrete and artificial stone mixtures, remove castings from moulds
and finish surfaces of precast products;</t>
    </r>
  </si>
  <si>
    <r>
      <rPr>
        <sz val="11"/>
        <rFont val="Calibri"/>
        <family val="2"/>
        <scheme val="minor"/>
      </rPr>
      <t>checking production plans and specifications to determine and select materials, ingredients, procedures, components, settings and adjustments for extrusion,
moulding, mixing and compacting machines;</t>
    </r>
  </si>
  <si>
    <r>
      <rPr>
        <sz val="11"/>
        <rFont val="Calibri"/>
        <family val="2"/>
        <scheme val="minor"/>
      </rPr>
      <t>monitoring plant and machines during operation by observing instruments such as temperature and pressure gauges, adjusting controls and reporting malfunctions as
necessary;</t>
    </r>
  </si>
  <si>
    <r>
      <rPr>
        <sz val="11"/>
        <rFont val="Calibri"/>
        <family val="2"/>
        <scheme val="minor"/>
      </rPr>
      <t>setting up, preparing and adjusting mineral ore and metal processing machinery to carry out one step in the
overall mineral ore or metal processing operation;</t>
    </r>
  </si>
  <si>
    <r>
      <rPr>
        <sz val="11"/>
        <rFont val="Calibri"/>
        <family val="2"/>
        <scheme val="minor"/>
      </rPr>
      <t>operating single-function machinery to grind, separate, filter, mix, treat, cast, roll,
refine or otherwise process metals and mineral ores;</t>
    </r>
  </si>
  <si>
    <r>
      <rPr>
        <sz val="11"/>
        <rFont val="Calibri"/>
        <family val="2"/>
        <scheme val="minor"/>
      </rPr>
      <t>observing gauges, meters, computer printouts, video monitors and products to ensure the correct operation of machines and verify specified
processing conditions;</t>
    </r>
  </si>
  <si>
    <r>
      <rPr>
        <sz val="11"/>
        <rFont val="Calibri"/>
        <family val="2"/>
        <scheme val="minor"/>
      </rPr>
      <t>adjusting equipment, valves, pumps, controls and process
equipment;</t>
    </r>
  </si>
  <si>
    <r>
      <rPr>
        <sz val="11"/>
        <rFont val="Calibri"/>
        <family val="2"/>
        <scheme val="minor"/>
      </rPr>
      <t>controlling the preparation, measuring and feeding of raw
materials and processing agents into the plant;</t>
    </r>
  </si>
  <si>
    <r>
      <rPr>
        <sz val="11"/>
        <rFont val="Calibri"/>
        <family val="2"/>
        <scheme val="minor"/>
      </rPr>
      <t>controlling process start-up and shut-down, troubleshooting and
monitoring outside process equipment;</t>
    </r>
  </si>
  <si>
    <r>
      <rPr>
        <sz val="11"/>
        <rFont val="Calibri"/>
        <family val="2"/>
        <scheme val="minor"/>
      </rPr>
      <t>verifying equipment for malfunctions, carrying out routine operating tests and
arranging for maintenance;</t>
    </r>
  </si>
  <si>
    <r>
      <rPr>
        <sz val="11"/>
        <rFont val="Calibri"/>
        <family val="2"/>
        <scheme val="minor"/>
      </rPr>
      <t>analysing sample products, performing tests, recording data and writing production
logs.</t>
    </r>
  </si>
  <si>
    <r>
      <rPr>
        <sz val="11"/>
        <rFont val="Calibri"/>
        <family val="2"/>
        <scheme val="minor"/>
      </rPr>
      <t>(a)  operating and monitoring equipment which cleans metal
articles in preparation for electroplating, galvanizing, enamelling or similar
processes;</t>
    </r>
  </si>
  <si>
    <r>
      <rPr>
        <sz val="11"/>
        <rFont val="Calibri"/>
        <family val="2"/>
        <scheme val="minor"/>
      </rPr>
      <t>(c)  operating and monitoring hot-dip equipment used to coat
iron and steel products;</t>
    </r>
  </si>
  <si>
    <r>
      <rPr>
        <sz val="11"/>
        <rFont val="Calibri"/>
        <family val="2"/>
        <scheme val="minor"/>
      </rPr>
      <t>(d)  operating and monitoring machines which automatically
coat wire with non-ferrous metal;</t>
    </r>
  </si>
  <si>
    <r>
      <rPr>
        <sz val="11"/>
        <rFont val="Calibri"/>
        <family val="2"/>
        <scheme val="minor"/>
      </rPr>
      <t>(e)  operating and monitoring equipment used to spray molten metal or other substances onto metal
products to provide a protective or decorative coating or to build up worn or
damaged surfaces;</t>
    </r>
  </si>
  <si>
    <r>
      <rPr>
        <sz val="11"/>
        <rFont val="Calibri"/>
        <family val="2"/>
        <scheme val="minor"/>
      </rPr>
      <t>(g)  checking proper thickness of plating using micrometers,
callipers or other devices, recording data and writing production logs;</t>
    </r>
  </si>
  <si>
    <r>
      <rPr>
        <sz val="11"/>
        <rFont val="Calibri"/>
        <family val="2"/>
        <scheme val="minor"/>
      </rPr>
      <t>(h)  preparing and mixing metallizing solutions
according to formulas or specifications.</t>
    </r>
  </si>
  <si>
    <r>
      <rPr>
        <sz val="11"/>
        <rFont val="Calibri"/>
        <family val="2"/>
        <scheme val="minor"/>
      </rPr>
      <t>(a) setting up, starting, controlling, adjusting and
stopping machines and plant;</t>
    </r>
  </si>
  <si>
    <r>
      <rPr>
        <sz val="11"/>
        <rFont val="Calibri"/>
        <family val="2"/>
        <scheme val="minor"/>
      </rPr>
      <t>(b) monitoring reaction processes and transfers of products in conformity with
safety procedures;</t>
    </r>
  </si>
  <si>
    <r>
      <rPr>
        <sz val="11"/>
        <rFont val="Calibri"/>
        <family val="2"/>
        <scheme val="minor"/>
      </rPr>
      <t>(c) monitoring meters, gauges and electronic instrumentation on one or more chemical or
formulation units, such as mixers, kettles, blenders, dryers, or tabletting, encapsulation, granulation and
coating machines;</t>
    </r>
  </si>
  <si>
    <r>
      <rPr>
        <sz val="11"/>
        <rFont val="Calibri"/>
        <family val="2"/>
        <scheme val="minor"/>
      </rPr>
      <t>(f) cleaning and performing minor repairs to machines and
plant.</t>
    </r>
  </si>
  <si>
    <r>
      <rPr>
        <sz val="11"/>
        <rFont val="Calibri"/>
        <family val="2"/>
        <scheme val="minor"/>
      </rPr>
      <t>operating and monitoring machines which knead, mix and blend rubber and rubber compounds for further
processing;</t>
    </r>
  </si>
  <si>
    <r>
      <rPr>
        <sz val="11"/>
        <rFont val="Calibri"/>
        <family val="2"/>
        <scheme val="minor"/>
      </rPr>
      <t>operating and monitoring machines which extrude compounded rubber or shape
vulcanized rubber by moulding;</t>
    </r>
  </si>
  <si>
    <r>
      <rPr>
        <sz val="11"/>
        <rFont val="Calibri"/>
        <family val="2"/>
        <scheme val="minor"/>
      </rPr>
      <t>operating and monitoring machines which knead and
blend compounds to obtain plastic materials;</t>
    </r>
  </si>
  <si>
    <r>
      <rPr>
        <sz val="11"/>
        <rFont val="Calibri"/>
        <family val="2"/>
        <scheme val="minor"/>
      </rPr>
      <t>operating and monitoring machines which shape plastic materials by moulding, extrusion, blowing, cutting
and other means;</t>
    </r>
  </si>
  <si>
    <r>
      <rPr>
        <sz val="11"/>
        <rFont val="Calibri"/>
        <family val="2"/>
        <scheme val="minor"/>
      </rPr>
      <t>operating and monitoring machines which laminate plastics and plastic-
impregnated materials or produce fibreglass;</t>
    </r>
  </si>
  <si>
    <r>
      <rPr>
        <sz val="11"/>
        <rFont val="Calibri"/>
        <family val="2"/>
        <scheme val="minor"/>
      </rPr>
      <t>examining outputs for defects and conformity to
specifications;</t>
    </r>
  </si>
  <si>
    <r>
      <rPr>
        <sz val="11"/>
        <rFont val="Calibri"/>
        <family val="2"/>
        <scheme val="minor"/>
      </rPr>
      <t>making artificial eyes and contact lens discs, making and repairing spectacle frames and
plastic parts of orthopaedic appliances.</t>
    </r>
  </si>
  <si>
    <r>
      <rPr>
        <sz val="11"/>
        <rFont val="Calibri"/>
        <family val="2"/>
        <scheme val="minor"/>
      </rPr>
      <t>(a)  operating and monitoring machines which glue paper to
cardboard, cut it to the required length or cut and crease cardboard or
paperboard to form box blanks;</t>
    </r>
  </si>
  <si>
    <r>
      <rPr>
        <sz val="11"/>
        <rFont val="Calibri"/>
        <family val="2"/>
        <scheme val="minor"/>
      </rPr>
      <t>(b)  operating and monitoring pressing machines which form
drinking cups or other containers from paper,
paperboard or cardboard;</t>
    </r>
  </si>
  <si>
    <r>
      <rPr>
        <sz val="11"/>
        <rFont val="Calibri"/>
        <family val="2"/>
        <scheme val="minor"/>
      </rPr>
      <t>(c)  operating and monitoring machines which cut, fold and glue paper to make envelopes and paper bags, or which form
bags from other similar material.</t>
    </r>
  </si>
  <si>
    <r>
      <rPr>
        <sz val="11"/>
        <rFont val="Calibri"/>
        <family val="2"/>
        <scheme val="minor"/>
      </rPr>
      <t>(a)  setting up and operating batteries of automatic, link- type knitting machines to knit garments of specified pattern
and design;</t>
    </r>
  </si>
  <si>
    <r>
      <rPr>
        <sz val="11"/>
        <rFont val="Calibri"/>
        <family val="2"/>
        <scheme val="minor"/>
      </rPr>
      <t>(b)  threading yarn, thread and fabric through guides, needles
and rollers of machines for weaving, knitting or other
processing;</t>
    </r>
  </si>
  <si>
    <r>
      <rPr>
        <sz val="11"/>
        <rFont val="Calibri"/>
        <family val="2"/>
        <scheme val="minor"/>
      </rPr>
      <t>(c)  tending automatic looms that simultaneously weave pile
yarn, filling yarn and warp yarn material to produce carpets and rugs with various
coloured designs;</t>
    </r>
  </si>
  <si>
    <r>
      <rPr>
        <sz val="11"/>
        <rFont val="Calibri"/>
        <family val="2"/>
        <scheme val="minor"/>
      </rPr>
      <t>(e)  operating and monitoring large automatic multi-needle
machines to embroider material or to sew lengths of several layers of material to
make yard goods, quilts or mattress coverings;</t>
    </r>
  </si>
  <si>
    <r>
      <rPr>
        <sz val="11"/>
        <rFont val="Calibri"/>
        <family val="2"/>
        <scheme val="minor"/>
      </rPr>
      <t>(f)  tending circular knitting machines with automatic pattern controls that knit
seamless hose;</t>
    </r>
  </si>
  <si>
    <r>
      <rPr>
        <sz val="11"/>
        <rFont val="Calibri"/>
        <family val="2"/>
        <scheme val="minor"/>
      </rPr>
      <t>(g)  operating and monitoring knitting machines to knit
hosiery to shape of foot and leg;</t>
    </r>
  </si>
  <si>
    <r>
      <rPr>
        <sz val="11"/>
        <rFont val="Calibri"/>
        <family val="2"/>
        <scheme val="minor"/>
      </rPr>
      <t>(i)  operating and monitoring machines which seam
openings in toes of socks;</t>
    </r>
  </si>
  <si>
    <r>
      <rPr>
        <sz val="11"/>
        <rFont val="Calibri"/>
        <family val="2"/>
        <scheme val="minor"/>
      </rPr>
      <t>(j)  operating and monitoring crochet machines to knit lace,
trimming, etc. of desired patterns or design;</t>
    </r>
  </si>
  <si>
    <r>
      <rPr>
        <sz val="11"/>
        <rFont val="Calibri"/>
        <family val="2"/>
        <scheme val="minor"/>
      </rPr>
      <t>(k)  examining looms to determine causes of loom
stoppage, such as warp filling,
harness breaks or mechanical defects;</t>
    </r>
  </si>
  <si>
    <r>
      <rPr>
        <sz val="11"/>
        <rFont val="Calibri"/>
        <family val="2"/>
        <scheme val="minor"/>
      </rPr>
      <t>(l)  repairing or replacing worn or defective needles and other
components;</t>
    </r>
  </si>
  <si>
    <r>
      <rPr>
        <sz val="11"/>
        <rFont val="Calibri"/>
        <family val="2"/>
        <scheme val="minor"/>
      </rPr>
      <t>(m)  cleaning, oiling and lubricating machines, using air hoses, cleaning solutions, rags,
oil cans and/or grease guns.</t>
    </r>
  </si>
  <si>
    <r>
      <rPr>
        <sz val="11"/>
        <rFont val="Calibri"/>
        <family val="2"/>
        <scheme val="minor"/>
      </rPr>
      <t>(a)  operating or tending sewing machines to perform garment sewing operations such as joining, reinforcing,
seaming or decorating garments or garment parts;</t>
    </r>
  </si>
  <si>
    <r>
      <rPr>
        <sz val="11"/>
        <rFont val="Calibri"/>
        <family val="2"/>
        <scheme val="minor"/>
      </rPr>
      <t>(b)  attaching buttons, hooks, zippers, fasteners or other accessories to fabric, using feeding hoppers or clamp
holders;</t>
    </r>
  </si>
  <si>
    <r>
      <rPr>
        <sz val="11"/>
        <rFont val="Calibri"/>
        <family val="2"/>
        <scheme val="minor"/>
      </rPr>
      <t>(c)  tending semiautomatic sewing machines with multiple-sewing heads
controlled by pattern chains that embroider various designs
on garments;</t>
    </r>
  </si>
  <si>
    <r>
      <rPr>
        <sz val="11"/>
        <rFont val="Calibri"/>
        <family val="2"/>
        <scheme val="minor"/>
      </rPr>
      <t>(d)  operating machines such as single or double needle sergers and flat-bed felling machines to automatically join, reinforce or decorate
material or articles;</t>
    </r>
  </si>
  <si>
    <r>
      <rPr>
        <sz val="11"/>
        <rFont val="Calibri"/>
        <family val="2"/>
        <scheme val="minor"/>
      </rPr>
      <t>(e)  operating fur sewing machines to join fur pelt strips to required size and shape and
join pelts into garment sections or shells;</t>
    </r>
  </si>
  <si>
    <r>
      <rPr>
        <sz val="11"/>
        <rFont val="Calibri"/>
        <family val="2"/>
        <scheme val="minor"/>
      </rPr>
      <t>(f)  operating stitching machines to sew leather parts together for leather garments, handbags, gloves or similar
items;</t>
    </r>
  </si>
  <si>
    <r>
      <rPr>
        <sz val="11"/>
        <rFont val="Calibri"/>
        <family val="2"/>
        <scheme val="minor"/>
      </rPr>
      <t>(g)  monitoring machine operations to detect problems such as defective stitching, breaks in thread or machine
malfunctions;</t>
    </r>
  </si>
  <si>
    <r>
      <rPr>
        <sz val="11"/>
        <rFont val="Calibri"/>
        <family val="2"/>
        <scheme val="minor"/>
      </rPr>
      <t>(h)  performing equipment maintenance tasks such as
replacing needles.</t>
    </r>
  </si>
  <si>
    <r>
      <rPr>
        <sz val="11"/>
        <rFont val="Calibri"/>
        <family val="2"/>
        <scheme val="minor"/>
      </rPr>
      <t>(a)  sorting articles for cleaning according to the type,
colour, fabric and cleaning treatment required;</t>
    </r>
  </si>
  <si>
    <r>
      <rPr>
        <sz val="11"/>
        <rFont val="Calibri"/>
        <family val="2"/>
        <scheme val="minor"/>
      </rPr>
      <t>(b)  placing sorted articles into receptacles and onto conveyor belts for moving to repair and
cleaning areas;</t>
    </r>
  </si>
  <si>
    <r>
      <rPr>
        <sz val="11"/>
        <rFont val="Calibri"/>
        <family val="2"/>
        <scheme val="minor"/>
      </rPr>
      <t>(c)  checking and removing stains from garments,
replacing buttons and making
minor repairs;</t>
    </r>
  </si>
  <si>
    <r>
      <rPr>
        <sz val="11"/>
        <rFont val="Calibri"/>
        <family val="2"/>
        <scheme val="minor"/>
      </rPr>
      <t>(d)  loading and unloading washing machines, driers and
extractors;</t>
    </r>
  </si>
  <si>
    <r>
      <rPr>
        <sz val="11"/>
        <rFont val="Calibri"/>
        <family val="2"/>
        <scheme val="minor"/>
      </rPr>
      <t>(f)  smoothing articles and guiding them through cleaning
and pressing machines;</t>
    </r>
  </si>
  <si>
    <r>
      <rPr>
        <sz val="11"/>
        <rFont val="Calibri"/>
        <family val="2"/>
        <scheme val="minor"/>
      </rPr>
      <t>(g)  stopping and starting machines to untangle,
straighten and remove articles;</t>
    </r>
  </si>
  <si>
    <r>
      <rPr>
        <sz val="11"/>
        <rFont val="Calibri"/>
        <family val="2"/>
        <scheme val="minor"/>
      </rPr>
      <t>(h)  placing articles on shelves
and hanging articles for delivery and collection;</t>
    </r>
  </si>
  <si>
    <r>
      <rPr>
        <sz val="11"/>
        <rFont val="Calibri"/>
        <family val="2"/>
        <scheme val="minor"/>
      </rPr>
      <t>(a)  operating and monitoring machines which form and make hats out of textiles, fur
or leather;</t>
    </r>
  </si>
  <si>
    <r>
      <rPr>
        <sz val="11"/>
        <rFont val="Calibri"/>
        <family val="2"/>
        <scheme val="minor"/>
      </rPr>
      <t>(b)  operating and monitoring machines which make
miscellaneous articles such as braids or other trimmings;</t>
    </r>
  </si>
  <si>
    <r>
      <rPr>
        <sz val="11"/>
        <rFont val="Calibri"/>
        <family val="2"/>
        <scheme val="minor"/>
      </rPr>
      <t>(c)  operating and monitoring machines which fold cloth into
measured length;</t>
    </r>
  </si>
  <si>
    <r>
      <rPr>
        <sz val="11"/>
        <rFont val="Calibri"/>
        <family val="2"/>
        <scheme val="minor"/>
      </rPr>
      <t>(d)  operating and monitoring machines which wind thread,
twine or yarn into balls preparatory to shipping or further processing;</t>
    </r>
  </si>
  <si>
    <r>
      <rPr>
        <sz val="11"/>
        <rFont val="Calibri"/>
        <family val="2"/>
        <scheme val="minor"/>
      </rPr>
      <t>(e)  operating and monitoring machines to measure size of
pieces of leather.</t>
    </r>
  </si>
  <si>
    <r>
      <rPr>
        <sz val="11"/>
        <rFont val="Calibri"/>
        <family val="2"/>
        <scheme val="minor"/>
      </rPr>
      <t>operating machinery to crush, mix, malt, cook and ferment grains and fruits to produce beer, wines, malt liquors, vinegar, yeast and related
products;</t>
    </r>
  </si>
  <si>
    <r>
      <rPr>
        <sz val="11"/>
        <rFont val="Calibri"/>
        <family val="2"/>
        <scheme val="minor"/>
      </rPr>
      <t>attending equipment to make jam, toffee, cheese, processed cheese, margarine, syrup, ice, pasta, ice-cream, sausages, chocolate, maize starch, edible
fats and dextrin;</t>
    </r>
  </si>
  <si>
    <r>
      <rPr>
        <sz val="11"/>
        <rFont val="Calibri"/>
        <family val="2"/>
        <scheme val="minor"/>
      </rPr>
      <t>operating equipment to cool, heat, dry, roast, blanch, pasteurize, smoke, sterilize, freeze, evaporate and concentrate foodstuffs and
liquids used in food processing;</t>
    </r>
  </si>
  <si>
    <r>
      <rPr>
        <sz val="11"/>
        <rFont val="Calibri"/>
        <family val="2"/>
        <scheme val="minor"/>
      </rPr>
      <t>mixing, pulping, grinding, blending and separating foodstuffs and liquids with churning, pressing, sieving, grinding and filtering
equipment;</t>
    </r>
  </si>
  <si>
    <r>
      <rPr>
        <sz val="11"/>
        <rFont val="Calibri"/>
        <family val="2"/>
        <scheme val="minor"/>
      </rPr>
      <t>(a)  operating and monitoring machines that weigh, wrap,
seal and pack various products;</t>
    </r>
  </si>
  <si>
    <r>
      <rPr>
        <sz val="11"/>
        <rFont val="Calibri"/>
        <family val="2"/>
        <scheme val="minor"/>
      </rPr>
      <t>(b)  operating and monitoring machines that fill and seal tubes, bottles, cans, boxes,
bags and other containers with products such as food, beverages, paints, oils and
lotions;</t>
    </r>
  </si>
  <si>
    <r>
      <rPr>
        <sz val="11"/>
        <rFont val="Calibri"/>
        <family val="2"/>
        <scheme val="minor"/>
      </rPr>
      <t>(c)  operating and monitoring machines that, by gluing or
other methods, label products, packages and various containers.</t>
    </r>
  </si>
  <si>
    <r>
      <rPr>
        <sz val="11"/>
        <rFont val="Calibri"/>
        <family val="2"/>
        <scheme val="minor"/>
      </rPr>
      <t>assembling and installing prefabricated parts or components to form subassemblies, mechanical machinery, engines and
finished motor vehicles;</t>
    </r>
  </si>
  <si>
    <r>
      <rPr>
        <sz val="11"/>
        <rFont val="Calibri"/>
        <family val="2"/>
        <scheme val="minor"/>
      </rPr>
      <t>reviewing work orders, specifications, diagrams and drawings to determine
materials needed and assembly instructions;</t>
    </r>
  </si>
  <si>
    <r>
      <rPr>
        <sz val="11"/>
        <rFont val="Calibri"/>
        <family val="2"/>
        <scheme val="minor"/>
      </rPr>
      <t>Mechanical Machinery
Assemblers</t>
    </r>
  </si>
  <si>
    <r>
      <rPr>
        <sz val="11"/>
        <rFont val="Calibri"/>
        <family val="2"/>
        <scheme val="minor"/>
      </rPr>
      <t>assembling component parts and electrical and electronic systems and positioning, aligning and fastening units to assemblies, subassemblies or frames using hand or power tools, soldering and micro-
welding equipment.;</t>
    </r>
  </si>
  <si>
    <r>
      <rPr>
        <sz val="11"/>
        <rFont val="Calibri"/>
        <family val="2"/>
        <scheme val="minor"/>
      </rPr>
      <t>operating wire-coiling machines to wind wire coils used in electrical equipment and components such as registers, transformers, armature wires, electric
motors and generators;</t>
    </r>
  </si>
  <si>
    <r>
      <rPr>
        <sz val="11"/>
        <rFont val="Calibri"/>
        <family val="2"/>
        <scheme val="minor"/>
      </rPr>
      <t>inspecting and testing completed components and assemblies, wiring installations and circuits, and rejecting faulty assembly
components.</t>
    </r>
  </si>
  <si>
    <r>
      <rPr>
        <sz val="11"/>
        <rFont val="Calibri"/>
        <family val="2"/>
        <scheme val="minor"/>
      </rPr>
      <t>(a)  assembling component parts and positioning, aligning
and fastening units to assemblies, subassemblies or frames using hand or power
tools, soldering and micro- welding equipment;</t>
    </r>
  </si>
  <si>
    <r>
      <rPr>
        <sz val="11"/>
        <rFont val="Calibri"/>
        <family val="2"/>
        <scheme val="minor"/>
      </rPr>
      <t>(b)  reviewing work orders, specifications, diagrams and
drawings to determine materials needed and assembly
instructions;</t>
    </r>
  </si>
  <si>
    <r>
      <rPr>
        <sz val="11"/>
        <rFont val="Calibri"/>
        <family val="2"/>
        <scheme val="minor"/>
      </rPr>
      <t>Assemblers Not Elsewhere
Classified</t>
    </r>
  </si>
  <si>
    <r>
      <rPr>
        <sz val="11"/>
        <rFont val="Calibri"/>
        <family val="2"/>
        <scheme val="minor"/>
      </rPr>
      <t>(c)  recording production and operational data on specified
forms;</t>
    </r>
  </si>
  <si>
    <r>
      <rPr>
        <sz val="11"/>
        <rFont val="Calibri"/>
        <family val="2"/>
        <scheme val="minor"/>
      </rPr>
      <t>(d)  inspecting and testing components and completed
assemblies;</t>
    </r>
  </si>
  <si>
    <r>
      <rPr>
        <sz val="11"/>
        <rFont val="Calibri"/>
        <family val="2"/>
        <scheme val="minor"/>
      </rPr>
      <t>Assemblers Not
Elsewhere Classified</t>
    </r>
  </si>
  <si>
    <r>
      <rPr>
        <sz val="11"/>
        <rFont val="Calibri"/>
        <family val="2"/>
        <scheme val="minor"/>
      </rPr>
      <t>(a)  driving and tending motorcycles or motorized
tricycles to transport materials,
goods and passengers;</t>
    </r>
  </si>
  <si>
    <r>
      <rPr>
        <sz val="11"/>
        <rFont val="Calibri"/>
        <family val="2"/>
        <scheme val="minor"/>
      </rPr>
      <t>(c)  cleaning and washing vehicles as well as performing
maintenance and minor
repairs;</t>
    </r>
  </si>
  <si>
    <r>
      <rPr>
        <sz val="11"/>
        <rFont val="Calibri"/>
        <family val="2"/>
        <scheme val="minor"/>
      </rPr>
      <t>driving and tending cars, vans or small trucks to deliver mail
or goods;</t>
    </r>
  </si>
  <si>
    <r>
      <rPr>
        <sz val="11"/>
        <rFont val="Calibri"/>
        <family val="2"/>
        <scheme val="minor"/>
      </rPr>
      <t>operating equipment to facilitate the loading and unloading of physically
challenged passengers.</t>
    </r>
  </si>
  <si>
    <r>
      <rPr>
        <sz val="11"/>
        <rFont val="Calibri"/>
        <family val="2"/>
        <scheme val="minor"/>
      </rPr>
      <t>driving and tending motor buses, trolley buses or motor coaches to transport local or
long-distance passengers, mail or goods;</t>
    </r>
  </si>
  <si>
    <r>
      <rPr>
        <sz val="11"/>
        <rFont val="Calibri"/>
        <family val="2"/>
        <scheme val="minor"/>
      </rPr>
      <t>driving and tending street tramcars transporting
passengers;</t>
    </r>
  </si>
  <si>
    <r>
      <rPr>
        <sz val="11"/>
        <rFont val="Calibri"/>
        <family val="2"/>
        <scheme val="minor"/>
      </rPr>
      <t>opening and closing doors
before or after passengers board or alight;</t>
    </r>
  </si>
  <si>
    <r>
      <rPr>
        <sz val="11"/>
        <rFont val="Calibri"/>
        <family val="2"/>
        <scheme val="minor"/>
      </rPr>
      <t>controlling lighting, heating and ventilation on buses and
trams;</t>
    </r>
  </si>
  <si>
    <r>
      <rPr>
        <sz val="11"/>
        <rFont val="Calibri"/>
        <family val="2"/>
        <scheme val="minor"/>
      </rPr>
      <t>collecting fares or verifying that passengers have the
necessary ticket.</t>
    </r>
  </si>
  <si>
    <r>
      <rPr>
        <sz val="11"/>
        <rFont val="Calibri"/>
        <family val="2"/>
        <scheme val="minor"/>
      </rPr>
      <t>driving and tending a heavy motor vehicle, such as a lorry with or without trailer or a dump-truck, to transport goods, liquids or heavy
materials over short or long distances;</t>
    </r>
  </si>
  <si>
    <r>
      <rPr>
        <sz val="11"/>
        <rFont val="Calibri"/>
        <family val="2"/>
        <scheme val="minor"/>
      </rPr>
      <t>assisting with or carrying out loading or unloading operations, using various
lifting or tipping devices;</t>
    </r>
  </si>
  <si>
    <r>
      <rPr>
        <sz val="11"/>
        <rFont val="Calibri"/>
        <family val="2"/>
        <scheme val="minor"/>
      </rPr>
      <t>carrying out minor maintenance to vehicles, and
arranging major maintenance and repairs;</t>
    </r>
  </si>
  <si>
    <r>
      <rPr>
        <sz val="11"/>
        <rFont val="Calibri"/>
        <family val="2"/>
        <scheme val="minor"/>
      </rPr>
      <t>estimating weights to comply with load limitations, and ensuring the safe distribution
of weights.</t>
    </r>
  </si>
  <si>
    <r>
      <rPr>
        <sz val="11"/>
        <rFont val="Calibri"/>
        <family val="2"/>
        <scheme val="minor"/>
      </rPr>
      <t>driving and tending tractor- drawn or self-propelled special-purpose farm machinery to plough land and
sow, fertilize, cultivate and harvest crops;</t>
    </r>
  </si>
  <si>
    <r>
      <rPr>
        <sz val="11"/>
        <rFont val="Calibri"/>
        <family val="2"/>
        <scheme val="minor"/>
      </rPr>
      <t>driving and tending tractor- drawn or self-propelled special-purpose forestry machinery to clear land, plant, harvest and carry trees and
timber or perform other forestry operations;</t>
    </r>
  </si>
  <si>
    <r>
      <rPr>
        <sz val="11"/>
        <rFont val="Calibri"/>
        <family val="2"/>
        <scheme val="minor"/>
      </rPr>
      <t>Mobile Farm and Forestry Plant
Operators</t>
    </r>
  </si>
  <si>
    <r>
      <rPr>
        <sz val="11"/>
        <rFont val="Calibri"/>
        <family val="2"/>
        <scheme val="minor"/>
      </rPr>
      <t>operating attachments to lift, swing, release and sort trees and logs, and operating auxiliary plant such as chipping machines and log
splitting machines</t>
    </r>
  </si>
  <si>
    <r>
      <rPr>
        <sz val="11"/>
        <rFont val="Calibri"/>
        <family val="2"/>
        <scheme val="minor"/>
      </rPr>
      <t>feeding felled trees into processors to strip limbs and cut into logs and loading logs onto stockpiles and into
trucks;</t>
    </r>
  </si>
  <si>
    <r>
      <rPr>
        <sz val="11"/>
        <rFont val="Calibri"/>
        <family val="2"/>
        <scheme val="minor"/>
      </rPr>
      <t>operating and monitoring excavating machinery equipped with moveable shovels, grab-buckets or dragline buckets, to excavate and move earth, rock, sand,
gravel or similar materials;</t>
    </r>
  </si>
  <si>
    <r>
      <rPr>
        <sz val="11"/>
        <rFont val="Calibri"/>
        <family val="2"/>
        <scheme val="minor"/>
      </rPr>
      <t>operating and monitoring machinery for digging trenches for sewers, drainage,
water, oil, gas or similar pipelines;</t>
    </r>
  </si>
  <si>
    <r>
      <rPr>
        <sz val="11"/>
        <rFont val="Calibri"/>
        <family val="2"/>
        <scheme val="minor"/>
      </rPr>
      <t>operating and monitoring machinery equipped with concave steel blades to move, distribute and level earth, sand, snow and other
materials;</t>
    </r>
  </si>
  <si>
    <r>
      <rPr>
        <sz val="11"/>
        <rFont val="Calibri"/>
        <family val="2"/>
        <scheme val="minor"/>
      </rPr>
      <t>operating and monitoring equipment to remove sand,
gravel and mud from bottom of body of water;</t>
    </r>
  </si>
  <si>
    <r>
      <rPr>
        <sz val="11"/>
        <rFont val="Calibri"/>
        <family val="2"/>
        <scheme val="minor"/>
      </rPr>
      <t>operating and monitoring machines for hammering
wooden, concrete or steel piles into ground;</t>
    </r>
  </si>
  <si>
    <r>
      <rPr>
        <sz val="11"/>
        <rFont val="Calibri"/>
        <family val="2"/>
        <scheme val="minor"/>
      </rPr>
      <t>operating and monitoring power rollers to compact and smooth layers of materials in making roads and pavements,
and similar work;</t>
    </r>
  </si>
  <si>
    <r>
      <rPr>
        <sz val="11"/>
        <rFont val="Calibri"/>
        <family val="2"/>
        <scheme val="minor"/>
      </rPr>
      <t>operating and monitoring machines which spread and smooth concrete or bituminous or tar preparations to construct roadways, roads or similar
surfaces.</t>
    </r>
  </si>
  <si>
    <r>
      <rPr>
        <sz val="11"/>
        <rFont val="Calibri"/>
        <family val="2"/>
        <scheme val="minor"/>
      </rPr>
      <t>operating and monitoring stationary or mobile cranes by raising and lowering jibs and booms to lift, move, position or place equipment and
materials;</t>
    </r>
  </si>
  <si>
    <r>
      <rPr>
        <sz val="11"/>
        <rFont val="Calibri"/>
        <family val="2"/>
        <scheme val="minor"/>
      </rPr>
      <t>operating and monitoring equipment for hoisting, lowering or raising workers
and materials on construction sites or in mines;</t>
    </r>
  </si>
  <si>
    <r>
      <rPr>
        <sz val="11"/>
        <rFont val="Calibri"/>
        <family val="2"/>
        <scheme val="minor"/>
      </rPr>
      <t>Crane, Hoist and Related Plant
Operators</t>
    </r>
  </si>
  <si>
    <r>
      <rPr>
        <sz val="11"/>
        <rFont val="Calibri"/>
        <family val="2"/>
        <scheme val="minor"/>
      </rPr>
      <t>operating and monitoring machinery used to haul ferries or barges with goods,
passengers and vehicles across short stretches of water;</t>
    </r>
  </si>
  <si>
    <r>
      <rPr>
        <sz val="11"/>
        <rFont val="Calibri"/>
        <family val="2"/>
        <scheme val="minor"/>
      </rPr>
      <t>operating and monitoring machinery to open and close bridges for the passage of road
and water traffic;</t>
    </r>
  </si>
  <si>
    <r>
      <rPr>
        <sz val="11"/>
        <rFont val="Calibri"/>
        <family val="2"/>
        <scheme val="minor"/>
      </rPr>
      <t>operating and monitoring cranes equipped with dredging
attachments to dredge waterways and other areas;</t>
    </r>
  </si>
  <si>
    <r>
      <rPr>
        <sz val="11"/>
        <rFont val="Calibri"/>
        <family val="2"/>
        <scheme val="minor"/>
      </rPr>
      <t>operating cranes mounted on boats or barges to lift, move and place equipment and
materials.</t>
    </r>
  </si>
  <si>
    <r>
      <rPr>
        <sz val="11"/>
        <rFont val="Calibri"/>
        <family val="2"/>
        <scheme val="minor"/>
      </rPr>
      <t>operating and monitoring lifting truck and similar equipment to load and unload, transport, lift and stack goods and pallets in terminals, harbours, warehouses, factories and other
establishments;</t>
    </r>
  </si>
  <si>
    <r>
      <rPr>
        <sz val="11"/>
        <rFont val="Calibri"/>
        <family val="2"/>
        <scheme val="minor"/>
      </rPr>
      <t>positioning lifting devices under, over, or around loaded pallets, skids and boxes, and securing material or products for transport to designated
areas;</t>
    </r>
  </si>
  <si>
    <r>
      <rPr>
        <sz val="11"/>
        <rFont val="Calibri"/>
        <family val="2"/>
        <scheme val="minor"/>
      </rPr>
      <t>performing routine
maintenance on vehicles and equipment;</t>
    </r>
  </si>
  <si>
    <r>
      <rPr>
        <sz val="11"/>
        <rFont val="Calibri"/>
        <family val="2"/>
        <scheme val="minor"/>
      </rPr>
      <t>keeping records of work undertaken and breakdowns of
vehicles.</t>
    </r>
  </si>
  <si>
    <r>
      <rPr>
        <sz val="11"/>
        <rFont val="Calibri"/>
        <family val="2"/>
        <scheme val="minor"/>
      </rPr>
      <t>(a)  standing look-out watches at sea and when entering or
leaving harbour or other narrow waters;</t>
    </r>
  </si>
  <si>
    <r>
      <rPr>
        <sz val="11"/>
        <rFont val="Calibri"/>
        <family val="2"/>
        <scheme val="minor"/>
      </rPr>
      <t>(c)  handling ropes and wires, and operating mooring
equipment;</t>
    </r>
  </si>
  <si>
    <r>
      <rPr>
        <sz val="11"/>
        <rFont val="Calibri"/>
        <family val="2"/>
        <scheme val="minor"/>
      </rPr>
      <t>(d)  maintaining and, in some cases, operating ships’ equipment, cargo gear,
rigging, lifesaving and firefighting appliances;</t>
    </r>
  </si>
  <si>
    <r>
      <rPr>
        <sz val="11"/>
        <rFont val="Calibri"/>
        <family val="2"/>
        <scheme val="minor"/>
      </rPr>
      <t>(e)  performing deck and hull cleaning, scraping, painting and other maintenance duties
as required;</t>
    </r>
  </si>
  <si>
    <r>
      <rPr>
        <sz val="11"/>
        <rFont val="Calibri"/>
        <family val="2"/>
        <scheme val="minor"/>
      </rPr>
      <t>(f)  breaking out, rigging and stowing cargo-handling gear, stationary rigging and running
gear.</t>
    </r>
  </si>
  <si>
    <r>
      <rPr>
        <sz val="11"/>
        <rFont val="Calibri"/>
        <family val="2"/>
        <scheme val="minor"/>
      </rPr>
      <t>sweeping, vacuum cleaning, polishing and washing floors and furniture, or washing
windows and other fixtures;</t>
    </r>
  </si>
  <si>
    <r>
      <rPr>
        <sz val="11"/>
        <rFont val="Calibri"/>
        <family val="2"/>
        <scheme val="minor"/>
      </rPr>
      <t>(a)  laundering and pressing linen, clothing, fabrics and similar articles by hand in a
laundry or other establishment;</t>
    </r>
  </si>
  <si>
    <r>
      <rPr>
        <sz val="11"/>
        <rFont val="Calibri"/>
        <family val="2"/>
        <scheme val="minor"/>
      </rPr>
      <t>(b)  cleaning, by hand and with chemical solutions,
clothing, fabrics, leather goods and similar articles, in a dry- cleaning or other
establishment;</t>
    </r>
  </si>
  <si>
    <r>
      <rPr>
        <sz val="11"/>
        <rFont val="Calibri"/>
        <family val="2"/>
        <scheme val="minor"/>
      </rPr>
      <t>(d)  placing articles on shelves and hanging articles for
delivery and collection.</t>
    </r>
  </si>
  <si>
    <r>
      <rPr>
        <sz val="11"/>
        <rFont val="Calibri"/>
        <family val="2"/>
        <scheme val="minor"/>
      </rPr>
      <t>(a)  cleaning, washing and polishing cars and other vehicles, by hand or using
hand-held power tools;</t>
    </r>
  </si>
  <si>
    <r>
      <rPr>
        <sz val="11"/>
        <rFont val="Calibri"/>
        <family val="2"/>
        <scheme val="minor"/>
      </rPr>
      <t>(b)  vacuuming vehicle
interiors and dry-cleaning carpets and upholstery;</t>
    </r>
  </si>
  <si>
    <r>
      <rPr>
        <sz val="11"/>
        <rFont val="Calibri"/>
        <family val="2"/>
        <scheme val="minor"/>
      </rPr>
      <t>(c)  applying cleaning agents to remove stains from vehicle
exteriors and interiors;</t>
    </r>
  </si>
  <si>
    <r>
      <rPr>
        <sz val="11"/>
        <rFont val="Calibri"/>
        <family val="2"/>
        <scheme val="minor"/>
      </rPr>
      <t>(a)  cleaning carpets and upholstered furniture using cleaning machines and their
attachments;</t>
    </r>
  </si>
  <si>
    <r>
      <rPr>
        <sz val="11"/>
        <rFont val="Calibri"/>
        <family val="2"/>
        <scheme val="minor"/>
      </rPr>
      <t>(b)  selecting and applying cleaning agents to remove
stains from carpets;</t>
    </r>
  </si>
  <si>
    <r>
      <rPr>
        <sz val="11"/>
        <rFont val="Calibri"/>
        <family val="2"/>
        <scheme val="minor"/>
      </rPr>
      <t>(c)  treating carpets with soil- repellent chemicals and
deodorants, and treating for
pests;</t>
    </r>
  </si>
  <si>
    <r>
      <rPr>
        <sz val="11"/>
        <rFont val="Calibri"/>
        <family val="2"/>
        <scheme val="minor"/>
      </rPr>
      <t>(d)  cleaning stone walls, metal surfaces and fascias using high-pressure water
cleaners and solvents;</t>
    </r>
  </si>
  <si>
    <r>
      <rPr>
        <sz val="11"/>
        <rFont val="Calibri"/>
        <family val="2"/>
        <scheme val="minor"/>
      </rPr>
      <t>(e)  applying chemicals and high-pressure cleaning
methods to remove micro-
organisms from water and filtration systems;</t>
    </r>
  </si>
  <si>
    <r>
      <rPr>
        <sz val="11"/>
        <rFont val="Calibri"/>
        <family val="2"/>
        <scheme val="minor"/>
      </rPr>
      <t>(f)   using wet vacuums and other suction equipment to remove scale, accumulated dirt and other deposits from swimming pools, cooling
tower components and drains.</t>
    </r>
  </si>
  <si>
    <r>
      <rPr>
        <sz val="11"/>
        <rFont val="Calibri"/>
        <family val="2"/>
        <scheme val="minor"/>
      </rPr>
      <t>loading and unloading supplies, produce and other
materials;</t>
    </r>
  </si>
  <si>
    <r>
      <rPr>
        <sz val="11"/>
        <rFont val="Calibri"/>
        <family val="2"/>
        <scheme val="minor"/>
      </rPr>
      <t>raking, pitching and stacking
straw, hay and similar materials;</t>
    </r>
  </si>
  <si>
    <r>
      <rPr>
        <sz val="11"/>
        <rFont val="Calibri"/>
        <family val="2"/>
        <scheme val="minor"/>
      </rPr>
      <t>watering, thinning and
weeding crops by hand or using hand tools;</t>
    </r>
  </si>
  <si>
    <r>
      <rPr>
        <sz val="11"/>
        <rFont val="Calibri"/>
        <family val="2"/>
        <scheme val="minor"/>
      </rPr>
      <t>grading, sorting, bunching and packing produce into
containers;</t>
    </r>
  </si>
  <si>
    <r>
      <rPr>
        <sz val="11"/>
        <rFont val="Calibri"/>
        <family val="2"/>
        <scheme val="minor"/>
      </rPr>
      <t>performing minor repairs on
fixtures, buildings, equipment and fences.</t>
    </r>
  </si>
  <si>
    <r>
      <rPr>
        <sz val="11"/>
        <rFont val="Calibri"/>
        <family val="2"/>
        <scheme val="minor"/>
      </rPr>
      <t>(a)  digging and shovelling to clear ditches or for other
purposes;</t>
    </r>
  </si>
  <si>
    <r>
      <rPr>
        <sz val="11"/>
        <rFont val="Calibri"/>
        <family val="2"/>
        <scheme val="minor"/>
      </rPr>
      <t>(b)  loading and unloading supplies, produce and other
materials;</t>
    </r>
  </si>
  <si>
    <r>
      <rPr>
        <sz val="11"/>
        <rFont val="Calibri"/>
        <family val="2"/>
        <scheme val="minor"/>
      </rPr>
      <t>(c)  feeding, watering and cleaning animals and keeping
their quarters clean;</t>
    </r>
  </si>
  <si>
    <r>
      <rPr>
        <sz val="11"/>
        <rFont val="Calibri"/>
        <family val="2"/>
        <scheme val="minor"/>
      </rPr>
      <t>(e)  assisting with maintaining the health and welfare of
livestock;</t>
    </r>
  </si>
  <si>
    <r>
      <rPr>
        <sz val="11"/>
        <rFont val="Calibri"/>
        <family val="2"/>
        <scheme val="minor"/>
      </rPr>
      <t>(f)  assisting with herding, droving and separating livestock for milking,
shearing, transportation or
slaughter, and between pastures;</t>
    </r>
  </si>
  <si>
    <r>
      <rPr>
        <sz val="11"/>
        <rFont val="Calibri"/>
        <family val="2"/>
        <scheme val="minor"/>
      </rPr>
      <t>(h)  raking, pitching, stacking and storing hay, straw and
other types of animal feed and bedding;</t>
    </r>
  </si>
  <si>
    <r>
      <rPr>
        <sz val="11"/>
        <rFont val="Calibri"/>
        <family val="2"/>
        <scheme val="minor"/>
      </rPr>
      <t>(i)  grading, sorting and packing produce into
containers;</t>
    </r>
  </si>
  <si>
    <r>
      <rPr>
        <sz val="11"/>
        <rFont val="Calibri"/>
        <family val="2"/>
        <scheme val="minor"/>
      </rPr>
      <t>(j)  performing minor repairs on fixtures, buildings,
equipment and fences.</t>
    </r>
  </si>
  <si>
    <r>
      <rPr>
        <sz val="11"/>
        <rFont val="Calibri"/>
        <family val="2"/>
        <scheme val="minor"/>
      </rPr>
      <t>Mixed Crop and Livestock Farm
Labourers</t>
    </r>
  </si>
  <si>
    <r>
      <rPr>
        <sz val="11"/>
        <rFont val="Calibri"/>
        <family val="2"/>
        <scheme val="minor"/>
      </rPr>
      <t>Mixed Crop and
Livestock Farm Labourers</t>
    </r>
  </si>
  <si>
    <r>
      <rPr>
        <sz val="11"/>
        <rFont val="Calibri"/>
        <family val="2"/>
        <scheme val="minor"/>
      </rPr>
      <t>(c)  raking, pitching and stacking straw, hay and similar
materials;</t>
    </r>
  </si>
  <si>
    <r>
      <rPr>
        <sz val="11"/>
        <rFont val="Calibri"/>
        <family val="2"/>
        <scheme val="minor"/>
      </rPr>
      <t>(d)  watering, thinning and weeding crops by hand or
using hand tools;</t>
    </r>
  </si>
  <si>
    <r>
      <rPr>
        <sz val="11"/>
        <rFont val="Calibri"/>
        <family val="2"/>
        <scheme val="minor"/>
      </rPr>
      <t>(e)  picking fruit, nuts, vegetables and other crops and
collecting eggs;</t>
    </r>
  </si>
  <si>
    <r>
      <rPr>
        <sz val="11"/>
        <rFont val="Calibri"/>
        <family val="2"/>
        <scheme val="minor"/>
      </rPr>
      <t>(f)  planting and harvesting field crops such as rice, by
hand;</t>
    </r>
  </si>
  <si>
    <r>
      <rPr>
        <sz val="11"/>
        <rFont val="Calibri"/>
        <family val="2"/>
        <scheme val="minor"/>
      </rPr>
      <t>(g)  feeding, watering and cleaning animals and keeping
their quarters clean;</t>
    </r>
  </si>
  <si>
    <r>
      <rPr>
        <sz val="11"/>
        <rFont val="Calibri"/>
        <family val="2"/>
        <scheme val="minor"/>
      </rPr>
      <t>(i)  assisting with herding, droving and separating livestock for milking,
shearing, transportation or
slaughter, and between pastures;</t>
    </r>
  </si>
  <si>
    <r>
      <rPr>
        <sz val="11"/>
        <rFont val="Calibri"/>
        <family val="2"/>
        <scheme val="minor"/>
      </rPr>
      <t>(j)  grading, sorting, bunching and packing produce into
containers;</t>
    </r>
  </si>
  <si>
    <r>
      <rPr>
        <sz val="11"/>
        <rFont val="Calibri"/>
        <family val="2"/>
        <scheme val="minor"/>
      </rPr>
      <t>(k)  performing minor repairs on fixtures, buildings,
equipment and fences.</t>
    </r>
  </si>
  <si>
    <r>
      <rPr>
        <sz val="11"/>
        <rFont val="Calibri"/>
        <family val="2"/>
        <scheme val="minor"/>
      </rPr>
      <t>(a)  loading, unloading and moving supplies, produce and
equipment;</t>
    </r>
  </si>
  <si>
    <r>
      <rPr>
        <sz val="11"/>
        <rFont val="Calibri"/>
        <family val="2"/>
        <scheme val="minor"/>
      </rPr>
      <t>Garden and Horticultural
Labourers</t>
    </r>
  </si>
  <si>
    <r>
      <rPr>
        <sz val="11"/>
        <rFont val="Calibri"/>
        <family val="2"/>
        <scheme val="minor"/>
      </rPr>
      <t>(b)  preparing garden sites and plots using hand tools and
simple machines;</t>
    </r>
  </si>
  <si>
    <r>
      <rPr>
        <sz val="11"/>
        <rFont val="Calibri"/>
        <family val="2"/>
        <scheme val="minor"/>
      </rPr>
      <t>(c)  assisting with planting and transplanting flowers, shrubs,
trees and lawns;</t>
    </r>
  </si>
  <si>
    <r>
      <rPr>
        <sz val="11"/>
        <rFont val="Calibri"/>
        <family val="2"/>
        <scheme val="minor"/>
      </rPr>
      <t>(d)  maintaining gardens by watering, weeding and
mowing lawns;</t>
    </r>
  </si>
  <si>
    <r>
      <rPr>
        <sz val="11"/>
        <rFont val="Calibri"/>
        <family val="2"/>
        <scheme val="minor"/>
      </rPr>
      <t>Garden and
Horticultural Labourers</t>
    </r>
  </si>
  <si>
    <r>
      <rPr>
        <sz val="11"/>
        <rFont val="Calibri"/>
        <family val="2"/>
        <scheme val="minor"/>
      </rPr>
      <t>(f)  assisting with propagating, planting and potting seeds,
bulbs and cuttings;</t>
    </r>
  </si>
  <si>
    <r>
      <rPr>
        <sz val="11"/>
        <rFont val="Calibri"/>
        <family val="2"/>
        <scheme val="minor"/>
      </rPr>
      <t>(c)  clearing undergrowth in forest stands and thinning
young plantations;</t>
    </r>
  </si>
  <si>
    <r>
      <rPr>
        <sz val="11"/>
        <rFont val="Calibri"/>
        <family val="2"/>
        <scheme val="minor"/>
      </rPr>
      <t>(e)  removing major branches and tree tops, trimming
branches and sawing trunks
into logs;</t>
    </r>
  </si>
  <si>
    <r>
      <rPr>
        <sz val="11"/>
        <rFont val="Calibri"/>
        <family val="2"/>
        <scheme val="minor"/>
      </rPr>
      <t>(f)  operating and maintaining manual and hand-held
machine saws to fell trees and cut felled trees and branches
into logs;</t>
    </r>
  </si>
  <si>
    <r>
      <rPr>
        <sz val="11"/>
        <rFont val="Calibri"/>
        <family val="2"/>
        <scheme val="minor"/>
      </rPr>
      <t>(h)  performing minor repairs and maintenance of forest
roads, buildings, facilities and
equipment.</t>
    </r>
  </si>
  <si>
    <r>
      <rPr>
        <sz val="11"/>
        <rFont val="Calibri"/>
        <family val="2"/>
        <scheme val="minor"/>
      </rPr>
      <t>Fishery and Aquaculture
Labourers</t>
    </r>
  </si>
  <si>
    <r>
      <rPr>
        <sz val="11"/>
        <rFont val="Calibri"/>
        <family val="2"/>
        <scheme val="minor"/>
      </rPr>
      <t>cleaning the sea-bed and feeding fish and molluscs that
are being cultivated;</t>
    </r>
  </si>
  <si>
    <r>
      <rPr>
        <sz val="11"/>
        <rFont val="Calibri"/>
        <family val="2"/>
        <scheme val="minor"/>
      </rPr>
      <t>gathering seaweed, sea mosses, clams and other
molluscs;</t>
    </r>
  </si>
  <si>
    <r>
      <rPr>
        <sz val="11"/>
        <rFont val="Calibri"/>
        <family val="2"/>
        <scheme val="minor"/>
      </rPr>
      <t>Fishery and
Aquaculture Labourers</t>
    </r>
  </si>
  <si>
    <r>
      <rPr>
        <sz val="11"/>
        <rFont val="Calibri"/>
        <family val="2"/>
        <scheme val="minor"/>
      </rPr>
      <t>preparing nets, lines and other
fishing tackle and other deck equipment;</t>
    </r>
  </si>
  <si>
    <r>
      <rPr>
        <sz val="11"/>
        <rFont val="Calibri"/>
        <family val="2"/>
        <scheme val="minor"/>
      </rPr>
      <t>cleaning, sorting and packing fish and seafood in ice and salt, and stowing catch in
hold;</t>
    </r>
  </si>
  <si>
    <r>
      <rPr>
        <sz val="11"/>
        <rFont val="Calibri"/>
        <family val="2"/>
        <scheme val="minor"/>
      </rPr>
      <t>(a)  assisting miners and quarriers in maintaining
machinery, equipment, and mine and quarry installations;</t>
    </r>
  </si>
  <si>
    <r>
      <rPr>
        <sz val="11"/>
        <rFont val="Calibri"/>
        <family val="2"/>
        <scheme val="minor"/>
      </rPr>
      <t>(b)  assembling and dismantling mining
equipment;</t>
    </r>
  </si>
  <si>
    <r>
      <rPr>
        <sz val="11"/>
        <rFont val="Calibri"/>
        <family val="2"/>
        <scheme val="minor"/>
      </rPr>
      <t>Mining and Quarrying
Labourers</t>
    </r>
  </si>
  <si>
    <r>
      <rPr>
        <sz val="11"/>
        <rFont val="Calibri"/>
        <family val="2"/>
        <scheme val="minor"/>
      </rPr>
      <t>(c)  removing tunnel supports from disused workings in
mines and quarries;</t>
    </r>
  </si>
  <si>
    <r>
      <rPr>
        <sz val="11"/>
        <rFont val="Calibri"/>
        <family val="2"/>
        <scheme val="minor"/>
      </rPr>
      <t>(d)  removing dangerous projections from mine and
quarry workings;</t>
    </r>
  </si>
  <si>
    <r>
      <rPr>
        <sz val="11"/>
        <rFont val="Calibri"/>
        <family val="2"/>
        <scheme val="minor"/>
      </rPr>
      <t>(e)  removing waste and serviceable materials and equipment from work areas after extraction activities have been completed, and clearing
rock and mineral spills;</t>
    </r>
  </si>
  <si>
    <r>
      <rPr>
        <sz val="11"/>
        <rFont val="Calibri"/>
        <family val="2"/>
        <scheme val="minor"/>
      </rPr>
      <t>(f)  cleaning machinery, equipment, tools, roadways
and haulage tracks;</t>
    </r>
  </si>
  <si>
    <r>
      <rPr>
        <sz val="11"/>
        <rFont val="Calibri"/>
        <family val="2"/>
        <scheme val="minor"/>
      </rPr>
      <t>(g)  sorting, loading, unloading, stacking and
storing tools, materials and
supplies used by other mine workers.</t>
    </r>
  </si>
  <si>
    <r>
      <rPr>
        <sz val="11"/>
        <rFont val="Calibri"/>
        <family val="2"/>
        <scheme val="minor"/>
      </rPr>
      <t>(a)  digging and filling holes and trenches using hand-held
tools;</t>
    </r>
  </si>
  <si>
    <r>
      <rPr>
        <sz val="11"/>
        <rFont val="Calibri"/>
        <family val="2"/>
        <scheme val="minor"/>
      </rPr>
      <t>(c)  trimming and cutting rocks and concrete and
bitumen surfaces using jack- hammers;</t>
    </r>
  </si>
  <si>
    <r>
      <rPr>
        <sz val="11"/>
        <rFont val="Calibri"/>
        <family val="2"/>
        <scheme val="minor"/>
      </rPr>
      <t>(d)  loading and unloading construction materials, excavated material and
equipment and transporting them around construction sites using wheelbarrows and hand
trucks;</t>
    </r>
  </si>
  <si>
    <r>
      <rPr>
        <sz val="11"/>
        <rFont val="Calibri"/>
        <family val="2"/>
        <scheme val="minor"/>
      </rPr>
      <t>(a)  cleaning used building bricks and doing other simple
work on demolition sites;</t>
    </r>
  </si>
  <si>
    <r>
      <rPr>
        <sz val="11"/>
        <rFont val="Calibri"/>
        <family val="2"/>
        <scheme val="minor"/>
      </rPr>
      <t>(c)  digging and filling holes and trenches using hand-held
tools;</t>
    </r>
  </si>
  <si>
    <r>
      <rPr>
        <sz val="11"/>
        <rFont val="Calibri"/>
        <family val="2"/>
        <scheme val="minor"/>
      </rPr>
      <t>Building Construction
Labourers</t>
    </r>
  </si>
  <si>
    <r>
      <rPr>
        <sz val="11"/>
        <rFont val="Calibri"/>
        <family val="2"/>
        <scheme val="minor"/>
      </rPr>
      <t>(e)  loading and unloading construction materials, excavated material and
equipment and transporting them around construction sites using wheelbarrows, hods and
hand trucks;</t>
    </r>
  </si>
  <si>
    <r>
      <rPr>
        <sz val="11"/>
        <rFont val="Calibri"/>
        <family val="2"/>
        <scheme val="minor"/>
      </rPr>
      <t>weighing, wrapping, sealing
and packing materials and various products by hand;</t>
    </r>
  </si>
  <si>
    <r>
      <rPr>
        <sz val="11"/>
        <rFont val="Calibri"/>
        <family val="2"/>
        <scheme val="minor"/>
      </rPr>
      <t>labelling products, packages and various containers by
hand.</t>
    </r>
  </si>
  <si>
    <r>
      <rPr>
        <sz val="11"/>
        <rFont val="Calibri"/>
        <family val="2"/>
        <scheme val="minor"/>
      </rPr>
      <t>(a)  conveying goods, material, equipment and other
items to work areas, and removing finished pieces;</t>
    </r>
  </si>
  <si>
    <r>
      <rPr>
        <sz val="11"/>
        <rFont val="Calibri"/>
        <family val="2"/>
        <scheme val="minor"/>
      </rPr>
      <t>(c)  clearing machine blockages, and cleaning machinery, equipment and
tools;</t>
    </r>
  </si>
  <si>
    <r>
      <rPr>
        <sz val="11"/>
        <rFont val="Calibri"/>
        <family val="2"/>
        <scheme val="minor"/>
      </rPr>
      <t>(d)  carrying out manual sorting of products or
components.</t>
    </r>
  </si>
  <si>
    <r>
      <rPr>
        <sz val="11"/>
        <rFont val="Calibri"/>
        <family val="2"/>
        <scheme val="minor"/>
      </rPr>
      <t>(b)  moving vehicle in the desired direction with due regard to other traffic and
traffic regulations;</t>
    </r>
  </si>
  <si>
    <r>
      <rPr>
        <sz val="11"/>
        <rFont val="Calibri"/>
        <family val="2"/>
        <scheme val="minor"/>
      </rPr>
      <t>(c)  inspecting vehicle components to identify wear
and damage;</t>
    </r>
  </si>
  <si>
    <r>
      <rPr>
        <sz val="11"/>
        <rFont val="Calibri"/>
        <family val="2"/>
        <scheme val="minor"/>
      </rPr>
      <t>(d)  maintaining vehicle,
making minor repairs and installing replacement parts;</t>
    </r>
  </si>
  <si>
    <r>
      <rPr>
        <sz val="11"/>
        <rFont val="Calibri"/>
        <family val="2"/>
        <scheme val="minor"/>
      </rPr>
      <t>(a)  harnessing animals and hitching them to vehicles or
machinery;</t>
    </r>
  </si>
  <si>
    <r>
      <rPr>
        <sz val="11"/>
        <rFont val="Calibri"/>
        <family val="2"/>
        <scheme val="minor"/>
      </rPr>
      <t>(c)  driving animals in the desired direction with due regard to other traffic and
traffic regulations;</t>
    </r>
  </si>
  <si>
    <r>
      <rPr>
        <sz val="11"/>
        <rFont val="Calibri"/>
        <family val="2"/>
        <scheme val="minor"/>
      </rPr>
      <t>(h)  maintaining vehicle or machinery, making minor
repairs and installing replacement parts;</t>
    </r>
  </si>
  <si>
    <r>
      <rPr>
        <sz val="11"/>
        <rFont val="Calibri"/>
        <family val="2"/>
        <scheme val="minor"/>
      </rPr>
      <t>packing office or household furniture, machines, appliances and related goods to be transported from one
place to another;</t>
    </r>
  </si>
  <si>
    <r>
      <rPr>
        <sz val="11"/>
        <rFont val="Calibri"/>
        <family val="2"/>
        <scheme val="minor"/>
      </rPr>
      <t>carrying goods to be loaded on
or unloaded from vans, trucks, wagons, ships or aircraft;</t>
    </r>
  </si>
  <si>
    <r>
      <rPr>
        <sz val="11"/>
        <rFont val="Calibri"/>
        <family val="2"/>
        <scheme val="minor"/>
      </rPr>
      <t>loading and unloading grain, coal, sand, baggage and other items by placing them on
conveyor belts, pipes and other conveyances;</t>
    </r>
  </si>
  <si>
    <r>
      <rPr>
        <sz val="11"/>
        <rFont val="Calibri"/>
        <family val="2"/>
        <scheme val="minor"/>
      </rPr>
      <t>connecting hoses between mainshore installation pipes and tanks of barges, tankers and other ships to load and unload petroleum, liquefied
gases and other liquids;</t>
    </r>
  </si>
  <si>
    <r>
      <rPr>
        <sz val="11"/>
        <rFont val="Calibri"/>
        <family val="2"/>
        <scheme val="minor"/>
      </rPr>
      <t>carrying and stacking goods in warehouses and similar
establishments;</t>
    </r>
  </si>
  <si>
    <r>
      <rPr>
        <sz val="11"/>
        <rFont val="Calibri"/>
        <family val="2"/>
        <scheme val="minor"/>
      </rPr>
      <t>(a)  placing goods neatly in bins and on racks, and stacking bulky goods on
floors;</t>
    </r>
  </si>
  <si>
    <r>
      <rPr>
        <sz val="11"/>
        <rFont val="Calibri"/>
        <family val="2"/>
        <scheme val="minor"/>
      </rPr>
      <t>(b)  filling shelves with goods and ensuring that goods with the earliest use-by dates are at
the front of shelves;</t>
    </r>
  </si>
  <si>
    <r>
      <rPr>
        <sz val="11"/>
        <rFont val="Calibri"/>
        <family val="2"/>
        <scheme val="minor"/>
      </rPr>
      <t>(d)  maintaining shelf order by removing stock belonging in a
different location;</t>
    </r>
  </si>
  <si>
    <r>
      <rPr>
        <sz val="11"/>
        <rFont val="Calibri"/>
        <family val="2"/>
        <scheme val="minor"/>
      </rPr>
      <t>(e)  noting what has been sold and collecting goods needed
from the stockroom;</t>
    </r>
  </si>
  <si>
    <r>
      <rPr>
        <sz val="11"/>
        <rFont val="Calibri"/>
        <family val="2"/>
        <scheme val="minor"/>
      </rPr>
      <t>(f)  obtaining articles for customers from shelf or
stockroom;</t>
    </r>
  </si>
  <si>
    <r>
      <rPr>
        <sz val="11"/>
        <rFont val="Calibri"/>
        <family val="2"/>
        <scheme val="minor"/>
      </rPr>
      <t>(h)  receiving, opening, unpacking and inspecting for damage merchandise from
manufacturer or distributor.</t>
    </r>
  </si>
  <si>
    <r>
      <rPr>
        <sz val="11"/>
        <rFont val="Calibri"/>
        <family val="2"/>
        <scheme val="minor"/>
      </rPr>
      <t>cleaning kitchens, food preparation areas and service
areas;</t>
    </r>
  </si>
  <si>
    <r>
      <rPr>
        <sz val="11"/>
        <rFont val="Calibri"/>
        <family val="2"/>
        <scheme val="minor"/>
      </rPr>
      <t>assisting cooks and chefs in preparation of food by washing, peeling, chopping,
cutting, measuring and mixing ingredients;</t>
    </r>
  </si>
  <si>
    <r>
      <rPr>
        <sz val="11"/>
        <rFont val="Calibri"/>
        <family val="2"/>
        <scheme val="minor"/>
      </rPr>
      <t>unpacking checking, transferring, weighing and storing supplies in refrigerators, cupboards and
other storage areas;</t>
    </r>
  </si>
  <si>
    <r>
      <rPr>
        <sz val="11"/>
        <rFont val="Calibri"/>
        <family val="2"/>
        <scheme val="minor"/>
      </rPr>
      <t>washing dishes and cooking
utensils and putting them away;</t>
    </r>
  </si>
  <si>
    <r>
      <rPr>
        <sz val="11"/>
        <rFont val="Calibri"/>
        <family val="2"/>
        <scheme val="minor"/>
      </rPr>
      <t>(a)  buying or receiving items for sale, or making simple
items;</t>
    </r>
  </si>
  <si>
    <r>
      <rPr>
        <sz val="11"/>
        <rFont val="Calibri"/>
        <family val="2"/>
        <scheme val="minor"/>
      </rPr>
      <t>(b)  loading and unloading baskets, trays, pushcarts,
bicycles, hand-trucks or other vehicles, to transport goods to the streets or public places
such as stations or cinemas;</t>
    </r>
  </si>
  <si>
    <r>
      <rPr>
        <sz val="11"/>
        <rFont val="Calibri"/>
        <family val="2"/>
        <scheme val="minor"/>
      </rPr>
      <t>(d)  approaching potential customers on streets, or by
going from house to house, to
offer goods for sale;</t>
    </r>
  </si>
  <si>
    <r>
      <rPr>
        <sz val="11"/>
        <rFont val="Calibri"/>
        <family val="2"/>
        <scheme val="minor"/>
      </rPr>
      <t>collecting rubbish and recyclable materials and
locating them into bins and garbage and recycling trucks;</t>
    </r>
  </si>
  <si>
    <r>
      <rPr>
        <sz val="11"/>
        <rFont val="Calibri"/>
        <family val="2"/>
        <scheme val="minor"/>
      </rPr>
      <t>Garbage and Recycling
Collectors</t>
    </r>
  </si>
  <si>
    <r>
      <rPr>
        <sz val="11"/>
        <rFont val="Calibri"/>
        <family val="2"/>
        <scheme val="minor"/>
      </rPr>
      <t>(a)  searching through refuse and collecting items for
recycling from dump sites, domestic, commercial and
industrial premises or from public places such as streets;</t>
    </r>
  </si>
  <si>
    <r>
      <rPr>
        <sz val="11"/>
        <rFont val="Calibri"/>
        <family val="2"/>
        <scheme val="minor"/>
      </rPr>
      <t>(d)  identifying and setting aside items of furniture, equipment, machinery, or components that are suitable
for repair or re-use;</t>
    </r>
  </si>
  <si>
    <r>
      <rPr>
        <sz val="11"/>
        <rFont val="Calibri"/>
        <family val="2"/>
        <scheme val="minor"/>
      </rPr>
      <t>(e)  transporting recyclable items by hand or using non-
motorized vehicles;</t>
    </r>
  </si>
  <si>
    <r>
      <rPr>
        <sz val="11"/>
        <rFont val="Calibri"/>
        <family val="2"/>
        <scheme val="minor"/>
      </rPr>
      <t>(a)  sweeping streets, parks, airports, stations and similar
public places;</t>
    </r>
  </si>
  <si>
    <r>
      <rPr>
        <sz val="11"/>
        <rFont val="Calibri"/>
        <family val="2"/>
        <scheme val="minor"/>
      </rPr>
      <t>(d)  cleaning rubbish, leaves and snow from driveways and
grounds.</t>
    </r>
  </si>
  <si>
    <r>
      <rPr>
        <sz val="11"/>
        <rFont val="Calibri"/>
        <family val="2"/>
        <scheme val="minor"/>
      </rPr>
      <t>(a)  delivering messages, packages and other items within an establishment or between establishments or
elsewhere;</t>
    </r>
  </si>
  <si>
    <r>
      <rPr>
        <sz val="11"/>
        <rFont val="Calibri"/>
        <family val="2"/>
        <scheme val="minor"/>
      </rPr>
      <t>(d)  receiving and marking baggage by completing and
attaching claim checks;</t>
    </r>
  </si>
  <si>
    <r>
      <rPr>
        <sz val="11"/>
        <rFont val="Calibri"/>
        <family val="2"/>
        <scheme val="minor"/>
      </rPr>
      <t>(f)  sorting items to be delivered according to the
delivery route.</t>
    </r>
  </si>
  <si>
    <r>
      <rPr>
        <sz val="11"/>
        <rFont val="Calibri"/>
        <family val="2"/>
        <scheme val="minor"/>
      </rPr>
      <t>(a)  repairing broken windows, screens, doors, fences, barbecues, picnic tables,
shelves, cupboards and other items;</t>
    </r>
  </si>
  <si>
    <r>
      <rPr>
        <sz val="11"/>
        <rFont val="Calibri"/>
        <family val="2"/>
        <scheme val="minor"/>
      </rPr>
      <t>(c)  repairing and painting interior and exterior surfaces such as walls, ceilings and
fences;</t>
    </r>
  </si>
  <si>
    <r>
      <rPr>
        <sz val="11"/>
        <rFont val="Calibri"/>
        <family val="2"/>
        <scheme val="minor"/>
      </rPr>
      <t>(g)  unloading coal or wood and putting it into cellars of
private households or
establishments.</t>
    </r>
  </si>
  <si>
    <r>
      <rPr>
        <sz val="11"/>
        <rFont val="Calibri"/>
        <family val="2"/>
        <scheme val="minor"/>
      </rPr>
      <t>(a)  filling storage areas of vending machines and
collecting money from their containers;</t>
    </r>
  </si>
  <si>
    <r>
      <rPr>
        <sz val="11"/>
        <rFont val="Calibri"/>
        <family val="2"/>
        <scheme val="minor"/>
      </rPr>
      <t>(b)  collecting money from parking meters and similar
coinboxes;</t>
    </r>
  </si>
  <si>
    <r>
      <rPr>
        <sz val="11"/>
        <rFont val="Calibri"/>
        <family val="2"/>
        <scheme val="minor"/>
      </rPr>
      <t>(c)  reading electricity, gas or water meters and recording
consumption;</t>
    </r>
  </si>
  <si>
    <r>
      <rPr>
        <sz val="11"/>
        <rFont val="Calibri"/>
        <family val="2"/>
        <scheme val="minor"/>
      </rPr>
      <t>(d)  keeping records of merchandise distributed and
money collected;</t>
    </r>
  </si>
  <si>
    <r>
      <rPr>
        <sz val="11"/>
        <rFont val="Calibri"/>
        <family val="2"/>
        <scheme val="minor"/>
      </rPr>
      <t>(f)  verifying readings in cases where consumption appears to
be abnormal, and recording
possible reasons for fluctuations;</t>
    </r>
  </si>
  <si>
    <r>
      <rPr>
        <sz val="11"/>
        <rFont val="Calibri"/>
        <family val="2"/>
        <scheme val="minor"/>
      </rPr>
      <t>(g)  inspecting meters for unauthorized connections, defects and damage such as
broken seals.</t>
    </r>
  </si>
  <si>
    <r>
      <rPr>
        <sz val="11"/>
        <rFont val="Calibri"/>
        <family val="2"/>
        <scheme val="minor"/>
      </rPr>
      <t>(a)  cutting and collecting wood from forests for sale in market or as fuel or for own
consumption;</t>
    </r>
  </si>
  <si>
    <r>
      <rPr>
        <sz val="11"/>
        <rFont val="Calibri"/>
        <family val="2"/>
        <scheme val="minor"/>
      </rPr>
      <t>(b)  visiting forests or fields to pick pieces of dried wood
from the ground and arranging them in heaps;</t>
    </r>
  </si>
  <si>
    <r>
      <rPr>
        <sz val="11"/>
        <rFont val="Calibri"/>
        <family val="2"/>
        <scheme val="minor"/>
      </rPr>
      <t>(c)  cutting decayed branches and trunks of trees using axes
and hand-saws;</t>
    </r>
  </si>
  <si>
    <r>
      <rPr>
        <sz val="11"/>
        <rFont val="Calibri"/>
        <family val="2"/>
        <scheme val="minor"/>
      </rPr>
      <t>(d)  tying collected wood into small faggots and carrying
them or transporting them on a cart to the market for sale or to villages or households for use;</t>
    </r>
  </si>
  <si>
    <r>
      <rPr>
        <sz val="11"/>
        <rFont val="Calibri"/>
        <family val="2"/>
        <scheme val="minor"/>
      </rPr>
      <t>(e)  drawing water from wells, rivers or ponds, etc. for
domestic use;</t>
    </r>
  </si>
  <si>
    <r>
      <rPr>
        <sz val="11"/>
        <rFont val="Calibri"/>
        <family val="2"/>
        <scheme val="minor"/>
      </rPr>
      <t>(f)  collecting water in leather bags, buckets or other
containers from taps, rivers, ponds or wells, and delivering the water to work sites, the houses of clients or to own household for drinking,
cleaning of drains or storage in tanks.</t>
    </r>
  </si>
  <si>
    <r>
      <rPr>
        <sz val="11"/>
        <rFont val="Calibri"/>
        <family val="2"/>
        <scheme val="minor"/>
      </rPr>
      <t>(a)  selling admission tickets and passes to patrons at entertainment events or
collecting tickets, passes and tags from patrons;</t>
    </r>
  </si>
  <si>
    <r>
      <rPr>
        <sz val="11"/>
        <rFont val="Calibri"/>
        <family val="2"/>
        <scheme val="minor"/>
      </rPr>
      <t>(b)  examining tickets or passes to verify authenticity, using criteria such as colour
and date issued;</t>
    </r>
  </si>
  <si>
    <r>
      <rPr>
        <sz val="11"/>
        <rFont val="Calibri"/>
        <family val="2"/>
        <scheme val="minor"/>
      </rPr>
      <t>(c)  guiding patrons to exits or providing other instructions or
assistance in case of emergency;</t>
    </r>
  </si>
  <si>
    <r>
      <rPr>
        <sz val="11"/>
        <rFont val="Calibri"/>
        <family val="2"/>
        <scheme val="minor"/>
      </rPr>
      <t>(d)  directing patrons to restrooms, concession stands
and telephones;</t>
    </r>
  </si>
  <si>
    <r>
      <rPr>
        <sz val="11"/>
        <rFont val="Calibri"/>
        <family val="2"/>
        <scheme val="minor"/>
      </rPr>
      <t>(f)  patrolling parking areas in order to prevent vehicle
damage and vehicle property theft;</t>
    </r>
  </si>
  <si>
    <r>
      <rPr>
        <sz val="11"/>
        <rFont val="Calibri"/>
        <family val="2"/>
        <scheme val="minor"/>
      </rPr>
      <t>(g)  calculating parking charges and collecting fees
from customers;</t>
    </r>
  </si>
  <si>
    <r>
      <rPr>
        <sz val="11"/>
        <rFont val="Calibri"/>
        <family val="2"/>
        <scheme val="minor"/>
      </rPr>
      <t>(h)  assigning dressing room facilities, locker space, or
clothing containers to patrons
of athletic or bathing establishments.</t>
    </r>
  </si>
  <si>
    <r>
      <rPr>
        <sz val="11"/>
        <rFont val="Calibri"/>
        <family val="2"/>
        <scheme val="minor"/>
      </rPr>
      <t>(a)  determining, implementing and monitoring production strategies, policies
and plans;</t>
    </r>
  </si>
  <si>
    <r>
      <rPr>
        <sz val="11"/>
        <rFont val="Calibri"/>
        <family val="2"/>
        <scheme val="minor"/>
      </rPr>
      <t>(b)  planning details of production activities in terms of output quality and quantity, cost, time available and labour
requirements;</t>
    </r>
  </si>
  <si>
    <r>
      <rPr>
        <sz val="11"/>
        <rFont val="Calibri"/>
        <family val="2"/>
        <scheme val="minor"/>
      </rPr>
      <t>(c)  controlling the operation of production plant and quality procedures through planning of maintenance, designation of operating hours and supply of
parts and tools;</t>
    </r>
  </si>
  <si>
    <r>
      <rPr>
        <sz val="11"/>
        <rFont val="Calibri"/>
        <family val="2"/>
        <scheme val="minor"/>
      </rPr>
      <t>(d)  establishing and managing budgets, monitoring
production output and costs,
and adjusting processes and resources to minimize costs;</t>
    </r>
  </si>
  <si>
    <r>
      <rPr>
        <sz val="11"/>
        <rFont val="Calibri"/>
        <family val="2"/>
        <scheme val="minor"/>
      </rPr>
      <t>(e)  consulting with and informing other managers
about production matters;</t>
    </r>
  </si>
  <si>
    <r>
      <rPr>
        <sz val="11"/>
        <rFont val="Calibri"/>
        <family val="2"/>
        <scheme val="minor"/>
      </rPr>
      <t>(h)  coordinating the implementation of
occupational health and safety requirements;</t>
    </r>
  </si>
  <si>
    <r>
      <rPr>
        <sz val="11"/>
        <rFont val="Calibri"/>
        <family val="2"/>
        <scheme val="minor"/>
      </rPr>
      <t>(i)   identifying business opportunities and determining
products to be manufactured;</t>
    </r>
  </si>
  <si>
    <r>
      <rPr>
        <sz val="11"/>
        <rFont val="Calibri"/>
        <family val="2"/>
        <scheme val="minor"/>
      </rPr>
      <t>(j)   researching and implementing regulatory and
statutory requirements affecting manufacturing operations and the
environment;</t>
    </r>
  </si>
  <si>
    <r>
      <rPr>
        <sz val="11"/>
        <rFont val="Calibri"/>
        <family val="2"/>
        <scheme val="minor"/>
      </rPr>
      <t>(k)  overseeing the provision of quotations for the
manufacture of specialized goods and establishing contracts with customers and
suppliers;</t>
    </r>
  </si>
  <si>
    <r>
      <rPr>
        <sz val="11"/>
        <rFont val="Calibri"/>
        <family val="2"/>
        <scheme val="minor"/>
      </rPr>
      <t>(a)  providing overall direction and management for the
service, facility, organization or centre;</t>
    </r>
  </si>
  <si>
    <r>
      <rPr>
        <sz val="11"/>
        <rFont val="Calibri"/>
        <family val="2"/>
        <scheme val="minor"/>
      </rPr>
      <t>(b)  directing, supervising and evaluating the work activities of medical, nursing, technical, clerical, service, maintenance
and other personnel;</t>
    </r>
  </si>
  <si>
    <r>
      <rPr>
        <sz val="11"/>
        <rFont val="Calibri"/>
        <family val="2"/>
        <scheme val="minor"/>
      </rPr>
      <t>(c)  establishing objectives and evaluative or operational
criteria for units they manage;</t>
    </r>
  </si>
  <si>
    <r>
      <rPr>
        <sz val="11"/>
        <rFont val="Calibri"/>
        <family val="2"/>
        <scheme val="minor"/>
      </rPr>
      <t>(d)  directing or conducting recruitment, hiring and
training of personnel;</t>
    </r>
  </si>
  <si>
    <r>
      <rPr>
        <sz val="11"/>
        <rFont val="Calibri"/>
        <family val="2"/>
        <scheme val="minor"/>
      </rPr>
      <t>(e)  developing, implementing and monitoring procedures, policies and performance
standards for medical, nursing, technical and administrative
staff;</t>
    </r>
  </si>
  <si>
    <r>
      <rPr>
        <sz val="11"/>
        <rFont val="Calibri"/>
        <family val="2"/>
        <scheme val="minor"/>
      </rPr>
      <t>(f)  monitoring the use of diagnostic services, inpatient beds, facilities and staff to
ensure effective use of resources, and assess the need for additional staff, equipment
and services;</t>
    </r>
  </si>
  <si>
    <r>
      <rPr>
        <sz val="11"/>
        <rFont val="Calibri"/>
        <family val="2"/>
        <scheme val="minor"/>
      </rPr>
      <t>(g)  controlling administrative operations such as budget
planning, report preparation,sand expenditure on supplies, equipment and
services;</t>
    </r>
  </si>
  <si>
    <r>
      <rPr>
        <sz val="11"/>
        <rFont val="Calibri"/>
        <family val="2"/>
        <scheme val="minor"/>
      </rPr>
      <t>(h)  liaising with other health and welfare service providers, boards and funding bodies to
coordinate the provision of
services;</t>
    </r>
  </si>
  <si>
    <r>
      <rPr>
        <sz val="11"/>
        <rFont val="Calibri"/>
        <family val="2"/>
        <scheme val="minor"/>
      </rPr>
      <t>(i)  advising government bodies about measures to improve health and welfare
services and facilities;</t>
    </r>
  </si>
  <si>
    <r>
      <rPr>
        <sz val="11"/>
        <rFont val="Calibri"/>
        <family val="2"/>
        <scheme val="minor"/>
      </rPr>
      <t>(j)  representing the organization in negotiations,
and at conventions, seminars, public hearings and forums.</t>
    </r>
  </si>
  <si>
    <r>
      <rPr>
        <sz val="11"/>
        <rFont val="Calibri"/>
        <family val="2"/>
        <scheme val="minor"/>
      </rPr>
      <t>(e)  developing, implementing and monitoring procedures, policies and performance
standards for nursing, personal
care, technical and administrative staff;</t>
    </r>
  </si>
  <si>
    <r>
      <rPr>
        <sz val="11"/>
        <rFont val="Calibri"/>
        <family val="2"/>
        <scheme val="minor"/>
      </rPr>
      <t>(f)  coordinating and administering welfare
programmes and care services for the elderly;</t>
    </r>
  </si>
  <si>
    <r>
      <rPr>
        <sz val="11"/>
        <rFont val="Calibri"/>
        <family val="2"/>
        <scheme val="minor"/>
      </rPr>
      <t>(g)  controlling administrative operations such as budget
planning, report preparation, and expenditure on supplies,
equipment and services;</t>
    </r>
  </si>
  <si>
    <r>
      <rPr>
        <sz val="11"/>
        <rFont val="Calibri"/>
        <family val="2"/>
        <scheme val="minor"/>
      </rPr>
      <t>(h)  liaising with other health and welfare providers, boards
and funding bodies to
coordinate the provision of services;</t>
    </r>
  </si>
  <si>
    <r>
      <rPr>
        <sz val="11"/>
        <rFont val="Calibri"/>
        <family val="2"/>
        <scheme val="minor"/>
      </rPr>
      <t>(j)  representing the organization in negotiations, and at conventions, seminars,
public hearings and forums.</t>
    </r>
  </si>
  <si>
    <r>
      <rPr>
        <sz val="11"/>
        <rFont val="Calibri"/>
        <family val="2"/>
        <scheme val="minor"/>
      </rPr>
      <t>(a)  providing overall direction and management for a service,
facility, organization or centre;</t>
    </r>
  </si>
  <si>
    <r>
      <rPr>
        <sz val="11"/>
        <rFont val="Calibri"/>
        <family val="2"/>
        <scheme val="minor"/>
      </rPr>
      <t>(c)  monitoring and evaluating resources devoted to the
provision of welfare, housing and other social services;</t>
    </r>
  </si>
  <si>
    <r>
      <rPr>
        <sz val="11"/>
        <rFont val="Calibri"/>
        <family val="2"/>
        <scheme val="minor"/>
      </rPr>
      <t>(d)  controlling administrative operations such as budget
planning, report preparation,
and expenditure on supplies, equipment and services;</t>
    </r>
  </si>
  <si>
    <r>
      <rPr>
        <sz val="11"/>
        <rFont val="Calibri"/>
        <family val="2"/>
        <scheme val="minor"/>
      </rPr>
      <t>(e)  liaising with other welfare and health services providers, boards and funding bodies to
discuss areas of health and
welfare service cooperation and coordination;</t>
    </r>
  </si>
  <si>
    <r>
      <rPr>
        <sz val="11"/>
        <rFont val="Calibri"/>
        <family val="2"/>
        <scheme val="minor"/>
      </rPr>
      <t>(f)  advising government bodies about measures to
improve welfare services and facilities;</t>
    </r>
  </si>
  <si>
    <r>
      <rPr>
        <sz val="11"/>
        <rFont val="Calibri"/>
        <family val="2"/>
        <scheme val="minor"/>
      </rPr>
      <t>(g)  representing the organization in negotiations, and at conventions, seminars,
public hearings and forums;</t>
    </r>
  </si>
  <si>
    <r>
      <rPr>
        <sz val="11"/>
        <rFont val="Calibri"/>
        <family val="2"/>
        <scheme val="minor"/>
      </rPr>
      <t>(a)  directing and overseeing reservation, reception, room service and housekeeping
activities;</t>
    </r>
  </si>
  <si>
    <r>
      <rPr>
        <sz val="11"/>
        <rFont val="Calibri"/>
        <family val="2"/>
        <scheme val="minor"/>
      </rPr>
      <t>(b)  supervising security arrangements and garden and
property maintenance;</t>
    </r>
  </si>
  <si>
    <r>
      <rPr>
        <sz val="11"/>
        <rFont val="Calibri"/>
        <family val="2"/>
        <scheme val="minor"/>
      </rPr>
      <t>(c)  planning and supervising bar, restaurant, function and
conference activities;</t>
    </r>
  </si>
  <si>
    <r>
      <rPr>
        <sz val="11"/>
        <rFont val="Calibri"/>
        <family val="2"/>
        <scheme val="minor"/>
      </rPr>
      <t>(d)  observing liquor, gaming and other laws and
regulations;</t>
    </r>
  </si>
  <si>
    <r>
      <rPr>
        <sz val="11"/>
        <rFont val="Calibri"/>
        <family val="2"/>
        <scheme val="minor"/>
      </rPr>
      <t>(h)  controlling selection, training and supervision of
staff;</t>
    </r>
  </si>
  <si>
    <r>
      <rPr>
        <sz val="11"/>
        <rFont val="Calibri"/>
        <family val="2"/>
        <scheme val="minor"/>
      </rPr>
      <t>(i)  ensuring compliance with occupational health and safety
regulations;</t>
    </r>
  </si>
  <si>
    <r>
      <rPr>
        <sz val="11"/>
        <rFont val="Calibri"/>
        <family val="2"/>
        <scheme val="minor"/>
      </rPr>
      <t>(j)  providing guests with local tourism information, and
arranging tours and transportation.</t>
    </r>
  </si>
  <si>
    <r>
      <rPr>
        <sz val="11"/>
        <rFont val="Calibri"/>
        <family val="2"/>
        <scheme val="minor"/>
      </rPr>
      <t>(a)  conducting research and improving or developing
concepts, theories, instrumentation, software and operational methods related to
physics and astronomy;</t>
    </r>
  </si>
  <si>
    <r>
      <rPr>
        <sz val="11"/>
        <rFont val="Calibri"/>
        <family val="2"/>
        <scheme val="minor"/>
      </rPr>
      <t>(b)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r>
  </si>
  <si>
    <r>
      <rPr>
        <sz val="11"/>
        <rFont val="Calibri"/>
        <family val="2"/>
        <scheme val="minor"/>
      </rPr>
      <t>(c)  evaluating results of investigations and experiments
and expressing conclusions,
mainly using mathematical techniques and models;</t>
    </r>
  </si>
  <si>
    <r>
      <rPr>
        <sz val="11"/>
        <rFont val="Calibri"/>
        <family val="2"/>
        <scheme val="minor"/>
      </rPr>
      <t>(d)  applying principles, techniques and processes to develop or improve industrial,
medical, military and other practical applications of the principles and techniques of
physics or astronomy;</t>
    </r>
  </si>
  <si>
    <r>
      <rPr>
        <sz val="11"/>
        <rFont val="Calibri"/>
        <family val="2"/>
        <scheme val="minor"/>
      </rPr>
      <t>(e)  ensuring the safe and effective delivery of radiation (ionizing and non-ionizing) to
patients to achieve a diagnostic or therapeutic result
as prescribed by a medical practitioner;</t>
    </r>
  </si>
  <si>
    <r>
      <rPr>
        <sz val="11"/>
        <rFont val="Calibri"/>
        <family val="2"/>
        <scheme val="minor"/>
      </rPr>
      <t>(f)  ensuring the accurate measurement and
characterization of physical quantities used in medical
applications;</t>
    </r>
  </si>
  <si>
    <r>
      <rPr>
        <sz val="11"/>
        <rFont val="Calibri"/>
        <family val="2"/>
        <scheme val="minor"/>
      </rPr>
      <t>(g)  testing, commissioning and evaluating equipment used
in applications such as
imaging, medical treatment and dosimetry;</t>
    </r>
  </si>
  <si>
    <r>
      <rPr>
        <sz val="11"/>
        <rFont val="Calibri"/>
        <family val="2"/>
        <scheme val="minor"/>
      </rPr>
      <t>(h)  advising and consulting with medical practitioners and other health care professionals
in optimizing the balance between the beneficial and deleterious effects of
radiation;</t>
    </r>
  </si>
  <si>
    <r>
      <rPr>
        <sz val="11"/>
        <rFont val="Calibri"/>
        <family val="2"/>
        <scheme val="minor"/>
      </rPr>
      <t>(i)  observing, analysing and interpreting celestial
phenomena and developing methods, numerical models and techniques to extend knowledge of fields such as navigation, satellite communication, space exploration, celestial bodies
and cosmic radiation;</t>
    </r>
  </si>
  <si>
    <r>
      <rPr>
        <sz val="11"/>
        <rFont val="Calibri"/>
        <family val="2"/>
        <scheme val="minor"/>
      </rPr>
      <t>(j) developing, implementing and maintaining standards and protocols for the measurement of physical phenomena and for the use of nuclear technology
in industrial and medical applications;</t>
    </r>
  </si>
  <si>
    <r>
      <rPr>
        <sz val="11"/>
        <rFont val="Calibri"/>
        <family val="2"/>
        <scheme val="minor"/>
      </rPr>
      <t>(a)  investigating direction and speed of air movements, pressures, temperatures, humidity, physical and chemical transformation of
pollutants and other phenomena such as cloud formation and precipitation, electrical disturbances or solar
radiation;</t>
    </r>
  </si>
  <si>
    <r>
      <rPr>
        <sz val="11"/>
        <rFont val="Calibri"/>
        <family val="2"/>
        <scheme val="minor"/>
      </rPr>
      <t>(b)  studying data collected from meteorological stations, radar and satellite imagery and computer model output to plot
and forecast weather conditions;</t>
    </r>
  </si>
  <si>
    <r>
      <rPr>
        <sz val="11"/>
        <rFont val="Calibri"/>
        <family val="2"/>
        <scheme val="minor"/>
      </rPr>
      <t>(c)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r>
  </si>
  <si>
    <r>
      <rPr>
        <sz val="11"/>
        <rFont val="Calibri"/>
        <family val="2"/>
        <scheme val="minor"/>
      </rPr>
      <t>(d)  conducting experiments in fog dispersal, cloud seeding, rain enhancement and other types of weather modification
programmes;</t>
    </r>
  </si>
  <si>
    <r>
      <rPr>
        <sz val="11"/>
        <rFont val="Calibri"/>
        <family val="2"/>
        <scheme val="minor"/>
      </rPr>
      <t>(e)  developing and testing mathematical computer
models of weather and climate for experimental or
operational use;</t>
    </r>
  </si>
  <si>
    <r>
      <rPr>
        <sz val="11"/>
        <rFont val="Calibri"/>
        <family val="2"/>
        <scheme val="minor"/>
      </rPr>
      <t>(f)  participating in studies of the effect of weather on the
environment;</t>
    </r>
  </si>
  <si>
    <r>
      <rPr>
        <sz val="11"/>
        <rFont val="Calibri"/>
        <family val="2"/>
        <scheme val="minor"/>
      </rPr>
      <t>(g)  analysing the impact of industrial projects and human
activity on the climate and quality of the air, and working with the social science, engineering and economic communities to develop
appropriate mitigation strategies;</t>
    </r>
  </si>
  <si>
    <r>
      <rPr>
        <sz val="11"/>
        <rFont val="Calibri"/>
        <family val="2"/>
        <scheme val="minor"/>
      </rPr>
      <t>(h)  engaging in the design and development of new
equipment and procedures for meteorological data collection and remote sensing, or for
related applications;</t>
    </r>
  </si>
  <si>
    <r>
      <rPr>
        <sz val="11"/>
        <rFont val="Calibri"/>
        <family val="2"/>
        <scheme val="minor"/>
      </rPr>
      <t>(i)  conducting research on and improving or developing concepts, theories and
operational methods related to the composition, structure and dynamics of the atmosphere, and preparing scientific papers and reports on the outcome of
this research.</t>
    </r>
  </si>
  <si>
    <r>
      <rPr>
        <sz val="11"/>
        <rFont val="Calibri"/>
        <family val="2"/>
        <scheme val="minor"/>
      </rPr>
      <t>(a)  conducting research and improving or developing
concepts, instruments, theories
and operational methods related to chemistry;</t>
    </r>
  </si>
  <si>
    <r>
      <rPr>
        <sz val="11"/>
        <rFont val="Calibri"/>
        <family val="2"/>
        <scheme val="minor"/>
      </rPr>
      <t>(b)  conducting experiments, tests and analyses to investigate chemical
composition and energy and chemical changes in various natural or synthetic
substances, materials and products;</t>
    </r>
  </si>
  <si>
    <r>
      <rPr>
        <sz val="11"/>
        <rFont val="Calibri"/>
        <family val="2"/>
        <scheme val="minor"/>
      </rPr>
      <t>(c)  developing procedures for environmental control, quality
control and various other procedures for manufacturers
or users;</t>
    </r>
  </si>
  <si>
    <r>
      <rPr>
        <sz val="11"/>
        <rFont val="Calibri"/>
        <family val="2"/>
        <scheme val="minor"/>
      </rPr>
      <t>(e)  participating in interdisciplinary research and development projects working
with chemical engineers, biologists, microbiologists, agronomists, geologists or
other professionals;</t>
    </r>
  </si>
  <si>
    <r>
      <rPr>
        <sz val="11"/>
        <rFont val="Calibri"/>
        <family val="2"/>
        <scheme val="minor"/>
      </rPr>
      <t>(f)  using micro-organisms to convert substances into new
compounds;</t>
    </r>
  </si>
  <si>
    <r>
      <rPr>
        <sz val="11"/>
        <rFont val="Calibri"/>
        <family val="2"/>
        <scheme val="minor"/>
      </rPr>
      <t>(g)  determining ways to strengthen or combine materials or develop new
materials.</t>
    </r>
  </si>
  <si>
    <r>
      <rPr>
        <sz val="11"/>
        <rFont val="Calibri"/>
        <family val="2"/>
        <scheme val="minor"/>
      </rPr>
      <t>(h)  reproducing and synthesizing naturally
occurring substances and
creating new artificial substances;</t>
    </r>
  </si>
  <si>
    <r>
      <rPr>
        <sz val="11"/>
        <rFont val="Calibri"/>
        <family val="2"/>
        <scheme val="minor"/>
      </rPr>
      <t>(a)  conducting research and improving or developing concepts, theories and
operational methods related to
geology and geophysics;</t>
    </r>
  </si>
  <si>
    <r>
      <rPr>
        <sz val="11"/>
        <rFont val="Calibri"/>
        <family val="2"/>
        <scheme val="minor"/>
      </rPr>
      <t>(b)  studying composition and structure of the Earth’s crust, examining rocks, minerals, fossils and other materials to determine processes affecting the development of the Earth, trace evolution of past life,
establish the nature and chronology of geological formations and assess their
commercial applications;</t>
    </r>
  </si>
  <si>
    <r>
      <rPr>
        <sz val="11"/>
        <rFont val="Calibri"/>
        <family val="2"/>
        <scheme val="minor"/>
      </rPr>
      <t>(c)  interpreting research data and preparing geological reports, maps, charts and
diagrams, reports and papers;</t>
    </r>
  </si>
  <si>
    <r>
      <rPr>
        <sz val="11"/>
        <rFont val="Calibri"/>
        <family val="2"/>
        <scheme val="minor"/>
      </rPr>
      <t>(d)  applying geological knowledge to problems
encountered in civil engineering projects such as the construction of dams, bridges, tunnels, and large buildings, and land
reclamation projects;</t>
    </r>
  </si>
  <si>
    <r>
      <rPr>
        <sz val="11"/>
        <rFont val="Calibri"/>
        <family val="2"/>
        <scheme val="minor"/>
      </rPr>
      <t>(e)  using various remote sensing programmes to investigate and measure seismic, gravitational, electrical, thermal and
magnetic forces affecting the Earth;</t>
    </r>
  </si>
  <si>
    <r>
      <rPr>
        <sz val="11"/>
        <rFont val="Calibri"/>
        <family val="2"/>
        <scheme val="minor"/>
      </rPr>
      <t>(f)  estimating weight, size and mass of the Earth and
composition and structure of its interior, and studying the nature, activity and predictability of volcanoes,
glaciers and earthquakes;</t>
    </r>
  </si>
  <si>
    <r>
      <rPr>
        <sz val="11"/>
        <rFont val="Calibri"/>
        <family val="2"/>
        <scheme val="minor"/>
      </rPr>
      <t>(g)  charting the Earth’s magnetic field and applying this and other collected data for broadcasting, navigation
and other purposes;</t>
    </r>
  </si>
  <si>
    <r>
      <rPr>
        <sz val="11"/>
        <rFont val="Calibri"/>
        <family val="2"/>
        <scheme val="minor"/>
      </rPr>
      <t>(h)  studying and measuring physical properties of seas and
the atmosphere and their interrelationship, such as the
exchange of thermal energy;</t>
    </r>
  </si>
  <si>
    <r>
      <rPr>
        <sz val="11"/>
        <rFont val="Calibri"/>
        <family val="2"/>
        <scheme val="minor"/>
      </rPr>
      <t>(i)  locating and determining the nature and extent of oil,
gas and mineral deposits using seismological, gravimetric, magnetic, electrical or
radiometric methods;</t>
    </r>
  </si>
  <si>
    <r>
      <rPr>
        <sz val="11"/>
        <rFont val="Calibri"/>
        <family val="2"/>
        <scheme val="minor"/>
      </rPr>
      <t>(j)  identifying deposits of construction materials and
determining their characteristics and suitability for use as concrete aggregates,
road fill or for other applications;</t>
    </r>
  </si>
  <si>
    <r>
      <rPr>
        <sz val="11"/>
        <rFont val="Calibri"/>
        <family val="2"/>
        <scheme val="minor"/>
      </rPr>
      <t>(k)  researching the movement, distribution and physical properties of ground
and surface waters;</t>
    </r>
  </si>
  <si>
    <r>
      <rPr>
        <sz val="11"/>
        <rFont val="Calibri"/>
        <family val="2"/>
        <scheme val="minor"/>
      </rPr>
      <t>(l)  advising in areas such as waste management, route and
site selection and the
restoration of contaminated sites.</t>
    </r>
  </si>
  <si>
    <r>
      <rPr>
        <sz val="11"/>
        <rFont val="Calibri"/>
        <family val="2"/>
        <scheme val="minor"/>
      </rPr>
      <t>(a)  studying, improving and developing mathematical,
actuarial and statistical theories and techniques;</t>
    </r>
  </si>
  <si>
    <r>
      <rPr>
        <sz val="11"/>
        <rFont val="Calibri"/>
        <family val="2"/>
        <scheme val="minor"/>
      </rPr>
      <t>(b)  advising on or applying mathematical principles, models and techniques to a wide range of tasks in the fields of engineering, natural,
social or life sciences;</t>
    </r>
  </si>
  <si>
    <r>
      <rPr>
        <sz val="11"/>
        <rFont val="Calibri"/>
        <family val="2"/>
        <scheme val="minor"/>
      </rPr>
      <t>(c)  conducting logical analyses of management
problems, especially in terms of input-output effectiveness, and formulating mathematical models of each problem
usually for programming and solution by computer;</t>
    </r>
  </si>
  <si>
    <r>
      <rPr>
        <sz val="11"/>
        <rFont val="Calibri"/>
        <family val="2"/>
        <scheme val="minor"/>
      </rPr>
      <t>(d)  designing and putting into operation pension schemes and life, health, social and
other types of insurance
systems;</t>
    </r>
  </si>
  <si>
    <r>
      <rPr>
        <sz val="11"/>
        <rFont val="Calibri"/>
        <family val="2"/>
        <scheme val="minor"/>
      </rPr>
      <t>(e)  applying mathematics, statistics, probability and risk
theory to assess potential
financial impacts of future events;</t>
    </r>
  </si>
  <si>
    <r>
      <rPr>
        <sz val="11"/>
        <rFont val="Calibri"/>
        <family val="2"/>
        <scheme val="minor"/>
      </rPr>
      <t>(f)  planning and organizing surveys and other statistical collections, and designing
questionnaires;</t>
    </r>
  </si>
  <si>
    <r>
      <rPr>
        <sz val="11"/>
        <rFont val="Calibri"/>
        <family val="2"/>
        <scheme val="minor"/>
      </rPr>
      <t>(g)  evaluating, processing, analysing and interpreting statistical data and preparing
them for publication;</t>
    </r>
  </si>
  <si>
    <r>
      <rPr>
        <sz val="11"/>
        <rFont val="Calibri"/>
        <family val="2"/>
        <scheme val="minor"/>
      </rPr>
      <t>(h)  advising on or applying various data collection methods and statistical
methods and techniques, and determining reliability of findings, especially in such fields as business or medicine
as well as in other areas of natural, social or life sciences;</t>
    </r>
  </si>
  <si>
    <r>
      <rPr>
        <sz val="11"/>
        <rFont val="Calibri"/>
        <family val="2"/>
        <scheme val="minor"/>
      </rPr>
      <t>(j)  supervising the work of mathematical, actuarial and
statistical assistants and statistical clerks.</t>
    </r>
  </si>
  <si>
    <r>
      <rPr>
        <sz val="11"/>
        <rFont val="Calibri"/>
        <family val="2"/>
        <scheme val="minor"/>
      </rPr>
      <t>(a)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r>
  </si>
  <si>
    <r>
      <rPr>
        <sz val="11"/>
        <rFont val="Calibri"/>
        <family val="2"/>
        <scheme val="minor"/>
      </rPr>
      <t>(c)  gathering human, animal, insect and plant specimens and data, and studying their origin,
development, chemical and physical form, structure, composition, and life and
reproductive processes;</t>
    </r>
  </si>
  <si>
    <r>
      <rPr>
        <sz val="11"/>
        <rFont val="Calibri"/>
        <family val="2"/>
        <scheme val="minor"/>
      </rPr>
      <t>(d)  examining living organisms using a variety of
specialized equipment, instruments, technologies and techniques such as electron microscopes, telemetry, global positioning systems, biotechnology, satellite imaging, genetic engineering, digital imaging analysis, polymerase chain reaction and
computer modelling;</t>
    </r>
  </si>
  <si>
    <r>
      <rPr>
        <sz val="11"/>
        <rFont val="Calibri"/>
        <family val="2"/>
        <scheme val="minor"/>
      </rPr>
      <t>(e)  identifying, classifying, recording and monitoring
living organisms and maintaining databases;</t>
    </r>
  </si>
  <si>
    <r>
      <rPr>
        <sz val="11"/>
        <rFont val="Calibri"/>
        <family val="2"/>
        <scheme val="minor"/>
      </rPr>
      <t>(f)  writing scientific papers and reports detailing research and any new findings which are then made available to the
scientific community in scientific journals or at conferences for scrutiny and
further debate;</t>
    </r>
  </si>
  <si>
    <r>
      <rPr>
        <sz val="11"/>
        <rFont val="Calibri"/>
        <family val="2"/>
        <scheme val="minor"/>
      </rPr>
      <t>(g)  designing and carrying out environmental impact assessments to identify
changes caused by natural or human factors;</t>
    </r>
  </si>
  <si>
    <r>
      <rPr>
        <sz val="11"/>
        <rFont val="Calibri"/>
        <family val="2"/>
        <scheme val="minor"/>
      </rPr>
      <t>(h)  providing advice to governments, organizations
and businesses in areas such as conservation, management of natural resources, and the
effects of climate change and pollution.</t>
    </r>
  </si>
  <si>
    <r>
      <rPr>
        <sz val="11"/>
        <rFont val="Calibri"/>
        <family val="2"/>
        <scheme val="minor"/>
      </rPr>
      <t>(a)  conducting research, performing tests, collecting samples, performing field and laboratory analysis to identify
sources of environmental problems, and recommending ways to prevent, control and remediate the impact of such
problems;</t>
    </r>
  </si>
  <si>
    <r>
      <rPr>
        <sz val="11"/>
        <rFont val="Calibri"/>
        <family val="2"/>
        <scheme val="minor"/>
      </rPr>
      <t>(b)  assessing the likely impact that potential or proposed
activities, projects and developments may have on the environment, and
recommending whether such developments should proceed;</t>
    </r>
  </si>
  <si>
    <r>
      <rPr>
        <sz val="11"/>
        <rFont val="Calibri"/>
        <family val="2"/>
        <scheme val="minor"/>
      </rPr>
      <t>(c)  developing and coordinating the implementation of
environmental management systems to enable organizations to identify, monitor and control the impact of their activities, products and
services on the environment;</t>
    </r>
  </si>
  <si>
    <r>
      <rPr>
        <sz val="11"/>
        <rFont val="Calibri"/>
        <family val="2"/>
        <scheme val="minor"/>
      </rPr>
      <t>(d)  conducting audits to evaluate the environmental impact of existing activities, processes, wastes, noises and
substances;</t>
    </r>
  </si>
  <si>
    <r>
      <rPr>
        <sz val="11"/>
        <rFont val="Calibri"/>
        <family val="2"/>
        <scheme val="minor"/>
      </rPr>
      <t>(e)  assessing an
organization’s compliance with government and internal environmental regulations and guidelines, identifying
violations and determining appropriate remedial action;</t>
    </r>
  </si>
  <si>
    <r>
      <rPr>
        <sz val="11"/>
        <rFont val="Calibri"/>
        <family val="2"/>
        <scheme val="minor"/>
      </rPr>
      <t>(f)   providing technical advice and support services to
organizations on how best to deal with environmental problems in order to reduce
environmental damage and minimize financial loss;</t>
    </r>
  </si>
  <si>
    <r>
      <rPr>
        <sz val="11"/>
        <rFont val="Calibri"/>
        <family val="2"/>
        <scheme val="minor"/>
      </rPr>
      <t>Environmental Protection
Professionals</t>
    </r>
  </si>
  <si>
    <r>
      <rPr>
        <sz val="11"/>
        <rFont val="Calibri"/>
        <family val="2"/>
        <scheme val="minor"/>
      </rPr>
      <t>(a)  conducting research, assessing and reporting on the
environmental impact of existing and proposed
construction, civil engineering and other activities;</t>
    </r>
  </si>
  <si>
    <r>
      <rPr>
        <sz val="11"/>
        <rFont val="Calibri"/>
        <family val="2"/>
        <scheme val="minor"/>
      </rPr>
      <t>(b)  inspecting industrial and municipal facilities and programmes to evaluate
operational effectiveness and ensure compliance with
environmental regulations;</t>
    </r>
  </si>
  <si>
    <r>
      <rPr>
        <sz val="11"/>
        <rFont val="Calibri"/>
        <family val="2"/>
        <scheme val="minor"/>
      </rPr>
      <t>(c)  designing and overseeing the development of systems, processes and equipment for
control, management, or remediation of water, air or
soil quality;</t>
    </r>
  </si>
  <si>
    <r>
      <rPr>
        <sz val="11"/>
        <rFont val="Calibri"/>
        <family val="2"/>
        <scheme val="minor"/>
      </rPr>
      <t>(d)  providing environmental engineering assistance in
network analysis, regulatory analysis, and planning or reviewing database
development;</t>
    </r>
  </si>
  <si>
    <r>
      <rPr>
        <sz val="11"/>
        <rFont val="Calibri"/>
        <family val="2"/>
        <scheme val="minor"/>
      </rPr>
      <t>(e)  obtaining, updating, and maintaining plans, permits,
and standard operating
procedures;</t>
    </r>
  </si>
  <si>
    <r>
      <rPr>
        <sz val="11"/>
        <rFont val="Calibri"/>
        <family val="2"/>
        <scheme val="minor"/>
      </rPr>
      <t>(f)  providing engineering and technical support for
environmental remediation and litigation projects, including remediation system
design and determination of regulatory applicability;</t>
    </r>
  </si>
  <si>
    <r>
      <rPr>
        <sz val="11"/>
        <rFont val="Calibri"/>
        <family val="2"/>
        <scheme val="minor"/>
      </rPr>
      <t>(g)  monitoring progress of environmental improvement
programmes;</t>
    </r>
  </si>
  <si>
    <r>
      <rPr>
        <sz val="11"/>
        <rFont val="Calibri"/>
        <family val="2"/>
        <scheme val="minor"/>
      </rPr>
      <t>(h)  advising corporations and government agencies of procedures to follow in
cleaning up contaminated sites
to protect people and the environment;</t>
    </r>
  </si>
  <si>
    <r>
      <rPr>
        <sz val="11"/>
        <rFont val="Calibri"/>
        <family val="2"/>
        <scheme val="minor"/>
      </rPr>
      <t>(i)  collaborating with environmental scientists, planners, hazardous waste technicians, engineers from
other disciplines, and specialists in law and business to address environmental
problems.</t>
    </r>
  </si>
  <si>
    <r>
      <rPr>
        <sz val="11"/>
        <rFont val="Calibri"/>
        <family val="2"/>
        <scheme val="minor"/>
      </rPr>
      <t>(a)  conducting research and advising on, and developing, commercial-scale chemical processes to refine crude oil and other liquids or gases, and
to produce substances and items such as petroleum derivatives, explosives, food and drink products, medicines,
or synthetic materials;</t>
    </r>
  </si>
  <si>
    <r>
      <rPr>
        <sz val="11"/>
        <rFont val="Calibri"/>
        <family val="2"/>
        <scheme val="minor"/>
      </rPr>
      <t>(b)  specifying chemical production methods, materials
and quality standards and
ensuring that they conform to specifications;</t>
    </r>
  </si>
  <si>
    <r>
      <rPr>
        <sz val="11"/>
        <rFont val="Calibri"/>
        <family val="2"/>
        <scheme val="minor"/>
      </rPr>
      <t>(c)  establishing control standards and procedures to
ensure safety and efficiency of chemical production operations and safety of
workers’ operating equipment or of those working in close proximity to ongoing chemical
reactions;</t>
    </r>
  </si>
  <si>
    <r>
      <rPr>
        <sz val="11"/>
        <rFont val="Calibri"/>
        <family val="2"/>
        <scheme val="minor"/>
      </rPr>
      <t>(d)  designing chemical plant equipment and devising
processes for manufacturing
chemicals and products;</t>
    </r>
  </si>
  <si>
    <r>
      <rPr>
        <sz val="11"/>
        <rFont val="Calibri"/>
        <family val="2"/>
        <scheme val="minor"/>
      </rPr>
      <t>(e)  performing tests throughout stages of
production to determine degree of control over variables, including
temperature, density, specific gravity, and pressure;</t>
    </r>
  </si>
  <si>
    <r>
      <rPr>
        <sz val="11"/>
        <rFont val="Calibri"/>
        <family val="2"/>
        <scheme val="minor"/>
      </rPr>
      <t>(g)  preparing estimates of production costs and
production progress reports for management;</t>
    </r>
  </si>
  <si>
    <r>
      <rPr>
        <sz val="11"/>
        <rFont val="Calibri"/>
        <family val="2"/>
        <scheme val="minor"/>
      </rPr>
      <t>(a)  determining the location and planning the extraction of
coal, metallic ores, non- metallic minerals, and building materials such as
stone and gravel;</t>
    </r>
  </si>
  <si>
    <r>
      <rPr>
        <sz val="11"/>
        <rFont val="Calibri"/>
        <family val="2"/>
        <scheme val="minor"/>
      </rPr>
      <t>(b)  determining the most suitable methods of efficient mining and extraction and types of machinery to be used, planning layout and directing
construction of shafts and tunnels;</t>
    </r>
  </si>
  <si>
    <r>
      <rPr>
        <sz val="11"/>
        <rFont val="Calibri"/>
        <family val="2"/>
        <scheme val="minor"/>
      </rPr>
      <t>(c)  determining drilling sites and devising methods of
controlling the flow of water, oil or gas from wells;</t>
    </r>
  </si>
  <si>
    <r>
      <rPr>
        <sz val="11"/>
        <rFont val="Calibri"/>
        <family val="2"/>
        <scheme val="minor"/>
      </rPr>
      <t>(d)  planning and directing storage, initial treatment and transportation of water, oil or
gas;</t>
    </r>
  </si>
  <si>
    <r>
      <rPr>
        <sz val="11"/>
        <rFont val="Calibri"/>
        <family val="2"/>
        <scheme val="minor"/>
      </rPr>
      <t>(e)  establishing safety standards and procedures and first-aid facilities, especially
underground;</t>
    </r>
  </si>
  <si>
    <r>
      <rPr>
        <sz val="11"/>
        <rFont val="Calibri"/>
        <family val="2"/>
        <scheme val="minor"/>
      </rPr>
      <t>(f)  conducting research, developing methods of
extracting metals from their ores and advising on their application;</t>
    </r>
  </si>
  <si>
    <r>
      <rPr>
        <sz val="11"/>
        <rFont val="Calibri"/>
        <family val="2"/>
        <scheme val="minor"/>
      </rPr>
      <t>(g)  investigating properties of metals and alloys, developing new alloys and advising on
and supervising technical aspects of metal and alloy
manufacture and processing;</t>
    </r>
  </si>
  <si>
    <r>
      <rPr>
        <sz val="11"/>
        <rFont val="Calibri"/>
        <family val="2"/>
        <scheme val="minor"/>
      </rPr>
      <t>(h)  maintaining technical liaison and consultancy with other relevant specialists such
as geologists and geophysicists;</t>
    </r>
  </si>
  <si>
    <r>
      <rPr>
        <sz val="11"/>
        <rFont val="Calibri"/>
        <family val="2"/>
        <scheme val="minor"/>
      </rPr>
      <t>(a)  advising on and designing electronic devices or
components, circuits, semi-
conductors, and systems;</t>
    </r>
  </si>
  <si>
    <r>
      <rPr>
        <sz val="11"/>
        <rFont val="Calibri"/>
        <family val="2"/>
        <scheme val="minor"/>
      </rPr>
      <t>(b)  specifying production or installation methods, materials
and quality standards, and directing production or installation work of electronic
products and systems;</t>
    </r>
  </si>
  <si>
    <r>
      <rPr>
        <sz val="11"/>
        <rFont val="Calibri"/>
        <family val="2"/>
        <scheme val="minor"/>
      </rPr>
      <t>(c)  establishing control standards and procedures to ensure efficient functioning
and safety of electronic systems, motors and
equipment;</t>
    </r>
  </si>
  <si>
    <r>
      <rPr>
        <sz val="11"/>
        <rFont val="Calibri"/>
        <family val="2"/>
        <scheme val="minor"/>
      </rPr>
      <t>(d)  organizing and directing maintenance and repair of existing electronic systems
and equipment;</t>
    </r>
  </si>
  <si>
    <r>
      <rPr>
        <sz val="11"/>
        <rFont val="Calibri"/>
        <family val="2"/>
        <scheme val="minor"/>
      </rPr>
      <t>(e)  designing electronic circuits and components for use in fields such as aerospace
guidance and propulsion control, acoustics, or
instruments and controls;</t>
    </r>
  </si>
  <si>
    <r>
      <rPr>
        <sz val="11"/>
        <rFont val="Calibri"/>
        <family val="2"/>
        <scheme val="minor"/>
      </rPr>
      <t>(f)  researching and advising on radar, telemetry and remote control systems, microwaves
and other electronic
equipment;</t>
    </r>
  </si>
  <si>
    <r>
      <rPr>
        <sz val="11"/>
        <rFont val="Calibri"/>
        <family val="2"/>
        <scheme val="minor"/>
      </rPr>
      <t>(g)  designing and developing signal processing algorithms
and implementing these through appropriate choice of hardware and software;</t>
    </r>
  </si>
  <si>
    <r>
      <rPr>
        <sz val="11"/>
        <rFont val="Calibri"/>
        <family val="2"/>
        <scheme val="minor"/>
      </rPr>
      <t>(h)  developing apparatus and procedures to test electronic
components, circuits and
systems.</t>
    </r>
  </si>
  <si>
    <r>
      <rPr>
        <sz val="11"/>
        <rFont val="Calibri"/>
        <family val="2"/>
        <scheme val="minor"/>
      </rPr>
      <t>(a)  advising on and designing telecommunications devices or
components, systems,
equipment and distribution centres;</t>
    </r>
  </si>
  <si>
    <r>
      <rPr>
        <sz val="11"/>
        <rFont val="Calibri"/>
        <family val="2"/>
        <scheme val="minor"/>
      </rPr>
      <t>(b)  specifying production or installation methods,
materials, quality and safety standards and directing production or installation work of telecommunications
products and systems;</t>
    </r>
  </si>
  <si>
    <r>
      <rPr>
        <sz val="11"/>
        <rFont val="Calibri"/>
        <family val="2"/>
        <scheme val="minor"/>
      </rPr>
      <t>(c)  organizing and directing maintenance and repair of existing telecommunication
systems, motors and equipment;</t>
    </r>
  </si>
  <si>
    <r>
      <rPr>
        <sz val="11"/>
        <rFont val="Calibri"/>
        <family val="2"/>
        <scheme val="minor"/>
      </rPr>
      <t>(d)  researching and advising on telecommunications
equipment;</t>
    </r>
  </si>
  <si>
    <r>
      <rPr>
        <sz val="11"/>
        <rFont val="Calibri"/>
        <family val="2"/>
        <scheme val="minor"/>
      </rPr>
      <t>(e)  planning and designing communications networks based on wired, fibre optical and wireless communication
media;</t>
    </r>
  </si>
  <si>
    <r>
      <rPr>
        <sz val="11"/>
        <rFont val="Calibri"/>
        <family val="2"/>
        <scheme val="minor"/>
      </rPr>
      <t>(f)  designing and developing signal processing algorithms
and implementing these through appropriate choice of hardware and software;</t>
    </r>
  </si>
  <si>
    <r>
      <rPr>
        <sz val="11"/>
        <rFont val="Calibri"/>
        <family val="2"/>
        <scheme val="minor"/>
      </rPr>
      <t>(g)  designing telecommunications networks
and radio and television
distribution systems, including both cable and over the air.</t>
    </r>
  </si>
  <si>
    <r>
      <rPr>
        <sz val="11"/>
        <rFont val="Calibri"/>
        <family val="2"/>
        <scheme val="minor"/>
      </rPr>
      <t>(a)  planning layout and coordinating development of
urban areas;</t>
    </r>
  </si>
  <si>
    <r>
      <rPr>
        <sz val="11"/>
        <rFont val="Calibri"/>
        <family val="2"/>
        <scheme val="minor"/>
      </rPr>
      <t>(b)  compiling and analysing data on economic, legal,
political, cultural, demographic, sociological, physical and environmental
factors affecting land use;</t>
    </r>
  </si>
  <si>
    <r>
      <rPr>
        <sz val="11"/>
        <rFont val="Calibri"/>
        <family val="2"/>
        <scheme val="minor"/>
      </rPr>
      <t>(c)  conferring with government authorities,
communities and specialists in fields such as architecture,
planning, social science, the environment and the law;</t>
    </r>
  </si>
  <si>
    <r>
      <rPr>
        <sz val="11"/>
        <rFont val="Calibri"/>
        <family val="2"/>
        <scheme val="minor"/>
      </rPr>
      <t>(d)  devising and recommending use and development of land, and presenting narrative and graphic plans, programmes and designs to groups and
individuals;</t>
    </r>
  </si>
  <si>
    <r>
      <rPr>
        <sz val="11"/>
        <rFont val="Calibri"/>
        <family val="2"/>
        <scheme val="minor"/>
      </rPr>
      <t>(e)  advising governments, companies and communities
on urban and regional
planning issues and proposals;</t>
    </r>
  </si>
  <si>
    <r>
      <rPr>
        <sz val="11"/>
        <rFont val="Calibri"/>
        <family val="2"/>
        <scheme val="minor"/>
      </rPr>
      <t>(h)  planning and advising on routing and control of road
traffic and public transportation systems for
efficiency and safety.</t>
    </r>
  </si>
  <si>
    <r>
      <rPr>
        <sz val="11"/>
        <rFont val="Calibri"/>
        <family val="2"/>
        <scheme val="minor"/>
      </rPr>
      <t>(b)  ordering laboratory tests, X-rays and other diagnostic procedures and analysing findings to determine the
nature of disorders or illnesses;</t>
    </r>
  </si>
  <si>
    <r>
      <rPr>
        <sz val="11"/>
        <rFont val="Calibri"/>
        <family val="2"/>
        <scheme val="minor"/>
      </rPr>
      <t>(c)  providing continuing medical care for patients including prescribing,
administering, counselling on and monitoring curative
treatments and preventive measures;</t>
    </r>
  </si>
  <si>
    <r>
      <rPr>
        <sz val="11"/>
        <rFont val="Calibri"/>
        <family val="2"/>
        <scheme val="minor"/>
      </rPr>
      <t>(e)  advising individuals, families and communities on health, nutrition and lifestyle
which aid prevention or
treatment of disease and disorders;</t>
    </r>
  </si>
  <si>
    <r>
      <rPr>
        <sz val="11"/>
        <rFont val="Calibri"/>
        <family val="2"/>
        <scheme val="minor"/>
      </rPr>
      <t>(f)  providing referrals to patients and families for
specialized care in hospitals, rehabilitation centres or other
types of health care centres;</t>
    </r>
  </si>
  <si>
    <r>
      <rPr>
        <sz val="11"/>
        <rFont val="Calibri"/>
        <family val="2"/>
        <scheme val="minor"/>
      </rPr>
      <t>(g)  identifying, managing and providing referrals for
complications before, during
and after childbirth;</t>
    </r>
  </si>
  <si>
    <r>
      <rPr>
        <sz val="11"/>
        <rFont val="Calibri"/>
        <family val="2"/>
        <scheme val="minor"/>
      </rPr>
      <t>(h)  recording patients’ medical information and history and exchanging information with specialist practitioners and other health
workers as required for continuing medical care;</t>
    </r>
  </si>
  <si>
    <r>
      <rPr>
        <sz val="11"/>
        <rFont val="Calibri"/>
        <family val="2"/>
        <scheme val="minor"/>
      </rPr>
      <t>(i)  reporting births, deaths and notifiable diseases to
government authorities to meet legal and professional
requirements;</t>
    </r>
  </si>
  <si>
    <r>
      <rPr>
        <sz val="11"/>
        <rFont val="Calibri"/>
        <family val="2"/>
        <scheme val="minor"/>
      </rPr>
      <t>(j)  conducting research in human health and medical
services and disseminating the
findings such as through scientific reports;</t>
    </r>
  </si>
  <si>
    <r>
      <rPr>
        <sz val="11"/>
        <rFont val="Calibri"/>
        <family val="2"/>
        <scheme val="minor"/>
      </rPr>
      <t>(b)  considering medical information provided by a
referring doctor or other health
care provider,</t>
    </r>
  </si>
  <si>
    <r>
      <rPr>
        <sz val="11"/>
        <rFont val="Calibri"/>
        <family val="2"/>
        <scheme val="minor"/>
      </rPr>
      <t>(c)  ordering specialized diagnostic tests to determine
the nature of disorders or
illnesses;</t>
    </r>
  </si>
  <si>
    <r>
      <rPr>
        <sz val="11"/>
        <rFont val="Calibri"/>
        <family val="2"/>
        <scheme val="minor"/>
      </rPr>
      <t>(d)  prescribing, administering and monitoring patients’ responses to treatments, medications, anaesthetics, psychotherapies, physical
rehabilitation programmes and other preventive and curative
measures;</t>
    </r>
  </si>
  <si>
    <r>
      <rPr>
        <sz val="11"/>
        <rFont val="Calibri"/>
        <family val="2"/>
        <scheme val="minor"/>
      </rPr>
      <t>(f)  managing complications before, during and after
childbirth;</t>
    </r>
  </si>
  <si>
    <r>
      <rPr>
        <sz val="11"/>
        <rFont val="Calibri"/>
        <family val="2"/>
        <scheme val="minor"/>
      </rPr>
      <t>(g)  recording patients’ medical information and
exchanging information with other health professionals to
ensure the provision of comprehensive care;</t>
    </r>
  </si>
  <si>
    <r>
      <rPr>
        <sz val="11"/>
        <rFont val="Calibri"/>
        <family val="2"/>
        <scheme val="minor"/>
      </rPr>
      <t>(h)  reporting births, deaths and notifiable diseases to government authorities to meet legal and professional
requirements;</t>
    </r>
  </si>
  <si>
    <r>
      <rPr>
        <sz val="11"/>
        <rFont val="Calibri"/>
        <family val="2"/>
        <scheme val="minor"/>
      </rPr>
      <t>(i)  providing information to patients and families and
communities about preventive measures, treatment and care
for specific ailments;</t>
    </r>
  </si>
  <si>
    <r>
      <rPr>
        <sz val="11"/>
        <rFont val="Calibri"/>
        <family val="2"/>
        <scheme val="minor"/>
      </rPr>
      <t>(k)  conducting research into specific human disorders and illnesses and preventive or
curative methods and disseminating the findings such as through scientific
reports;</t>
    </r>
  </si>
  <si>
    <r>
      <rPr>
        <sz val="11"/>
        <rFont val="Calibri"/>
        <family val="2"/>
        <scheme val="minor"/>
      </rPr>
      <t>(a)  conducting physical examinations of patients and interviewing them and their families to determine their health status, and recording
patients’ medical information;</t>
    </r>
  </si>
  <si>
    <r>
      <rPr>
        <sz val="11"/>
        <rFont val="Calibri"/>
        <family val="2"/>
        <scheme val="minor"/>
      </rPr>
      <t>(b)  performing basic or more routine medical and surgical
procedures, including prescribing and administering treatments, medications and other preventive or curative measures, especially for common diseases and
disorders;</t>
    </r>
  </si>
  <si>
    <r>
      <rPr>
        <sz val="11"/>
        <rFont val="Calibri"/>
        <family val="2"/>
        <scheme val="minor"/>
      </rPr>
      <t>(c)  administering  or ordering diagnostic tests, such as X-ray,
electrocardiogram and laboratory tests;</t>
    </r>
  </si>
  <si>
    <r>
      <rPr>
        <sz val="11"/>
        <rFont val="Calibri"/>
        <family val="2"/>
        <scheme val="minor"/>
      </rPr>
      <t>(d)  performing therapeutic procedures such as injections, immunizations, suturing and
wound care, and infection management;</t>
    </r>
  </si>
  <si>
    <r>
      <rPr>
        <sz val="11"/>
        <rFont val="Calibri"/>
        <family val="2"/>
        <scheme val="minor"/>
      </rPr>
      <t>(e)  assisting medical doctors with complex surgical
procedures;</t>
    </r>
  </si>
  <si>
    <r>
      <rPr>
        <sz val="11"/>
        <rFont val="Calibri"/>
        <family val="2"/>
        <scheme val="minor"/>
      </rPr>
      <t>(f)  monitoring patients’ progress and response to treatment, and identifying
signs and symptoms requiring referral to medical doctors;</t>
    </r>
  </si>
  <si>
    <r>
      <rPr>
        <sz val="11"/>
        <rFont val="Calibri"/>
        <family val="2"/>
        <scheme val="minor"/>
      </rPr>
      <t>(g)  advising patients and families on diet, exercise and
other habits which aid prevention or treatment of
disease and disorders;</t>
    </r>
  </si>
  <si>
    <r>
      <rPr>
        <sz val="11"/>
        <rFont val="Calibri"/>
        <family val="2"/>
        <scheme val="minor"/>
      </rPr>
      <t>(h)  identifying and referring complex or unusual cases to medical doctors,  hospitals or other places for specialized
care;</t>
    </r>
  </si>
  <si>
    <r>
      <rPr>
        <sz val="11"/>
        <rFont val="Calibri"/>
        <family val="2"/>
        <scheme val="minor"/>
      </rPr>
      <t>(i)  reporting births, deaths and notifiable diseases to
government authorities to meet legal and professional
reporting requirements.</t>
    </r>
  </si>
  <si>
    <r>
      <rPr>
        <sz val="11"/>
        <rFont val="Calibri"/>
        <family val="2"/>
        <scheme val="minor"/>
      </rPr>
      <t>(a)  determining the presence and nature of abnormal conditions by physical examination, laboratory
testing and through diagnostic
imaging techniques including radiography and ultrasound;</t>
    </r>
  </si>
  <si>
    <r>
      <rPr>
        <sz val="11"/>
        <rFont val="Calibri"/>
        <family val="2"/>
        <scheme val="minor"/>
      </rPr>
      <t>(b)  treating animals medically and surgically, and
administering and prescribing drugs, analgesics, and general
and local anaesthetics;</t>
    </r>
  </si>
  <si>
    <r>
      <rPr>
        <sz val="11"/>
        <rFont val="Calibri"/>
        <family val="2"/>
        <scheme val="minor"/>
      </rPr>
      <t>(c)  performing surgery, dressing wounds and setting
broken bones;</t>
    </r>
  </si>
  <si>
    <r>
      <rPr>
        <sz val="11"/>
        <rFont val="Calibri"/>
        <family val="2"/>
        <scheme val="minor"/>
      </rPr>
      <t>(e)  participating in programmes designed to prevent the occurrence and
spread of animal diseases;</t>
    </r>
  </si>
  <si>
    <r>
      <rPr>
        <sz val="11"/>
        <rFont val="Calibri"/>
        <family val="2"/>
        <scheme val="minor"/>
      </rPr>
      <t>(f)  inoculating animals against, and testing for, infectious diseases and notifying authorities of
outbreaks of infectious animal diseases;</t>
    </r>
  </si>
  <si>
    <r>
      <rPr>
        <sz val="11"/>
        <rFont val="Calibri"/>
        <family val="2"/>
        <scheme val="minor"/>
      </rPr>
      <t>(h)  advising clients on health,
nutrition and feeding, hygiene, breeding and care of animals;</t>
    </r>
  </si>
  <si>
    <r>
      <rPr>
        <sz val="11"/>
        <rFont val="Calibri"/>
        <family val="2"/>
        <scheme val="minor"/>
      </rPr>
      <t>(a)  diagnosing diseases, injuries, irregularities and malformations of teeth and associated structures in the mouth and jaw using a range
of methods such as radiographs, salivary tests and
medical histories;</t>
    </r>
  </si>
  <si>
    <r>
      <rPr>
        <sz val="11"/>
        <rFont val="Calibri"/>
        <family val="2"/>
        <scheme val="minor"/>
      </rPr>
      <t>(b)  providing preventative oral health care such as periodontal treatments,
fluoride applications and oral health promotion;</t>
    </r>
  </si>
  <si>
    <r>
      <rPr>
        <sz val="11"/>
        <rFont val="Calibri"/>
        <family val="2"/>
        <scheme val="minor"/>
      </rPr>
      <t>(c)  administering anaesthetics to limit the amount of pain
experienced by patients during
procedures;</t>
    </r>
  </si>
  <si>
    <r>
      <rPr>
        <sz val="11"/>
        <rFont val="Calibri"/>
        <family val="2"/>
        <scheme val="minor"/>
      </rPr>
      <t>(d)  prescribing medication for relief of ongoing  pain after
procedures</t>
    </r>
  </si>
  <si>
    <r>
      <rPr>
        <sz val="11"/>
        <rFont val="Calibri"/>
        <family val="2"/>
        <scheme val="minor"/>
      </rPr>
      <t>(e)  providing restorative oral care such as implants,
complex crown and bridge restorations and orthodontics,
and repairing damaged and decayed teeth;</t>
    </r>
  </si>
  <si>
    <r>
      <rPr>
        <sz val="11"/>
        <rFont val="Calibri"/>
        <family val="2"/>
        <scheme val="minor"/>
      </rPr>
      <t>(f)  providing surgical treatments such as extraction of teeth and biopsy of tissue, and performing orthodontic
treatment;</t>
    </r>
  </si>
  <si>
    <r>
      <rPr>
        <sz val="11"/>
        <rFont val="Calibri"/>
        <family val="2"/>
        <scheme val="minor"/>
      </rPr>
      <t>(g)  measuring and taking
impressions of patients’ jaws and teeth in order to determine the shape and size of dental
prostheses;</t>
    </r>
  </si>
  <si>
    <r>
      <rPr>
        <sz val="11"/>
        <rFont val="Calibri"/>
        <family val="2"/>
        <scheme val="minor"/>
      </rPr>
      <t>(h)  designing, making, and fitting prosthodontic
appliances such as space maintainers, bridges and dentures, or writing fabrication instructions or prescriptions for dental
prosthetic technicians;</t>
    </r>
  </si>
  <si>
    <r>
      <rPr>
        <sz val="11"/>
        <rFont val="Calibri"/>
        <family val="2"/>
        <scheme val="minor"/>
      </rPr>
      <t>(i)  restoring oral function with removable and fixed oral
prostheses;</t>
    </r>
  </si>
  <si>
    <r>
      <rPr>
        <sz val="11"/>
        <rFont val="Calibri"/>
        <family val="2"/>
        <scheme val="minor"/>
      </rPr>
      <t>(j)  assisting in diagnosing general diseases having oral
manifestations such as diabetes;</t>
    </r>
  </si>
  <si>
    <r>
      <rPr>
        <sz val="11"/>
        <rFont val="Calibri"/>
        <family val="2"/>
        <scheme val="minor"/>
      </rPr>
      <t>(k)  educating patients and families on dental hygiene, nutrition and other measures
to take care of oral health;</t>
    </r>
  </si>
  <si>
    <r>
      <rPr>
        <sz val="11"/>
        <rFont val="Calibri"/>
        <family val="2"/>
        <scheme val="minor"/>
      </rPr>
      <t>(l)  supervising dental hygienists, dental assistants
and other staff.</t>
    </r>
  </si>
  <si>
    <r>
      <rPr>
        <sz val="11"/>
        <rFont val="Calibri"/>
        <family val="2"/>
        <scheme val="minor"/>
      </rPr>
      <t>(a)  developing, implementing and reviewing programmes and policies to minimize potential environmental and occupational risks to health
and safety;</t>
    </r>
  </si>
  <si>
    <r>
      <rPr>
        <sz val="11"/>
        <rFont val="Calibri"/>
        <family val="2"/>
        <scheme val="minor"/>
      </rPr>
      <t>(b)  preparing and implementing plans and strategies for the safe, economic and suitable disposal of commercial, industrial, medical and
household wastes;</t>
    </r>
  </si>
  <si>
    <r>
      <rPr>
        <sz val="11"/>
        <rFont val="Calibri"/>
        <family val="2"/>
        <scheme val="minor"/>
      </rPr>
      <t>(c)  implementing prevention programmes and strategies for communicable diseases, food safety, wastewater treatment
and disposal systems, recreation and domestic water quality, contaminated and
hazardous substances;</t>
    </r>
  </si>
  <si>
    <r>
      <rPr>
        <sz val="11"/>
        <rFont val="Calibri"/>
        <family val="2"/>
        <scheme val="minor"/>
      </rPr>
      <t>(d)  identifying, reporting and documenting hazards, and
assessing and controlling risks in the environment and workplace and advising on
compliance with relevant law and regulations;</t>
    </r>
  </si>
  <si>
    <r>
      <rPr>
        <sz val="11"/>
        <rFont val="Calibri"/>
        <family val="2"/>
        <scheme val="minor"/>
      </rPr>
      <t>(e)  developing, implementing and monitoring programmes to
minimize workplace and environmental pollution involving chemical, physical and biological hazards;</t>
    </r>
  </si>
  <si>
    <r>
      <rPr>
        <sz val="11"/>
        <rFont val="Calibri"/>
        <family val="2"/>
        <scheme val="minor"/>
      </rPr>
      <t>(f)  advising on methods to prevent, eliminate, control, or
reduce the exposure of workers, students, the public and the environment to radiological and other hazards;</t>
    </r>
  </si>
  <si>
    <r>
      <rPr>
        <sz val="11"/>
        <rFont val="Calibri"/>
        <family val="2"/>
        <scheme val="minor"/>
      </rPr>
      <t>(g)  promoting ergonomic principles within the
workplace such as matching furniture, equipment and work activities to the needs of employees;</t>
    </r>
  </si>
  <si>
    <r>
      <rPr>
        <sz val="11"/>
        <rFont val="Calibri"/>
        <family val="2"/>
        <scheme val="minor"/>
      </rPr>
      <t>(h)  providing education, information, training, and
advice to persons at all levels on aspects of occupational hygiene and environmental health;</t>
    </r>
  </si>
  <si>
    <r>
      <rPr>
        <sz val="11"/>
        <rFont val="Calibri"/>
        <family val="2"/>
        <scheme val="minor"/>
      </rPr>
      <t>(i)   recording and investigating injuries and equipment damage, and
reporting safety performance;</t>
    </r>
  </si>
  <si>
    <r>
      <rPr>
        <sz val="11"/>
        <rFont val="Calibri"/>
        <family val="2"/>
        <scheme val="minor"/>
      </rPr>
      <t>(j)  coordinating arrangements for the compensation,
rehabilitation and return to work of injured workers.</t>
    </r>
  </si>
  <si>
    <r>
      <rPr>
        <sz val="11"/>
        <rFont val="Calibri"/>
        <family val="2"/>
        <scheme val="minor"/>
      </rPr>
      <t>(a)  instructing individuals, families and communities on nutrition, the planning of diets
and preparation of food to maximize health benefits and reduce potential risks to
health;</t>
    </r>
  </si>
  <si>
    <r>
      <rPr>
        <sz val="11"/>
        <rFont val="Calibri"/>
        <family val="2"/>
        <scheme val="minor"/>
      </rPr>
      <t>(b)  planning diets and menus, supervising the preparation and serving of meals, and monitoring food intake and quality to provide nutritional care in settings offering food
services;</t>
    </r>
  </si>
  <si>
    <r>
      <rPr>
        <sz val="11"/>
        <rFont val="Calibri"/>
        <family val="2"/>
        <scheme val="minor"/>
      </rPr>
      <t>(c)  compiling and assessing data relating to health and
nutritional status of individuals, groups and communities based on
nutritional values of food served or consumed;</t>
    </r>
  </si>
  <si>
    <r>
      <rPr>
        <sz val="11"/>
        <rFont val="Calibri"/>
        <family val="2"/>
        <scheme val="minor"/>
      </rPr>
      <t>(d)  planning and conducting nutrition assessments,
intervention programmes, and education and training to improve nutritional levels among individuals and
communities;</t>
    </r>
  </si>
  <si>
    <r>
      <rPr>
        <sz val="11"/>
        <rFont val="Calibri"/>
        <family val="2"/>
        <scheme val="minor"/>
      </rPr>
      <t>(e)  consulting with other health professionals and care
providers to manage the
dietary and nutritional needs of patients;</t>
    </r>
  </si>
  <si>
    <r>
      <rPr>
        <sz val="11"/>
        <rFont val="Calibri"/>
        <family val="2"/>
        <scheme val="minor"/>
      </rPr>
      <t>(f)  developing and evaluating food and nutrition products to
meet nutritional requirements;</t>
    </r>
  </si>
  <si>
    <r>
      <rPr>
        <sz val="11"/>
        <rFont val="Calibri"/>
        <family val="2"/>
        <scheme val="minor"/>
      </rPr>
      <t>(a)  evaluating hearing, speech and language performance in
patients to determine the
nature of hearing and communication disorders;</t>
    </r>
  </si>
  <si>
    <r>
      <rPr>
        <sz val="11"/>
        <rFont val="Calibri"/>
        <family val="2"/>
        <scheme val="minor"/>
      </rPr>
      <t>(b)  administering hearing or speech/language tests or other
examinations  using specialized diagnostic instruments and equipment, and interpreting test results alongside other medical, social and behavioural diagnostic data to determine appropriate
courses of treatment;</t>
    </r>
  </si>
  <si>
    <r>
      <rPr>
        <sz val="11"/>
        <rFont val="Calibri"/>
        <family val="2"/>
        <scheme val="minor"/>
      </rPr>
      <t>(c)  planning, directing and participating in counselling,
screening, speech rehabilitation and other programmes related to hearing
and communication;</t>
    </r>
  </si>
  <si>
    <r>
      <rPr>
        <sz val="11"/>
        <rFont val="Calibri"/>
        <family val="2"/>
        <scheme val="minor"/>
      </rPr>
      <t>(d)  prescribing hearing aids and other assistive devices according to patients’ needs and instructing them in their
use;</t>
    </r>
  </si>
  <si>
    <r>
      <rPr>
        <sz val="11"/>
        <rFont val="Calibri"/>
        <family val="2"/>
        <scheme val="minor"/>
      </rPr>
      <t>(e)  planning and conducting treatment programmes to manage physical disorders
affecting speech and swallowing;</t>
    </r>
  </si>
  <si>
    <r>
      <rPr>
        <sz val="11"/>
        <rFont val="Calibri"/>
        <family val="2"/>
        <scheme val="minor"/>
      </rPr>
      <t>(f)  counselling and guiding hearing and/or language- impaired individuals, their
families, teachers and
employers;</t>
    </r>
  </si>
  <si>
    <r>
      <rPr>
        <sz val="11"/>
        <rFont val="Calibri"/>
        <family val="2"/>
        <scheme val="minor"/>
      </rPr>
      <t>(g)  referring patients and families to additional medical
or educational services if
needed.</t>
    </r>
  </si>
  <si>
    <r>
      <rPr>
        <sz val="11"/>
        <rFont val="Calibri"/>
        <family val="2"/>
        <scheme val="minor"/>
      </rPr>
      <t>(a)  examining patients’ eyes and conducting diagnostic tests to assess ocular health and determine the nature and extent of vision problems and
abnormalities;</t>
    </r>
  </si>
  <si>
    <r>
      <rPr>
        <sz val="11"/>
        <rFont val="Calibri"/>
        <family val="2"/>
        <scheme val="minor"/>
      </rPr>
      <t>(b)  testing visual function using specialized instruments and equipment for measuring visual acuity and refractive
error, function of visual pathways, visual fields, eye movements, freedom of vision
and intraocular pressure;</t>
    </r>
  </si>
  <si>
    <r>
      <rPr>
        <sz val="11"/>
        <rFont val="Calibri"/>
        <family val="2"/>
        <scheme val="minor"/>
      </rPr>
      <t>(c)  detecting, diagnosing and managing eye disease, including prescribing
medications for treatment;</t>
    </r>
  </si>
  <si>
    <r>
      <rPr>
        <sz val="11"/>
        <rFont val="Calibri"/>
        <family val="2"/>
        <scheme val="minor"/>
      </rPr>
      <t>(d)  consulting with and referring patients to
ophthalmologists or other health professionals if additional medical treatment is
necessary;</t>
    </r>
  </si>
  <si>
    <r>
      <rPr>
        <sz val="11"/>
        <rFont val="Calibri"/>
        <family val="2"/>
        <scheme val="minor"/>
      </rPr>
      <t>(e)  detecting and diagnosing eye movement disorders and defects of binocular function, and planning and managing
treatment programmes, including counselling patients in eye exercises to coordinate
movement and focusing of eyes;</t>
    </r>
  </si>
  <si>
    <r>
      <rPr>
        <sz val="11"/>
        <rFont val="Calibri"/>
        <family val="2"/>
        <scheme val="minor"/>
      </rPr>
      <t>(f)  prescribing corrective eyeglasses, contact lenses and other vision aids, and checking
optical devices for
performance, safety, comfort and lifestyle;</t>
    </r>
  </si>
  <si>
    <r>
      <rPr>
        <sz val="11"/>
        <rFont val="Calibri"/>
        <family val="2"/>
        <scheme val="minor"/>
      </rPr>
      <t>(g)  advising on visual health matters such as contact lens
care, vision care for the elderly, optics, visual ergonomics, and occupational
and industrial eye safety.</t>
    </r>
  </si>
  <si>
    <r>
      <rPr>
        <sz val="11"/>
        <rFont val="Calibri"/>
        <family val="2"/>
        <scheme val="minor"/>
      </rPr>
      <t>(a)  interviewing patients and conducting diagnostic tests to determine their health status, functional limitations, and the nature of physical or mental disorders, illnesses or other
health problems;</t>
    </r>
  </si>
  <si>
    <r>
      <rPr>
        <sz val="11"/>
        <rFont val="Calibri"/>
        <family val="2"/>
        <scheme val="minor"/>
      </rPr>
      <t>(b)  developing and implementing treatment plans for injuries, illnesses and other
physical and mental
impairments;</t>
    </r>
  </si>
  <si>
    <r>
      <rPr>
        <sz val="11"/>
        <rFont val="Calibri"/>
        <family val="2"/>
        <scheme val="minor"/>
      </rPr>
      <t>(c)  evaluating and documenting patients’
progress through treatment plans, and referring patients and families to medical doctors or other health care providers for specialized,
rehabilitative or other care services as needed;</t>
    </r>
  </si>
  <si>
    <r>
      <rPr>
        <sz val="11"/>
        <rFont val="Calibri"/>
        <family val="2"/>
        <scheme val="minor"/>
      </rPr>
      <t>(d)  administering therapeutic care and treatment to patients, including through application
of manual and physical
chiropractic and osteopathic techniques;</t>
    </r>
  </si>
  <si>
    <r>
      <rPr>
        <sz val="11"/>
        <rFont val="Calibri"/>
        <family val="2"/>
        <scheme val="minor"/>
      </rPr>
      <t>(e)  recommending environmental adaptations in the home, leisure, work and school environments on an individual or group basis to
enable individuals with functional limitations to perform their daily activities
and occupations;</t>
    </r>
  </si>
  <si>
    <r>
      <rPr>
        <sz val="11"/>
        <rFont val="Calibri"/>
        <family val="2"/>
        <scheme val="minor"/>
      </rPr>
      <t>(g)  identifying and prescribing treatments for
conditions affecting the foot, ankle and related structures of the leg due to illness, disease or other physical impairment, and prescribing corrective
footwear and advising on foot care to manage foot ailments;</t>
    </r>
  </si>
  <si>
    <r>
      <rPr>
        <sz val="11"/>
        <rFont val="Calibri"/>
        <family val="2"/>
        <scheme val="minor"/>
      </rPr>
      <t>(h)  performing minor surgical procedures such as on the foot
and ankles.</t>
    </r>
  </si>
  <si>
    <r>
      <rPr>
        <sz val="11"/>
        <rFont val="Calibri"/>
        <family val="2"/>
        <scheme val="minor"/>
      </rPr>
      <t>(b)  interviewing clients to determine financial status and objectives, risk tolerance and other information needed to develop financial plans and
investment strategies;</t>
    </r>
  </si>
  <si>
    <r>
      <rPr>
        <sz val="11"/>
        <rFont val="Calibri"/>
        <family val="2"/>
        <scheme val="minor"/>
      </rPr>
      <t>(c)  setting financial objectives, and developing and
implementing strategies for achieving them;</t>
    </r>
  </si>
  <si>
    <r>
      <rPr>
        <sz val="11"/>
        <rFont val="Calibri"/>
        <family val="2"/>
        <scheme val="minor"/>
      </rPr>
      <t>(e)  monitoring investment performance, and reviewing and revising investment plans based on modified needs and
changes in markets;</t>
    </r>
  </si>
  <si>
    <r>
      <rPr>
        <sz val="11"/>
        <rFont val="Calibri"/>
        <family val="2"/>
        <scheme val="minor"/>
      </rPr>
      <t>(f)  recommending and arranging insurance cover for
clients.</t>
    </r>
  </si>
  <si>
    <r>
      <rPr>
        <sz val="11"/>
        <rFont val="Calibri"/>
        <family val="2"/>
        <scheme val="minor"/>
      </rPr>
      <t>(a)  assisting and encouraging the development of objectives, strategies and plans aimed at
achieving customer satisfaction and the efficient
use of organizations’ resources;</t>
    </r>
  </si>
  <si>
    <r>
      <rPr>
        <sz val="11"/>
        <rFont val="Calibri"/>
        <family val="2"/>
        <scheme val="minor"/>
      </rPr>
      <t>(c)  discussing current systems with staff and observing systems at all levels of
organization;</t>
    </r>
  </si>
  <si>
    <r>
      <rPr>
        <sz val="11"/>
        <rFont val="Calibri"/>
        <family val="2"/>
        <scheme val="minor"/>
      </rPr>
      <t>(e)  undertaking and reviewing work studies by analysing
existing and proposed methods and procedures such as administrative and clerical
procedures;</t>
    </r>
  </si>
  <si>
    <r>
      <rPr>
        <sz val="11"/>
        <rFont val="Calibri"/>
        <family val="2"/>
        <scheme val="minor"/>
      </rPr>
      <t>(f)  recording and analysing organizations’ workflow charts, records, reports,
manuals and job descriptions;</t>
    </r>
  </si>
  <si>
    <r>
      <rPr>
        <sz val="11"/>
        <rFont val="Calibri"/>
        <family val="2"/>
        <scheme val="minor"/>
      </rPr>
      <t>(g)  preparing and recommending proposals to
revise methods and procedures, alter work flows, redefine job functions and resolve organizational
problems;</t>
    </r>
  </si>
  <si>
    <r>
      <rPr>
        <sz val="11"/>
        <rFont val="Calibri"/>
        <family val="2"/>
        <scheme val="minor"/>
      </rPr>
      <t>(h)  assisting in implementing approved recommendations, issuing revised instructions and procedure manuals and
drafting other documentation;</t>
    </r>
  </si>
  <si>
    <r>
      <rPr>
        <sz val="11"/>
        <rFont val="Calibri"/>
        <family val="2"/>
        <scheme val="minor"/>
      </rPr>
      <t>(i)  reviewing operating procedures and advising of departures from procedures
and standards.</t>
    </r>
  </si>
  <si>
    <r>
      <rPr>
        <sz val="11"/>
        <rFont val="Calibri"/>
        <family val="2"/>
        <scheme val="minor"/>
      </rPr>
      <t>(a)  identifying training needs and requirements of
individuals and organizations;</t>
    </r>
  </si>
  <si>
    <r>
      <rPr>
        <sz val="11"/>
        <rFont val="Calibri"/>
        <family val="2"/>
        <scheme val="minor"/>
      </rPr>
      <t>(c)  preparing and developing instructional training material and aids such as handbooks, visual aids, online tutorials,
demonstration models and
supporting training reference documentation;</t>
    </r>
  </si>
  <si>
    <r>
      <rPr>
        <sz val="11"/>
        <rFont val="Calibri"/>
        <family val="2"/>
        <scheme val="minor"/>
      </rPr>
      <t>(d)  designing, coordinating, scheduling and conducting training and development
programmes that can be delivered in the form of individual and group instruction, and facilitating workshops, meetings,
demonstrations and conferences;</t>
    </r>
  </si>
  <si>
    <r>
      <rPr>
        <sz val="11"/>
        <rFont val="Calibri"/>
        <family val="2"/>
        <scheme val="minor"/>
      </rPr>
      <t>(f)  promoting internal and external training and
development, and evaluating these promotional activities;</t>
    </r>
  </si>
  <si>
    <r>
      <rPr>
        <sz val="11"/>
        <rFont val="Calibri"/>
        <family val="2"/>
        <scheme val="minor"/>
      </rPr>
      <t>(g)  monitoring and performing ongoing
evaluation and assessment of internal and external training quality and effectiveness, and reviewing and modifying training objectives, methods
and course deliverables;</t>
    </r>
  </si>
  <si>
    <r>
      <rPr>
        <sz val="11"/>
        <rFont val="Calibri"/>
        <family val="2"/>
        <scheme val="minor"/>
      </rPr>
      <t>(a)  developing and documenting software testing
plans;</t>
    </r>
  </si>
  <si>
    <r>
      <rPr>
        <sz val="11"/>
        <rFont val="Calibri"/>
        <family val="2"/>
        <scheme val="minor"/>
      </rPr>
      <t>(b)  installing software and hardware and configuring
operating system software in preparation for testing;</t>
    </r>
  </si>
  <si>
    <r>
      <rPr>
        <sz val="11"/>
        <rFont val="Calibri"/>
        <family val="2"/>
        <scheme val="minor"/>
      </rPr>
      <t>(c)  verifying that programs function according to user requirements and established
guidelines;</t>
    </r>
  </si>
  <si>
    <r>
      <rPr>
        <sz val="11"/>
        <rFont val="Calibri"/>
        <family val="2"/>
        <scheme val="minor"/>
      </rPr>
      <t>(d)  executing, analysing and documenting results of
software application tests and information and telecommunication systems tests;</t>
    </r>
  </si>
  <si>
    <r>
      <rPr>
        <sz val="11"/>
        <rFont val="Calibri"/>
        <family val="2"/>
        <scheme val="minor"/>
      </rPr>
      <t>(e)  developing and implementing software and information system testing
policies, procedures and scripts.</t>
    </r>
  </si>
  <si>
    <r>
      <rPr>
        <sz val="11"/>
        <rFont val="Calibri"/>
        <family val="2"/>
        <scheme val="minor"/>
      </rPr>
      <t>(a)  designing and developing database architecture, data
structures, tables, dictionaries and naming conventions for
information systems projects;</t>
    </r>
  </si>
  <si>
    <r>
      <rPr>
        <sz val="11"/>
        <rFont val="Calibri"/>
        <family val="2"/>
        <scheme val="minor"/>
      </rPr>
      <t>(b)  designing, constructing, modifying, integrating, implementing and testing
database management systems;</t>
    </r>
  </si>
  <si>
    <r>
      <rPr>
        <sz val="11"/>
        <rFont val="Calibri"/>
        <family val="2"/>
        <scheme val="minor"/>
      </rPr>
      <t>(c)  conducting research and providing advice on the selection, application and implementation of database
management tools;</t>
    </r>
  </si>
  <si>
    <r>
      <rPr>
        <sz val="11"/>
        <rFont val="Calibri"/>
        <family val="2"/>
        <scheme val="minor"/>
      </rPr>
      <t>(d)  developing and implementing data
administration policy, documentation, standards and
models;</t>
    </r>
  </si>
  <si>
    <r>
      <rPr>
        <sz val="11"/>
        <rFont val="Calibri"/>
        <family val="2"/>
        <scheme val="minor"/>
      </rPr>
      <t>(e)  developing policies and procedures for database access and usage and for the backup
and recovery of data;</t>
    </r>
  </si>
  <si>
    <r>
      <rPr>
        <sz val="11"/>
        <rFont val="Calibri"/>
        <family val="2"/>
        <scheme val="minor"/>
      </rPr>
      <t>(f)  performing the operational establishment and preventive
maintenance of backups, recovery procedures, and enforcing security and
integrity controls.</t>
    </r>
  </si>
  <si>
    <r>
      <rPr>
        <sz val="11"/>
        <rFont val="Calibri"/>
        <family val="2"/>
        <scheme val="minor"/>
      </rPr>
      <t>(a)  maintaining and administering computer
networks and related computing environments, including computer hardware, systems software, applications software and all
configurations;</t>
    </r>
  </si>
  <si>
    <r>
      <rPr>
        <sz val="11"/>
        <rFont val="Calibri"/>
        <family val="2"/>
        <scheme val="minor"/>
      </rPr>
      <t>(b)  recommending changes to improve systems and network
configurations, and determining hardware or software requirements related
to such changes;</t>
    </r>
  </si>
  <si>
    <r>
      <rPr>
        <sz val="11"/>
        <rFont val="Calibri"/>
        <family val="2"/>
        <scheme val="minor"/>
      </rPr>
      <t>(d)  performing data backups and disaster recovery
operations;</t>
    </r>
  </si>
  <si>
    <r>
      <rPr>
        <sz val="11"/>
        <rFont val="Calibri"/>
        <family val="2"/>
        <scheme val="minor"/>
      </rPr>
      <t>(e)  operating master consoles to monitor the performance of
computer systems and networks, and to coordinate computer network access and
use.</t>
    </r>
  </si>
  <si>
    <r>
      <rPr>
        <sz val="11"/>
        <rFont val="Calibri"/>
        <family val="2"/>
        <scheme val="minor"/>
      </rPr>
      <t>(a)  developing plans to safeguard computer files
against accidental or unauthorized modification, destruction or disclosure and
to meet emergency data processing needs;</t>
    </r>
  </si>
  <si>
    <r>
      <rPr>
        <sz val="11"/>
        <rFont val="Calibri"/>
        <family val="2"/>
        <scheme val="minor"/>
      </rPr>
      <t>(b)  training users and promoting security awareness to ensure system security and to improve server and network
efficiency;</t>
    </r>
  </si>
  <si>
    <r>
      <rPr>
        <sz val="11"/>
        <rFont val="Calibri"/>
        <family val="2"/>
        <scheme val="minor"/>
      </rPr>
      <t>(c)  conferring with users to discuss issues such as
computer data access needs, security violations and programming changes;</t>
    </r>
  </si>
  <si>
    <r>
      <rPr>
        <sz val="11"/>
        <rFont val="Calibri"/>
        <family val="2"/>
        <scheme val="minor"/>
      </rPr>
      <t>(d)  monitoring current reports of computer viruses to
determine when to update virus protection systems;</t>
    </r>
  </si>
  <si>
    <r>
      <rPr>
        <sz val="11"/>
        <rFont val="Calibri"/>
        <family val="2"/>
        <scheme val="minor"/>
      </rPr>
      <t>(e)  modifying computer security files to incorporate
new software, correct errors or change individual access status;</t>
    </r>
  </si>
  <si>
    <r>
      <rPr>
        <sz val="11"/>
        <rFont val="Calibri"/>
        <family val="2"/>
        <scheme val="minor"/>
      </rPr>
      <t>(f)  monitoring use of data files and regulate access to safeguard information in
computer files;</t>
    </r>
  </si>
  <si>
    <r>
      <rPr>
        <sz val="11"/>
        <rFont val="Calibri"/>
        <family val="2"/>
        <scheme val="minor"/>
      </rPr>
      <t>(g)  performing risk assessments and executing
tests of data processing system to ensure functioning of data processing activities and
security measures;</t>
    </r>
  </si>
  <si>
    <r>
      <rPr>
        <sz val="11"/>
        <rFont val="Calibri"/>
        <family val="2"/>
        <scheme val="minor"/>
      </rPr>
      <t>(h)  encrypting data transmissions and erecting
firewalls to conceal confidential information as it is being transmitted and to
keep out tainted digital transfers.</t>
    </r>
  </si>
  <si>
    <r>
      <rPr>
        <sz val="11"/>
        <rFont val="Calibri"/>
        <family val="2"/>
        <scheme val="minor"/>
      </rPr>
      <t>(a)  giving clients legal advice on a wide variety of subjects and undertaking legal business
on clients’ behalf;</t>
    </r>
  </si>
  <si>
    <r>
      <rPr>
        <sz val="11"/>
        <rFont val="Calibri"/>
        <family val="2"/>
        <scheme val="minor"/>
      </rPr>
      <t>(b)  researching legal principles, statutes and previous court decisions
related to specific cases;</t>
    </r>
  </si>
  <si>
    <r>
      <rPr>
        <sz val="11"/>
        <rFont val="Calibri"/>
        <family val="2"/>
        <scheme val="minor"/>
      </rPr>
      <t>(c)  gathering evidence to formulate a defence or to
initiate legal actions, by such means as interviewing clients and witnesses to ascertain the
facts of a case;</t>
    </r>
  </si>
  <si>
    <r>
      <rPr>
        <sz val="11"/>
        <rFont val="Calibri"/>
        <family val="2"/>
        <scheme val="minor"/>
      </rPr>
      <t>(d)  evaluating findings and developing strategies and
arguments in preparation for
presentation of cases;</t>
    </r>
  </si>
  <si>
    <r>
      <rPr>
        <sz val="11"/>
        <rFont val="Calibri"/>
        <family val="2"/>
        <scheme val="minor"/>
      </rPr>
      <t>(e)   pleading clients’ cases before courts of law, tribunals and administrative boards or instructing barristers to plead
in higher courts of justice;</t>
    </r>
  </si>
  <si>
    <r>
      <rPr>
        <sz val="11"/>
        <rFont val="Calibri"/>
        <family val="2"/>
        <scheme val="minor"/>
      </rPr>
      <t>(h)  negotiating settlements in matters which involve legal
disputes;</t>
    </r>
  </si>
  <si>
    <r>
      <rPr>
        <sz val="11"/>
        <rFont val="Calibri"/>
        <family val="2"/>
        <scheme val="minor"/>
      </rPr>
      <t>(i)  drafting legislation and preparing government
regulations based on existing
laws;</t>
    </r>
  </si>
  <si>
    <r>
      <rPr>
        <sz val="11"/>
        <rFont val="Calibri"/>
        <family val="2"/>
        <scheme val="minor"/>
      </rPr>
      <t>(j)  drawing up legal documents such as contracts, real estate transactions and wills and preparing statements
of legal opinions.</t>
    </r>
  </si>
  <si>
    <r>
      <rPr>
        <sz val="11"/>
        <rFont val="Calibri"/>
        <family val="2"/>
        <scheme val="minor"/>
      </rPr>
      <t>(b)  interpreting and enforcing rules of procedure and making
rulings regarding the admissibility of evidence;</t>
    </r>
  </si>
  <si>
    <r>
      <rPr>
        <sz val="11"/>
        <rFont val="Calibri"/>
        <family val="2"/>
        <scheme val="minor"/>
      </rPr>
      <t>(c)  determining the rights and obligations of the parties
involved, and in cases tried by
jury;</t>
    </r>
  </si>
  <si>
    <r>
      <rPr>
        <sz val="11"/>
        <rFont val="Calibri"/>
        <family val="2"/>
        <scheme val="minor"/>
      </rPr>
      <t>(d)  instructing the jury on
points of law that are applicable to the case;</t>
    </r>
  </si>
  <si>
    <r>
      <rPr>
        <sz val="11"/>
        <rFont val="Calibri"/>
        <family val="2"/>
        <scheme val="minor"/>
      </rPr>
      <t>(e)  weighing and considering evidence in non-jury trials and
deciding legal guilt or innocence or degree of
liability of the accused or defendant;</t>
    </r>
  </si>
  <si>
    <r>
      <rPr>
        <sz val="11"/>
        <rFont val="Calibri"/>
        <family val="2"/>
        <scheme val="minor"/>
      </rPr>
      <t>(f)  passing sentence on persons convicted in criminal cases, determining damages or
other appropriate remedy in
civil cases and issuing court orders;</t>
    </r>
  </si>
  <si>
    <r>
      <rPr>
        <sz val="11"/>
        <rFont val="Calibri"/>
        <family val="2"/>
        <scheme val="minor"/>
      </rPr>
      <t>(g)  researching legal issues and writing opinions on the
issues.</t>
    </r>
  </si>
  <si>
    <r>
      <rPr>
        <sz val="11"/>
        <rFont val="Calibri"/>
        <family val="2"/>
        <scheme val="minor"/>
      </rPr>
      <t>(a)  giving advice on legal aspects of various personal, business and administrative
problems;</t>
    </r>
  </si>
  <si>
    <r>
      <rPr>
        <sz val="11"/>
        <rFont val="Calibri"/>
        <family val="2"/>
        <scheme val="minor"/>
      </rPr>
      <t>(d)  determining, by inquest, the causes of any death not obviously due to natural
causes.</t>
    </r>
  </si>
  <si>
    <r>
      <rPr>
        <sz val="11"/>
        <rFont val="Calibri"/>
        <family val="2"/>
        <scheme val="minor"/>
      </rPr>
      <t>(a)  evaluating and preserving records for administrative,
historical, legal, evidential and other purposes;</t>
    </r>
  </si>
  <si>
    <r>
      <rPr>
        <sz val="11"/>
        <rFont val="Calibri"/>
        <family val="2"/>
        <scheme val="minor"/>
      </rPr>
      <t>(b)  directing or carrying out the preparation of indexes, bibliographies, microfilm
copies and other reference aids to the collected material and
making them available to users;</t>
    </r>
  </si>
  <si>
    <r>
      <rPr>
        <sz val="11"/>
        <rFont val="Calibri"/>
        <family val="2"/>
        <scheme val="minor"/>
      </rPr>
      <t>(c)  researching the origin, distribution and use of materials and objects of
cultural and historical interest;</t>
    </r>
  </si>
  <si>
    <r>
      <rPr>
        <sz val="11"/>
        <rFont val="Calibri"/>
        <family val="2"/>
        <scheme val="minor"/>
      </rPr>
      <t>(e)  directing or undertaking classification and cataloguing
of museum and art gallery collections and organizing
exhibitions;</t>
    </r>
  </si>
  <si>
    <r>
      <rPr>
        <sz val="11"/>
        <rFont val="Calibri"/>
        <family val="2"/>
        <scheme val="minor"/>
      </rPr>
      <t>(f)  researching into, appraising, organizing and
preserving historically significant and valuable documents such as government papers, private papers, photographs, maps,
manuscripts and audiovisual materials;</t>
    </r>
  </si>
  <si>
    <r>
      <rPr>
        <sz val="11"/>
        <rFont val="Calibri"/>
        <family val="2"/>
        <scheme val="minor"/>
      </rPr>
      <t>(h)  planning and implementing the
computerized management of archives and electronic
records;</t>
    </r>
  </si>
  <si>
    <r>
      <rPr>
        <sz val="11"/>
        <rFont val="Calibri"/>
        <family val="2"/>
        <scheme val="minor"/>
      </rPr>
      <t>(i)  organizing exhibitions at museums and art galleries, publicizing exhibits and arranging special displays for
general, specialized or educational interest;</t>
    </r>
  </si>
  <si>
    <r>
      <rPr>
        <sz val="11"/>
        <rFont val="Calibri"/>
        <family val="2"/>
        <scheme val="minor"/>
      </rPr>
      <t>(j)  appraising and acquiring archival materials to build and develop an archival collection
for research purposes.</t>
    </r>
  </si>
  <si>
    <r>
      <rPr>
        <sz val="11"/>
        <rFont val="Calibri"/>
        <family val="2"/>
        <scheme val="minor"/>
      </rPr>
      <t>(a)  organizing, developing and maintaining a systematic
collection of books, periodicals and other printed, audiovisually and digitally
recorded material;</t>
    </r>
  </si>
  <si>
    <r>
      <rPr>
        <sz val="11"/>
        <rFont val="Calibri"/>
        <family val="2"/>
        <scheme val="minor"/>
      </rPr>
      <t>(b)  selecting and recommending acquisitions of
books and other printed or
audiovisually and digitally recorded material;</t>
    </r>
  </si>
  <si>
    <r>
      <rPr>
        <sz val="11"/>
        <rFont val="Calibri"/>
        <family val="2"/>
        <scheme val="minor"/>
      </rPr>
      <t>(d)  managing library borrowing and interlibrary
loan facilities and information networks;</t>
    </r>
  </si>
  <si>
    <r>
      <rPr>
        <sz val="11"/>
        <rFont val="Calibri"/>
        <family val="2"/>
        <scheme val="minor"/>
      </rPr>
      <t>(e)  retrieving material and providing information to
business and other users based on the collection itself or on library and information-
network systems;</t>
    </r>
  </si>
  <si>
    <r>
      <rPr>
        <sz val="11"/>
        <rFont val="Calibri"/>
        <family val="2"/>
        <scheme val="minor"/>
      </rPr>
      <t>(f)  conducting research and analysing or modifying library
and information services in accordance with changes in
users’ needs;</t>
    </r>
  </si>
  <si>
    <r>
      <rPr>
        <sz val="11"/>
        <rFont val="Calibri"/>
        <family val="2"/>
        <scheme val="minor"/>
      </rPr>
      <t>(g)  devising and implementing schemes and conceptual models for the
storage, organization, classification and retrieval of
information;</t>
    </r>
  </si>
  <si>
    <r>
      <rPr>
        <sz val="11"/>
        <rFont val="Calibri"/>
        <family val="2"/>
        <scheme val="minor"/>
      </rPr>
      <t>(a)  forecasting changes in the economic environment for short-term budgeting, long- term planning and investment
evaluation;</t>
    </r>
  </si>
  <si>
    <r>
      <rPr>
        <sz val="11"/>
        <rFont val="Calibri"/>
        <family val="2"/>
        <scheme val="minor"/>
      </rPr>
      <t>(b)  formulating recommendations, policies and
plans for the economy, corporate strategies and investment, and undertaking
feasibility studies for projects;</t>
    </r>
  </si>
  <si>
    <r>
      <rPr>
        <sz val="11"/>
        <rFont val="Calibri"/>
        <family val="2"/>
        <scheme val="minor"/>
      </rPr>
      <t>(c)  monitoring  economic data to assess the effectiveness, and advise on the appropriateness,
of monetary and fiscal
policies;</t>
    </r>
  </si>
  <si>
    <r>
      <rPr>
        <sz val="11"/>
        <rFont val="Calibri"/>
        <family val="2"/>
        <scheme val="minor"/>
      </rPr>
      <t>(d)  forecasting production and consumption of specific
products and services based on records of past production and consumption and general
economic and industry- specific conditions;</t>
    </r>
  </si>
  <si>
    <r>
      <rPr>
        <sz val="11"/>
        <rFont val="Calibri"/>
        <family val="2"/>
        <scheme val="minor"/>
      </rPr>
      <t>(e)  preparing forecasts of income and expenditure, interest rates and exchange
rates;</t>
    </r>
  </si>
  <si>
    <r>
      <rPr>
        <sz val="11"/>
        <rFont val="Calibri"/>
        <family val="2"/>
        <scheme val="minor"/>
      </rPr>
      <t>(f)  analysing factors that determine labour force
participation, employment, wages, unemployment and
other labour market outcomes;</t>
    </r>
  </si>
  <si>
    <r>
      <rPr>
        <sz val="11"/>
        <rFont val="Calibri"/>
        <family val="2"/>
        <scheme val="minor"/>
      </rPr>
      <t>(g)  applying mathematical formulae and statistical
techniques to test economic
theories and devise solutions to economic problems;</t>
    </r>
  </si>
  <si>
    <r>
      <rPr>
        <sz val="11"/>
        <rFont val="Calibri"/>
        <family val="2"/>
        <scheme val="minor"/>
      </rPr>
      <t>(i)  evaluating the outcome of political decisions concerning public economy and finances,
and advising on economic policy and possible courses of action in the light of past, present and projected
economic factors and trends;</t>
    </r>
  </si>
  <si>
    <r>
      <rPr>
        <sz val="11"/>
        <rFont val="Calibri"/>
        <family val="2"/>
        <scheme val="minor"/>
      </rPr>
      <t>(k)  examining problems related to the economic activities of individual
companies;</t>
    </r>
  </si>
  <si>
    <r>
      <rPr>
        <sz val="11"/>
        <rFont val="Calibri"/>
        <family val="2"/>
        <scheme val="minor"/>
      </rPr>
      <t>(l)  conducting research on market conditions in local, regional or national areas to set sales and pricing levels for goods and services, to assess
market potential and future trends and to develop business
strategies.</t>
    </r>
  </si>
  <si>
    <r>
      <rPr>
        <sz val="11"/>
        <rFont val="Calibri"/>
        <family val="2"/>
        <scheme val="minor"/>
      </rPr>
      <t>(a)  conducting research on the origin, development, structure, social patterns, organizations
and interrelationships of human society;</t>
    </r>
  </si>
  <si>
    <r>
      <rPr>
        <sz val="11"/>
        <rFont val="Calibri"/>
        <family val="2"/>
        <scheme val="minor"/>
      </rPr>
      <t>(b)  tracing the origin and evolution of humanity through
the study of changing characteristics and cultural and
social institutions;</t>
    </r>
  </si>
  <si>
    <r>
      <rPr>
        <sz val="11"/>
        <rFont val="Calibri"/>
        <family val="2"/>
        <scheme val="minor"/>
      </rPr>
      <t>(c)  tracing the development of humanity through the material
remains of its past, such as dwellings, temples, tools,
pottery, coins, weapons or sculpture;</t>
    </r>
  </si>
  <si>
    <r>
      <rPr>
        <sz val="11"/>
        <rFont val="Calibri"/>
        <family val="2"/>
        <scheme val="minor"/>
      </rPr>
      <t>(e)  developing theories, models and methods to
interpret and describe social phenomena;</t>
    </r>
  </si>
  <si>
    <r>
      <rPr>
        <sz val="11"/>
        <rFont val="Calibri"/>
        <family val="2"/>
        <scheme val="minor"/>
      </rPr>
      <t>(f)  evaluating the outcome of political decisions concerning
social policy;</t>
    </r>
  </si>
  <si>
    <r>
      <rPr>
        <sz val="11"/>
        <rFont val="Calibri"/>
        <family val="2"/>
        <scheme val="minor"/>
      </rPr>
      <t>(h)  advising on the practical application of findings in the formulation of economic and social policies for population groups and regions, and for
the development of markets;</t>
    </r>
  </si>
  <si>
    <r>
      <rPr>
        <sz val="11"/>
        <rFont val="Calibri"/>
        <family val="2"/>
        <scheme val="minor"/>
      </rPr>
      <t>(a)  researching, including by reasoning, into the general
causes, principles and meanings of the world, human actions, experience and existence, and interpreting and developing philosophical
concepts and theories;</t>
    </r>
  </si>
  <si>
    <r>
      <rPr>
        <sz val="11"/>
        <rFont val="Calibri"/>
        <family val="2"/>
        <scheme val="minor"/>
      </rPr>
      <t>(b)  consulting and comparing primary sources such as original or contemporary records of past events, and secondary sources such as
archaeological or
anthropological findings;</t>
    </r>
  </si>
  <si>
    <r>
      <rPr>
        <sz val="11"/>
        <rFont val="Calibri"/>
        <family val="2"/>
        <scheme val="minor"/>
      </rPr>
      <t>(c)  extracting relevant material, checking its
authenticity, and researching into and describing the history of a particular period, country or region, or a particular facet – for example economic,
social or political – of its history;</t>
    </r>
  </si>
  <si>
    <r>
      <rPr>
        <sz val="11"/>
        <rFont val="Calibri"/>
        <family val="2"/>
        <scheme val="minor"/>
      </rPr>
      <t>(d)  conducting research in such fields as political philosophy, or past and
present theory and practice of
political systems, institutions or behaviour;</t>
    </r>
  </si>
  <si>
    <r>
      <rPr>
        <sz val="11"/>
        <rFont val="Calibri"/>
        <family val="2"/>
        <scheme val="minor"/>
      </rPr>
      <t>(e)  observing contemporary political institutions and
opinions, collecting data on them from various sources, including interviews with government and political party officials and other relevant
persons;</t>
    </r>
  </si>
  <si>
    <r>
      <rPr>
        <sz val="11"/>
        <rFont val="Calibri"/>
        <family val="2"/>
        <scheme val="minor"/>
      </rPr>
      <t>(f)  developing theories, models and methods to interpret and describe the nature of human experience and historical and political
events and behaviour;</t>
    </r>
  </si>
  <si>
    <r>
      <rPr>
        <sz val="11"/>
        <rFont val="Calibri"/>
        <family val="2"/>
        <scheme val="minor"/>
      </rPr>
      <t>(g)  presenting findings and conclusions for publication or use by government, political parties or other organizations
and interested persons;</t>
    </r>
  </si>
  <si>
    <r>
      <rPr>
        <sz val="11"/>
        <rFont val="Calibri"/>
        <family val="2"/>
        <scheme val="minor"/>
      </rPr>
      <t>(a)  planning and carrying out tests to measure mental,
physical and other characteristics such as intelligence, abilities, aptitudes, potentialities, etc., interpreting and evaluating
results, and providing advice;</t>
    </r>
  </si>
  <si>
    <r>
      <rPr>
        <sz val="11"/>
        <rFont val="Calibri"/>
        <family val="2"/>
        <scheme val="minor"/>
      </rPr>
      <t>(b)  analysing the effect of heredity, social, occupational and other factors on individual
thought and behaviour;</t>
    </r>
  </si>
  <si>
    <r>
      <rPr>
        <sz val="11"/>
        <rFont val="Calibri"/>
        <family val="2"/>
        <scheme val="minor"/>
      </rPr>
      <t>(d)  maintaining required contacts, such as those with family members, educational authorities or employers, and
recommending possible
solutions to, and treatment of, problems;</t>
    </r>
  </si>
  <si>
    <r>
      <rPr>
        <sz val="11"/>
        <rFont val="Calibri"/>
        <family val="2"/>
        <scheme val="minor"/>
      </rPr>
      <t>(e)  studying psychological factors in the diagnosis,
treatment and prevention of mental illnesses and emotional or personality disorders, and conferring with related
professionals;</t>
    </r>
  </si>
  <si>
    <r>
      <rPr>
        <sz val="11"/>
        <rFont val="Calibri"/>
        <family val="2"/>
        <scheme val="minor"/>
      </rPr>
      <t>(g)  formulating achievement, diagnostic and predictive tests for use by teachers in planning
methods and content of instruction;</t>
    </r>
  </si>
  <si>
    <r>
      <rPr>
        <sz val="11"/>
        <rFont val="Calibri"/>
        <family val="2"/>
        <scheme val="minor"/>
      </rPr>
      <t>(h)  conducting surveys and research studies on job design,
work groups, morale, motivation, supervision and
management;</t>
    </r>
  </si>
  <si>
    <r>
      <rPr>
        <sz val="11"/>
        <rFont val="Calibri"/>
        <family val="2"/>
        <scheme val="minor"/>
      </rPr>
      <t>(i)  developing theories, models and methods to
interpret and describe human behaviour.</t>
    </r>
  </si>
  <si>
    <r>
      <rPr>
        <sz val="11"/>
        <rFont val="Calibri"/>
        <family val="2"/>
        <scheme val="minor"/>
      </rPr>
      <t>(a)  studying relationships between ancient parent languages and modern
language groups, tracing the origin and evolution of words, grammar and language forms,
and presenting findings;</t>
    </r>
  </si>
  <si>
    <r>
      <rPr>
        <sz val="11"/>
        <rFont val="Calibri"/>
        <family val="2"/>
        <scheme val="minor"/>
      </rPr>
      <t>(b)  advising on or preparing language classification
systems, grammars,
dictionaries and similar materials;</t>
    </r>
  </si>
  <si>
    <r>
      <rPr>
        <sz val="11"/>
        <rFont val="Calibri"/>
        <family val="2"/>
        <scheme val="minor"/>
      </rPr>
      <t>(c)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r>
  </si>
  <si>
    <r>
      <rPr>
        <sz val="11"/>
        <rFont val="Calibri"/>
        <family val="2"/>
        <scheme val="minor"/>
      </rPr>
      <t>(d)  developing methods for the use of computers and other
instruments to improve
productivity and quality of translation;</t>
    </r>
  </si>
  <si>
    <r>
      <rPr>
        <sz val="11"/>
        <rFont val="Calibri"/>
        <family val="2"/>
        <scheme val="minor"/>
      </rPr>
      <t>(e)  interpreting from a spoken or a signed language into another spoken or signed language, in particular at conferences, meetings and
similar occasions, and ensuring that the correct meaning and, as far as
possible, the spirit of the original are transmitted;</t>
    </r>
  </si>
  <si>
    <r>
      <rPr>
        <sz val="11"/>
        <rFont val="Calibri"/>
        <family val="2"/>
        <scheme val="minor"/>
      </rPr>
      <t>(a)  learning lines and cues and playing parts in dramatic
productions on stage, commercials, television, radio
or in motion pictures;</t>
    </r>
  </si>
  <si>
    <r>
      <rPr>
        <sz val="11"/>
        <rFont val="Calibri"/>
        <family val="2"/>
        <scheme val="minor"/>
      </rPr>
      <t>(b)  assuming characters created by a playwright or
author and communicating this
to an audience;</t>
    </r>
  </si>
  <si>
    <r>
      <rPr>
        <sz val="11"/>
        <rFont val="Calibri"/>
        <family val="2"/>
        <scheme val="minor"/>
      </rPr>
      <t>(c)  telling stories or reading literary works aloud to educate
or entertain listeners;</t>
    </r>
  </si>
  <si>
    <r>
      <rPr>
        <sz val="11"/>
        <rFont val="Calibri"/>
        <family val="2"/>
        <scheme val="minor"/>
      </rPr>
      <t>(d)  attending auditions and casting calls in order to
audition for roles;</t>
    </r>
  </si>
  <si>
    <r>
      <rPr>
        <sz val="11"/>
        <rFont val="Calibri"/>
        <family val="2"/>
        <scheme val="minor"/>
      </rPr>
      <t>(e)  preparing for performances through rehearsals under the
instruction and guidance of
production directors;</t>
    </r>
  </si>
  <si>
    <r>
      <rPr>
        <sz val="11"/>
        <rFont val="Calibri"/>
        <family val="2"/>
        <scheme val="minor"/>
      </rPr>
      <t>(f)  reading scripts and undertaking research to gain understanding of parts, themes
and characteristics;</t>
    </r>
  </si>
  <si>
    <r>
      <rPr>
        <sz val="11"/>
        <rFont val="Calibri"/>
        <family val="2"/>
        <scheme val="minor"/>
      </rPr>
      <t>(g)  acting parts and portraying roles as developed in
rehearsals in film, television,
radio and stage productions.</t>
    </r>
  </si>
  <si>
    <r>
      <rPr>
        <sz val="11"/>
        <rFont val="Calibri"/>
        <family val="2"/>
        <scheme val="minor"/>
      </rPr>
      <t>(a)  assisting in research on and development of industrial chemical processes, plant and
equipment, or testing prototypes;</t>
    </r>
  </si>
  <si>
    <r>
      <rPr>
        <sz val="11"/>
        <rFont val="Calibri"/>
        <family val="2"/>
        <scheme val="minor"/>
      </rPr>
      <t>(b)  designing and preparing layouts of chemical plants
according to the specifications given;</t>
    </r>
  </si>
  <si>
    <r>
      <rPr>
        <sz val="11"/>
        <rFont val="Calibri"/>
        <family val="2"/>
        <scheme val="minor"/>
      </rPr>
      <t>(d)  monitoring technical aspects of the construction,
installation, operation, maintenance and repair of chemical plants to ensure satisfactory performance and compliance with specifications
and regulations;</t>
    </r>
  </si>
  <si>
    <r>
      <rPr>
        <sz val="11"/>
        <rFont val="Calibri"/>
        <family val="2"/>
        <scheme val="minor"/>
      </rPr>
      <t>(e)  conducting chemical and physical laboratory tests to assist scientists and engineers
in making qualitative and quantitative analyses of solids,
liquids, and gaseous materials.</t>
    </r>
  </si>
  <si>
    <r>
      <rPr>
        <sz val="11"/>
        <rFont val="Calibri"/>
        <family val="2"/>
        <scheme val="minor"/>
      </rPr>
      <t>(a)  supervising and coordinating the activities of workers who extract minerals
and other natural deposits from the earth, and who operate underground conveyances or heavy
equipment in surface mines and quarries;</t>
    </r>
  </si>
  <si>
    <r>
      <rPr>
        <sz val="11"/>
        <rFont val="Calibri"/>
        <family val="2"/>
        <scheme val="minor"/>
      </rPr>
      <t>(b)  establishing methods to meet work schedules and recommending measures to mining managers to improve
productivity;</t>
    </r>
  </si>
  <si>
    <r>
      <rPr>
        <sz val="11"/>
        <rFont val="Calibri"/>
        <family val="2"/>
        <scheme val="minor"/>
      </rPr>
      <t>(c)  working with managerial and technical personnel, other departments and contractors to resolve operational problems
and coordinate activities;</t>
    </r>
  </si>
  <si>
    <r>
      <rPr>
        <sz val="11"/>
        <rFont val="Calibri"/>
        <family val="2"/>
        <scheme val="minor"/>
      </rPr>
      <t>(d)  providing reports and other information to mining managers about all aspects of
mining or quarrying
operations;</t>
    </r>
  </si>
  <si>
    <r>
      <rPr>
        <sz val="11"/>
        <rFont val="Calibri"/>
        <family val="2"/>
        <scheme val="minor"/>
      </rPr>
      <t>(e)  determining staffing and material needs for the mine or
quarry.</t>
    </r>
  </si>
  <si>
    <r>
      <rPr>
        <sz val="11"/>
        <rFont val="Calibri"/>
        <family val="2"/>
        <scheme val="minor"/>
      </rPr>
      <t>(a)  operating electronic or computerized control panels from a central control room to monitor and optimize physical
and chemical processes for several processing units;</t>
    </r>
  </si>
  <si>
    <r>
      <rPr>
        <sz val="11"/>
        <rFont val="Calibri"/>
        <family val="2"/>
        <scheme val="minor"/>
      </rPr>
      <t>(b)  adjusting equipment, valves, pumps, controls and
process equipment;</t>
    </r>
  </si>
  <si>
    <r>
      <rPr>
        <sz val="11"/>
        <rFont val="Calibri"/>
        <family val="2"/>
        <scheme val="minor"/>
      </rPr>
      <t>(c)  controlling process start- up and shut-down, troubleshooting and
monitoring outside process equipment;</t>
    </r>
  </si>
  <si>
    <r>
      <rPr>
        <sz val="11"/>
        <rFont val="Calibri"/>
        <family val="2"/>
        <scheme val="minor"/>
      </rPr>
      <t>(d)  verifying equipment for malfunctions, testing well pipes for leaks and fractures
and arranging for
maintenance;</t>
    </r>
  </si>
  <si>
    <r>
      <rPr>
        <sz val="11"/>
        <rFont val="Calibri"/>
        <family val="2"/>
        <scheme val="minor"/>
      </rPr>
      <t>(e)  analysing sample products, performing tests, recording data and writing
production logs.</t>
    </r>
  </si>
  <si>
    <r>
      <rPr>
        <sz val="11"/>
        <rFont val="Calibri"/>
        <family val="2"/>
        <scheme val="minor"/>
      </rPr>
      <t>(a)  coordinating and monitoring the operation of a
particular aspect of metal processing production through control panels, computer terminals or other control systems, usually from a central
control room;</t>
    </r>
  </si>
  <si>
    <r>
      <rPr>
        <sz val="11"/>
        <rFont val="Calibri"/>
        <family val="2"/>
        <scheme val="minor"/>
      </rPr>
      <t>(b)  operating multi-function central process control
machinery to grind, separate,
filter, melt, roast, treat, refine or otherwise process metals;</t>
    </r>
  </si>
  <si>
    <r>
      <rPr>
        <sz val="11"/>
        <rFont val="Calibri"/>
        <family val="2"/>
        <scheme val="minor"/>
      </rPr>
      <t>(c)  observing computer printouts, video monitors and
gauges to verify specified processing conditions and to
make necessary adjustments;</t>
    </r>
  </si>
  <si>
    <r>
      <rPr>
        <sz val="11"/>
        <rFont val="Calibri"/>
        <family val="2"/>
        <scheme val="minor"/>
      </rPr>
      <t>(d)  coordinating and supervising production crew such as machine and process
operators, assistants and helpers;</t>
    </r>
  </si>
  <si>
    <r>
      <rPr>
        <sz val="11"/>
        <rFont val="Calibri"/>
        <family val="2"/>
        <scheme val="minor"/>
      </rPr>
      <t>(e)  starting up and shutting down the production system in
cases of emergency or as required by schedule;</t>
    </r>
  </si>
  <si>
    <r>
      <rPr>
        <sz val="11"/>
        <rFont val="Calibri"/>
        <family val="2"/>
        <scheme val="minor"/>
      </rPr>
      <t>(f)  providing and organizing training for members of
production crews;</t>
    </r>
  </si>
  <si>
    <r>
      <rPr>
        <sz val="11"/>
        <rFont val="Calibri"/>
        <family val="2"/>
        <scheme val="minor"/>
      </rPr>
      <t>(g)  maintaining shift logs of production and other data and preparing production and other
reports.</t>
    </r>
  </si>
  <si>
    <r>
      <rPr>
        <sz val="11"/>
        <rFont val="Calibri"/>
        <family val="2"/>
        <scheme val="minor"/>
      </rPr>
      <t>(a) assisting in designing, setting up and conducting
experiments;</t>
    </r>
  </si>
  <si>
    <r>
      <rPr>
        <sz val="11"/>
        <rFont val="Calibri"/>
        <family val="2"/>
        <scheme val="minor"/>
      </rPr>
      <t>(b) setting up, calibrating, operating and maintaining laboratory instruments and
equipment;</t>
    </r>
  </si>
  <si>
    <r>
      <rPr>
        <sz val="11"/>
        <rFont val="Calibri"/>
        <family val="2"/>
        <scheme val="minor"/>
      </rPr>
      <t>(c) collecting and preparing specimens and samples,
chemical solutions and slides
and growing cultures for use in experiments;</t>
    </r>
  </si>
  <si>
    <r>
      <rPr>
        <sz val="11"/>
        <rFont val="Calibri"/>
        <family val="2"/>
        <scheme val="minor"/>
      </rPr>
      <t>(e) monitoring experiments to ensure adherence to correct laboratory quality control procedures and health and
safety guidelines;</t>
    </r>
  </si>
  <si>
    <r>
      <rPr>
        <sz val="11"/>
        <rFont val="Calibri"/>
        <family val="2"/>
        <scheme val="minor"/>
      </rPr>
      <t>(f) making observations of tests and analysing,
calculating, recording and reporting test results using
appropriate scientific methods;</t>
    </r>
  </si>
  <si>
    <r>
      <rPr>
        <sz val="11"/>
        <rFont val="Calibri"/>
        <family val="2"/>
        <scheme val="minor"/>
      </rPr>
      <t>(g) preserving, classifying and cataloguing specimens and
samples;</t>
    </r>
  </si>
  <si>
    <r>
      <rPr>
        <sz val="11"/>
        <rFont val="Calibri"/>
        <family val="2"/>
        <scheme val="minor"/>
      </rPr>
      <t>(j) using complex and high- powered equipment to perform
work;</t>
    </r>
  </si>
  <si>
    <r>
      <rPr>
        <sz val="11"/>
        <rFont val="Calibri"/>
        <family val="2"/>
        <scheme val="minor"/>
      </rPr>
      <t>(k) participating in the research, development and manufacture of products and
processes;</t>
    </r>
  </si>
  <si>
    <r>
      <rPr>
        <sz val="11"/>
        <rFont val="Calibri"/>
        <family val="2"/>
        <scheme val="minor"/>
      </rPr>
      <t>(a)  conducting forest inventories, surveys and field
measurements following
accepted scientific and operational procedures;</t>
    </r>
  </si>
  <si>
    <r>
      <rPr>
        <sz val="11"/>
        <rFont val="Calibri"/>
        <family val="2"/>
        <scheme val="minor"/>
      </rPr>
      <t>(b)  assisting in and performing technical functions
in the preparation of forest management and harvest plans using photogrammetric and mapping techniques and computerized information
systems;</t>
    </r>
  </si>
  <si>
    <r>
      <rPr>
        <sz val="11"/>
        <rFont val="Calibri"/>
        <family val="2"/>
        <scheme val="minor"/>
      </rPr>
      <t>(c)  assisting in planning and supervision of construction of
access routes and forest roads;</t>
    </r>
  </si>
  <si>
    <r>
      <rPr>
        <sz val="11"/>
        <rFont val="Calibri"/>
        <family val="2"/>
        <scheme val="minor"/>
      </rPr>
      <t>(d)  implementing, supervising and performing technical functions in silvicultural operations involving site preparation, planting, and
tending of tree crops;</t>
    </r>
  </si>
  <si>
    <r>
      <rPr>
        <sz val="11"/>
        <rFont val="Calibri"/>
        <family val="2"/>
        <scheme val="minor"/>
      </rPr>
      <t>(e)  coordinating activities such as timber scaling, forest fire suppression, disease or
insect control or pre- commercial thinning of forest
stands;</t>
    </r>
  </si>
  <si>
    <r>
      <rPr>
        <sz val="11"/>
        <rFont val="Calibri"/>
        <family val="2"/>
        <scheme val="minor"/>
      </rPr>
      <t>(f)  supervising and performing technical functions
in forest harvesting operations;</t>
    </r>
  </si>
  <si>
    <r>
      <rPr>
        <sz val="11"/>
        <rFont val="Calibri"/>
        <family val="2"/>
        <scheme val="minor"/>
      </rPr>
      <t>(g)  ensuring adherence to regulations and policies concerning environmental
protection, resource utilization, fire safety and
accident prevention;</t>
    </r>
  </si>
  <si>
    <r>
      <rPr>
        <sz val="11"/>
        <rFont val="Calibri"/>
        <family val="2"/>
        <scheme val="minor"/>
      </rPr>
      <t>(i)    providing technical support to forestry research programmes in areas such as
tree improvement, seed orchard operations, insect and disease surveys or experimental forestry and
forest engineering research;</t>
    </r>
  </si>
  <si>
    <r>
      <rPr>
        <sz val="11"/>
        <rFont val="Calibri"/>
        <family val="2"/>
        <scheme val="minor"/>
      </rPr>
      <t>(a)  flying and navigating aircraft in accordance with
established control and operating procedures;</t>
    </r>
  </si>
  <si>
    <r>
      <rPr>
        <sz val="11"/>
        <rFont val="Calibri"/>
        <family val="2"/>
        <scheme val="minor"/>
      </rPr>
      <t>(b)  preparing and submitting flight plans or examining
standard flight plans;</t>
    </r>
  </si>
  <si>
    <r>
      <rPr>
        <sz val="11"/>
        <rFont val="Calibri"/>
        <family val="2"/>
        <scheme val="minor"/>
      </rPr>
      <t>(c)  controlling the operation of mechanical, electrical and
electronic equipment and ensuring that all instruments and controls work properly;</t>
    </r>
  </si>
  <si>
    <r>
      <rPr>
        <sz val="11"/>
        <rFont val="Calibri"/>
        <family val="2"/>
        <scheme val="minor"/>
      </rPr>
      <t>(d)  applying knowledge of principles and practices of
flying in order to identify and solve problems arising in the
course of their work;</t>
    </r>
  </si>
  <si>
    <r>
      <rPr>
        <sz val="11"/>
        <rFont val="Calibri"/>
        <family val="2"/>
        <scheme val="minor"/>
      </rPr>
      <t>(f)  signing necessary certificates and maintaining
official records of flight;</t>
    </r>
  </si>
  <si>
    <r>
      <rPr>
        <sz val="11"/>
        <rFont val="Calibri"/>
        <family val="2"/>
        <scheme val="minor"/>
      </rPr>
      <t>(g)  obtaining briefings and clearances before flights and maintaining contact with air traffic or flight control during
flight.</t>
    </r>
  </si>
  <si>
    <r>
      <rPr>
        <sz val="11"/>
        <rFont val="Calibri"/>
        <family val="2"/>
        <scheme val="minor"/>
      </rPr>
      <t>(a)  directing and controlling aircraft approaching and
leaving airport and their movement on the ground;</t>
    </r>
  </si>
  <si>
    <r>
      <rPr>
        <sz val="11"/>
        <rFont val="Calibri"/>
        <family val="2"/>
        <scheme val="minor"/>
      </rPr>
      <t>(b)  directing and controlling aircraft operating in
designated airspace sectors;</t>
    </r>
  </si>
  <si>
    <r>
      <rPr>
        <sz val="11"/>
        <rFont val="Calibri"/>
        <family val="2"/>
        <scheme val="minor"/>
      </rPr>
      <t>(d)  informing flight crew and operations staff about weather
conditions, operational
facilities, flight plans and air traffic;</t>
    </r>
  </si>
  <si>
    <r>
      <rPr>
        <sz val="11"/>
        <rFont val="Calibri"/>
        <family val="2"/>
        <scheme val="minor"/>
      </rPr>
      <t>(e)  applying knowledge of principles and practices of air
traffic control in order to identify and solve problems arising in the course of their
work;</t>
    </r>
  </si>
  <si>
    <r>
      <rPr>
        <sz val="11"/>
        <rFont val="Calibri"/>
        <family val="2"/>
        <scheme val="minor"/>
      </rPr>
      <t>(f)  initiating and organizing emergency, search and rescue
services and procedures;</t>
    </r>
  </si>
  <si>
    <r>
      <rPr>
        <sz val="11"/>
        <rFont val="Calibri"/>
        <family val="2"/>
        <scheme val="minor"/>
      </rPr>
      <t>(h)  maintaining radio and telephone contact with adjacent control towers, terminal control units and other control centres, and
coordinating the movement of aircraft into adjoining areas.</t>
    </r>
  </si>
  <si>
    <r>
      <rPr>
        <sz val="11"/>
        <rFont val="Calibri"/>
        <family val="2"/>
        <scheme val="minor"/>
      </rPr>
      <t>(a)  carrying out technical duties related to the
development of electronic and computerized air navigation
systems and equipment, and testing prototypes;</t>
    </r>
  </si>
  <si>
    <r>
      <rPr>
        <sz val="11"/>
        <rFont val="Calibri"/>
        <family val="2"/>
        <scheme val="minor"/>
      </rPr>
      <t>(b)  providing technical help in the design and layout of
specific interface circuitry of air navigation and aircraft
detection tracking systems;</t>
    </r>
  </si>
  <si>
    <r>
      <rPr>
        <sz val="11"/>
        <rFont val="Calibri"/>
        <family val="2"/>
        <scheme val="minor"/>
      </rPr>
      <t>(c)  preparing and contributing to the preparation of cost estimates and technical and training specifications for air
traffic control and safety equipment;</t>
    </r>
  </si>
  <si>
    <r>
      <rPr>
        <sz val="11"/>
        <rFont val="Calibri"/>
        <family val="2"/>
        <scheme val="minor"/>
      </rPr>
      <t>(d)  providing or assisting with the technical supervision of construction, installation and operation of ground-based air navigation equipment and its
maintenance and repair to ensure that standards and
specifications are met;</t>
    </r>
  </si>
  <si>
    <r>
      <rPr>
        <sz val="11"/>
        <rFont val="Calibri"/>
        <family val="2"/>
        <scheme val="minor"/>
      </rPr>
      <t>(e)  applying the knowledge and skills of air traffic safety engineering principles and practices in order to identify and solve problems arising in
the course of their work;</t>
    </r>
  </si>
  <si>
    <r>
      <rPr>
        <sz val="11"/>
        <rFont val="Calibri"/>
        <family val="2"/>
        <scheme val="minor"/>
      </rPr>
      <t>(g)  modifying existing ground-based air navigation systems and equipment to adapt them to new air traffic control procedures,  in order to improve capability, reliability
and integrity, or to facilitate
air traffic control procedures and airspace designation;</t>
    </r>
  </si>
  <si>
    <r>
      <rPr>
        <sz val="11"/>
        <rFont val="Calibri"/>
        <family val="2"/>
        <scheme val="minor"/>
      </rPr>
      <t>(h)  controlling, monitoring and certifying communication navigation and surveillance air
traffic management equipment, and calibrating the ground-based air navigation system to ensure maximum accuracy and safety of flight,
take-off and landing operations;</t>
    </r>
  </si>
  <si>
    <r>
      <rPr>
        <sz val="11"/>
        <rFont val="Calibri"/>
        <family val="2"/>
        <scheme val="minor"/>
      </rPr>
      <t>(i)  providing technical training and supervising other
workers.</t>
    </r>
  </si>
  <si>
    <r>
      <rPr>
        <sz val="11"/>
        <rFont val="Calibri"/>
        <family val="2"/>
        <scheme val="minor"/>
      </rPr>
      <t>(a)  operating or overseeing operation of radiologic, ultrasound and magnetic
imaging equipment to produce
images of the body for diagnostic purposes;</t>
    </r>
  </si>
  <si>
    <r>
      <rPr>
        <sz val="11"/>
        <rFont val="Calibri"/>
        <family val="2"/>
        <scheme val="minor"/>
      </rPr>
      <t>(b)  explaining procedures, observing and positioning
patients, and using protection devices to ensure safety and comfort during examination,
scan or treatment;</t>
    </r>
  </si>
  <si>
    <r>
      <rPr>
        <sz val="11"/>
        <rFont val="Calibri"/>
        <family val="2"/>
        <scheme val="minor"/>
      </rPr>
      <t>(c)  positioning imaging or treatment equipment,
monitoring video displays, and adjusting settings and controls according to technical
specifications;</t>
    </r>
  </si>
  <si>
    <r>
      <rPr>
        <sz val="11"/>
        <rFont val="Calibri"/>
        <family val="2"/>
        <scheme val="minor"/>
      </rPr>
      <t>(d)  reviewing and evaluating developed X-rays, videotape,
or computer-generated information to determine if images are satisfactory for diagnostic purposes, and recording results of
procedures;</t>
    </r>
  </si>
  <si>
    <r>
      <rPr>
        <sz val="11"/>
        <rFont val="Calibri"/>
        <family val="2"/>
        <scheme val="minor"/>
      </rPr>
      <t>(e)  monitoring patients’ conditions and reactions,
reporting abnormal signs to a medical practitioner;</t>
    </r>
  </si>
  <si>
    <r>
      <rPr>
        <sz val="11"/>
        <rFont val="Calibri"/>
        <family val="2"/>
        <scheme val="minor"/>
      </rPr>
      <t>(f)  measuring and recording radiation dosage or
radiopharmaceuticals received and used for patients, following prescriptions issued
by a medical practitioner;</t>
    </r>
  </si>
  <si>
    <r>
      <rPr>
        <sz val="11"/>
        <rFont val="Calibri"/>
        <family val="2"/>
        <scheme val="minor"/>
      </rPr>
      <t>(g)  administering, detecting and mapping
radiopharmaceuticals or radiation in patients’ bodies, using radioisotope, camera or other equipment for diagnosing and treating
diseases;</t>
    </r>
  </si>
  <si>
    <r>
      <rPr>
        <sz val="11"/>
        <rFont val="Calibri"/>
        <family val="2"/>
        <scheme val="minor"/>
      </rPr>
      <t>(h)  recording and disposing of radioactive materials and
storing radiopharmaceuticals, following radiation safety procedures.</t>
    </r>
  </si>
  <si>
    <r>
      <rPr>
        <sz val="11"/>
        <rFont val="Calibri"/>
        <family val="2"/>
        <scheme val="minor"/>
      </rPr>
      <t>(a)  providing nursing and personal care and treatment and health advice to patients
according to care plans established by health
professionals;</t>
    </r>
  </si>
  <si>
    <r>
      <rPr>
        <sz val="11"/>
        <rFont val="Calibri"/>
        <family val="2"/>
        <scheme val="minor"/>
      </rPr>
      <t>(b)  administering medications and other treatments to
patients, monitoring patients’ condition and responses to treatment, and referring patients and their families to a health professional for
specialized care as needed;</t>
    </r>
  </si>
  <si>
    <r>
      <rPr>
        <sz val="11"/>
        <rFont val="Calibri"/>
        <family val="2"/>
        <scheme val="minor"/>
      </rPr>
      <t>(d)  updating information on patients’ condition and
treatments received in record-
keeping systems;</t>
    </r>
  </si>
  <si>
    <r>
      <rPr>
        <sz val="11"/>
        <rFont val="Calibri"/>
        <family val="2"/>
        <scheme val="minor"/>
      </rPr>
      <t>(a)  providing advice to women, families and communities on health,
nutrition, hygiene, exercise, birth and emergency plans, breastfeeding, infant care, family planning and contraception, lifestyle and other topics related to
pregnancy and childbirth;</t>
    </r>
  </si>
  <si>
    <r>
      <rPr>
        <sz val="11"/>
        <rFont val="Calibri"/>
        <family val="2"/>
        <scheme val="minor"/>
      </rPr>
      <t>(b)  assessing progress during pregnancy and childbirth, and
recognizing signs and
symptoms requiring referral to a health professional;</t>
    </r>
  </si>
  <si>
    <r>
      <rPr>
        <sz val="11"/>
        <rFont val="Calibri"/>
        <family val="2"/>
        <scheme val="minor"/>
      </rPr>
      <t>(c)  providing delivery care, usually only in the absence of
identified potential complications, or assisting medical doctors or midwifery professionals with delivery
care;</t>
    </r>
  </si>
  <si>
    <r>
      <rPr>
        <sz val="11"/>
        <rFont val="Calibri"/>
        <family val="2"/>
        <scheme val="minor"/>
      </rPr>
      <t>(d)  providing care and support to women and newborns
following childbirth, monitoring their health status, and identifying signs and symptoms requiring referral to
a health professional.</t>
    </r>
  </si>
  <si>
    <r>
      <rPr>
        <sz val="11"/>
        <rFont val="Calibri"/>
        <family val="2"/>
        <scheme val="minor"/>
      </rPr>
      <t>(a)  examining patients and interviewing them and their families to determine their health status and the nature of physical or mental disorders or
illnesses or other ailments;</t>
    </r>
  </si>
  <si>
    <r>
      <rPr>
        <sz val="11"/>
        <rFont val="Calibri"/>
        <family val="2"/>
        <scheme val="minor"/>
      </rPr>
      <t>(b)  recommending and providing care and treatment
for illnesses and other ailments using traditional techniques and medicaments, such as physical manipulation and exercises, blood-letting using natural vessels, and preparations using herbs,
plants, insects and animal extracts;</t>
    </r>
  </si>
  <si>
    <r>
      <rPr>
        <sz val="11"/>
        <rFont val="Calibri"/>
        <family val="2"/>
        <scheme val="minor"/>
      </rPr>
      <t>(c)  administering  treatments such as acupuncture,
ayurvedic, homeopathic and herbal medicine according to therapeutic care plans and procedures usually developed by a traditional medicine or
other health professional;</t>
    </r>
  </si>
  <si>
    <r>
      <rPr>
        <sz val="11"/>
        <rFont val="Calibri"/>
        <family val="2"/>
        <scheme val="minor"/>
      </rPr>
      <t>(d)   providing care and treatment for physical injuries
such as setting and healing fractured and dislocated bones using traditional methods of physical manipulation and
herbal therapies;</t>
    </r>
  </si>
  <si>
    <r>
      <rPr>
        <sz val="11"/>
        <rFont val="Calibri"/>
        <family val="2"/>
        <scheme val="minor"/>
      </rPr>
      <t>(e)  advising individuals, families and the community on health, nutrition, hygiene, lifestyle and other issues to maintain or improve health
and well-being;</t>
    </r>
  </si>
  <si>
    <r>
      <rPr>
        <sz val="11"/>
        <rFont val="Calibri"/>
        <family val="2"/>
        <scheme val="minor"/>
      </rPr>
      <t>(f)  referring patients to, and exchanging information with, other health care providers to
ensure comprehensive and continuing care.</t>
    </r>
  </si>
  <si>
    <r>
      <rPr>
        <sz val="11"/>
        <rFont val="Calibri"/>
        <family val="2"/>
        <scheme val="minor"/>
      </rPr>
      <t>(b)  assisting medical doctors and other health professionals to examine and treat patients,
including measuring and recording vital signs, administering medications and performing routine clinical procedures such as giving injections and removing
sutures;</t>
    </r>
  </si>
  <si>
    <r>
      <rPr>
        <sz val="11"/>
        <rFont val="Calibri"/>
        <family val="2"/>
        <scheme val="minor"/>
      </rPr>
      <t>(c)  getting patients ready for examination and treatment,
including explaining
procedures and showing them to examination rooms;</t>
    </r>
  </si>
  <si>
    <r>
      <rPr>
        <sz val="11"/>
        <rFont val="Calibri"/>
        <family val="2"/>
        <scheme val="minor"/>
      </rPr>
      <t>(d)  preparing and handling medical instruments and
supplies, including sterilizing instruments and disposing of contaminated supplies in accordance with safety
procedures;</t>
    </r>
  </si>
  <si>
    <r>
      <rPr>
        <sz val="11"/>
        <rFont val="Calibri"/>
        <family val="2"/>
        <scheme val="minor"/>
      </rPr>
      <t>(e)  collecting blood, tissue or other specimens, and
preparing them for laboratory
testing;</t>
    </r>
  </si>
  <si>
    <r>
      <rPr>
        <sz val="11"/>
        <rFont val="Calibri"/>
        <family val="2"/>
        <scheme val="minor"/>
      </rPr>
      <t>(f)  providing information to patients and families on health
care topics including medications prescribed by a medical doctor or other health
professional;</t>
    </r>
  </si>
  <si>
    <r>
      <rPr>
        <sz val="11"/>
        <rFont val="Calibri"/>
        <family val="2"/>
        <scheme val="minor"/>
      </rPr>
      <t>(g)  providing prescription and drug refill information to
pharmacies;</t>
    </r>
  </si>
  <si>
    <r>
      <rPr>
        <sz val="11"/>
        <rFont val="Calibri"/>
        <family val="2"/>
        <scheme val="minor"/>
      </rPr>
      <t>(h)  maintaining cleanliness of patient waiting and
examination rooms;</t>
    </r>
  </si>
  <si>
    <r>
      <rPr>
        <sz val="11"/>
        <rFont val="Calibri"/>
        <family val="2"/>
        <scheme val="minor"/>
      </rPr>
      <t>(j)   scheduling appointments with patients, and preparing documentation required for
billing, reporting and insurance purposes.</t>
    </r>
  </si>
  <si>
    <r>
      <rPr>
        <sz val="11"/>
        <rFont val="Calibri"/>
        <family val="2"/>
        <scheme val="minor"/>
      </rPr>
      <t>(a)  assessing the health status of persons involved in
accidents, natural disasters and other emergency situations, and determining needs for immediate and specialized
medical assistance;</t>
    </r>
  </si>
  <si>
    <r>
      <rPr>
        <sz val="11"/>
        <rFont val="Calibri"/>
        <family val="2"/>
        <scheme val="minor"/>
      </rPr>
      <t>(b)  performing medical procedures and administering
drugs and other therapies according to protocol for emergency medical treatment, including resuscitating and defibrillating patients and
operating life-support equipment;</t>
    </r>
  </si>
  <si>
    <r>
      <rPr>
        <sz val="11"/>
        <rFont val="Calibri"/>
        <family val="2"/>
        <scheme val="minor"/>
      </rPr>
      <t>(c)  monitoring changes in the health status of patients during transport to and from medical, rehabilitation and other health
care facilities;</t>
    </r>
  </si>
  <si>
    <r>
      <rPr>
        <sz val="11"/>
        <rFont val="Calibri"/>
        <family val="2"/>
        <scheme val="minor"/>
      </rPr>
      <t>(d)  providing information and training to community groups and essential service workers in first aid for initial care of an
illness or injury;</t>
    </r>
  </si>
  <si>
    <r>
      <rPr>
        <sz val="11"/>
        <rFont val="Calibri"/>
        <family val="2"/>
        <scheme val="minor"/>
      </rPr>
      <t>(e)  attending and/or patrolling large-scale public gatherings and other events where health emergencies are more likely to
occur;</t>
    </r>
  </si>
  <si>
    <r>
      <rPr>
        <sz val="11"/>
        <rFont val="Calibri"/>
        <family val="2"/>
        <scheme val="minor"/>
      </rPr>
      <t>(f)  recording information on patients’ conditions and
treatments provided in medical
record-keeping systems.</t>
    </r>
  </si>
  <si>
    <r>
      <rPr>
        <sz val="11"/>
        <rFont val="Calibri"/>
        <family val="2"/>
        <scheme val="minor"/>
      </rPr>
      <t>(a)  interviewing and examining patients to obtain information on their health
status and the nature and extent of injury, illness or
other physical or mental health condition;</t>
    </r>
  </si>
  <si>
    <r>
      <rPr>
        <sz val="11"/>
        <rFont val="Calibri"/>
        <family val="2"/>
        <scheme val="minor"/>
      </rPr>
      <t>(b) providing information and counselling to patients and families about certain health conditions, prevention and treatment options, treatment
adherence, and personal
behaviours that can affect health outcomes;</t>
    </r>
  </si>
  <si>
    <r>
      <rPr>
        <sz val="11"/>
        <rFont val="Calibri"/>
        <family val="2"/>
        <scheme val="minor"/>
      </rPr>
      <t>(e) dispensing and advising on dietary supplements,
antiretroviral and prophylaxis medications, and other health care products;</t>
    </r>
  </si>
  <si>
    <r>
      <rPr>
        <sz val="11"/>
        <rFont val="Calibri"/>
        <family val="2"/>
        <scheme val="minor"/>
      </rPr>
      <t>(f)  monitoring patients’ progress through treatment plans, and identifying signs
and symptoms requiring
referral to a medical doctor or other health professional;</t>
    </r>
  </si>
  <si>
    <r>
      <rPr>
        <sz val="11"/>
        <rFont val="Calibri"/>
        <family val="2"/>
        <scheme val="minor"/>
      </rPr>
      <t>(g)  recording information on patients’ health status and responses to treatment in medical record-keeping
systems;</t>
    </r>
  </si>
  <si>
    <r>
      <rPr>
        <sz val="11"/>
        <rFont val="Calibri"/>
        <family val="2"/>
        <scheme val="minor"/>
      </rPr>
      <t>(h)  sharing information with other health care providers when required to ensure
continuing and comprehensive care.</t>
    </r>
  </si>
  <si>
    <r>
      <rPr>
        <sz val="11"/>
        <rFont val="Calibri"/>
        <family val="2"/>
        <scheme val="minor"/>
      </rPr>
      <t>(a)  establishing contact between buyers and sellers of
commodities;</t>
    </r>
  </si>
  <si>
    <r>
      <rPr>
        <sz val="11"/>
        <rFont val="Calibri"/>
        <family val="2"/>
        <scheme val="minor"/>
      </rPr>
      <t>(d)  negotiating purchase or sale of commodities and
commodity futures;</t>
    </r>
  </si>
  <si>
    <r>
      <rPr>
        <sz val="11"/>
        <rFont val="Calibri"/>
        <family val="2"/>
        <scheme val="minor"/>
      </rPr>
      <t>(e)  finding cargo and/or storage space for commodities
and negotiating freight,
shipping and storage charges;</t>
    </r>
  </si>
  <si>
    <r>
      <rPr>
        <sz val="11"/>
        <rFont val="Calibri"/>
        <family val="2"/>
        <scheme val="minor"/>
      </rPr>
      <t>(f)  monitoring and analysing market trends and other
factors affecting the supply and demand for commodities
and shipping services.</t>
    </r>
  </si>
  <si>
    <r>
      <rPr>
        <sz val="11"/>
        <rFont val="Calibri"/>
        <family val="2"/>
        <scheme val="minor"/>
      </rPr>
      <t>(b)  finding workers for vacant posts against a commission
from the employer or worker;</t>
    </r>
  </si>
  <si>
    <r>
      <rPr>
        <sz val="11"/>
        <rFont val="Calibri"/>
        <family val="2"/>
        <scheme val="minor"/>
      </rPr>
      <t>(c)  discussing with employers the skills and other
characteristics required of the
workers to be employed or contracted;</t>
    </r>
  </si>
  <si>
    <r>
      <rPr>
        <sz val="11"/>
        <rFont val="Calibri"/>
        <family val="2"/>
        <scheme val="minor"/>
      </rPr>
      <t>(d)  finding workers with appropriate skills, and
undertaking the necessary formalities according to
national or international regulations and requirements;</t>
    </r>
  </si>
  <si>
    <r>
      <rPr>
        <sz val="11"/>
        <rFont val="Calibri"/>
        <family val="2"/>
        <scheme val="minor"/>
      </rPr>
      <t>(a)  advising individuals on government laws and
regulations concerning the type of licence required and the conditions attached to such
licences, and on the public’s rights and obligations;</t>
    </r>
  </si>
  <si>
    <r>
      <rPr>
        <sz val="11"/>
        <rFont val="Calibri"/>
        <family val="2"/>
        <scheme val="minor"/>
      </rPr>
      <t>(b)  examining applications and relevant documents and determining whether a licence
can be granted and the
conditions which should be attached;</t>
    </r>
  </si>
  <si>
    <r>
      <rPr>
        <sz val="11"/>
        <rFont val="Calibri"/>
        <family val="2"/>
        <scheme val="minor"/>
      </rPr>
      <t>(c)  examining applications and approving the issue of
passports;</t>
    </r>
  </si>
  <si>
    <r>
      <rPr>
        <sz val="11"/>
        <rFont val="Calibri"/>
        <family val="2"/>
        <scheme val="minor"/>
      </rPr>
      <t>(d)  performing related administrative tasks to process
applications, document activities, evaluations and determinations, and to prepare correspondence to inform applicants of licensing
decisions;</t>
    </r>
  </si>
  <si>
    <r>
      <rPr>
        <sz val="11"/>
        <rFont val="Calibri"/>
        <family val="2"/>
        <scheme val="minor"/>
      </rPr>
      <t>(e)  administering and scoring tests required to license
applicants.</t>
    </r>
  </si>
  <si>
    <r>
      <rPr>
        <sz val="11"/>
        <rFont val="Calibri"/>
        <family val="2"/>
        <scheme val="minor"/>
      </rPr>
      <t>(a)  advising individuals and organizations on government laws, rules and regulations
concerning government benefit programmes and the determination and disbursement of payments or referral to services, as well as on the public’s rights and
obligations;</t>
    </r>
  </si>
  <si>
    <r>
      <rPr>
        <sz val="11"/>
        <rFont val="Calibri"/>
        <family val="2"/>
        <scheme val="minor"/>
      </rPr>
      <t>(b)  examining applications and other relevant documents
to determine types and amounts of benefit which individuals are eligible to
receive;</t>
    </r>
  </si>
  <si>
    <r>
      <rPr>
        <sz val="11"/>
        <rFont val="Calibri"/>
        <family val="2"/>
        <scheme val="minor"/>
      </rPr>
      <t>(c)  assessing documentation and interviewing benefit
recipients to ensure eligibility
for continuing benefits or services;</t>
    </r>
  </si>
  <si>
    <r>
      <rPr>
        <sz val="11"/>
        <rFont val="Calibri"/>
        <family val="2"/>
        <scheme val="minor"/>
      </rPr>
      <t>(d)  performing related administrative tasks to
maintain client records and prepare reports on determinations regarding eligibility, referral decisions, termination of benefits and
abuse or fraud.</t>
    </r>
  </si>
  <si>
    <r>
      <rPr>
        <sz val="11"/>
        <rFont val="Calibri"/>
        <family val="2"/>
        <scheme val="minor"/>
      </rPr>
      <t>(a)  planning and carrying out recreational and fitness
activities;</t>
    </r>
  </si>
  <si>
    <r>
      <rPr>
        <sz val="11"/>
        <rFont val="Calibri"/>
        <family val="2"/>
        <scheme val="minor"/>
      </rPr>
      <t>(b)  monitoring recreational, sports or fitness activities to ensure safety and provide
emergency or first aid assistance when required;</t>
    </r>
  </si>
  <si>
    <r>
      <rPr>
        <sz val="11"/>
        <rFont val="Calibri"/>
        <family val="2"/>
        <scheme val="minor"/>
      </rPr>
      <t>(d)  demonstrating and teaching body movements, concepts and skills used in
fitness routines and recreational activities;</t>
    </r>
  </si>
  <si>
    <r>
      <rPr>
        <sz val="11"/>
        <rFont val="Calibri"/>
        <family val="2"/>
        <scheme val="minor"/>
      </rPr>
      <t>(f)  explaining and enforcing safety procedures, rules and
regulations.</t>
    </r>
  </si>
  <si>
    <r>
      <rPr>
        <sz val="11"/>
        <rFont val="Calibri"/>
        <family val="2"/>
        <scheme val="minor"/>
      </rPr>
      <t>(b)  designing and arranging exhibit furnishings, display
cases and display areas;</t>
    </r>
  </si>
  <si>
    <r>
      <rPr>
        <sz val="11"/>
        <rFont val="Calibri"/>
        <family val="2"/>
        <scheme val="minor"/>
      </rPr>
      <t>(c)  assisting in setting up lighting and display
equipment;</t>
    </r>
  </si>
  <si>
    <r>
      <rPr>
        <sz val="11"/>
        <rFont val="Calibri"/>
        <family val="2"/>
        <scheme val="minor"/>
      </rPr>
      <t>(d)  receiving, shipping, packing and unpacking
exhibits;</t>
    </r>
  </si>
  <si>
    <r>
      <rPr>
        <sz val="11"/>
        <rFont val="Calibri"/>
        <family val="2"/>
        <scheme val="minor"/>
      </rPr>
      <t>(e)  ordering new library materials and maintaining
library records and circulation systems;</t>
    </r>
  </si>
  <si>
    <r>
      <rPr>
        <sz val="11"/>
        <rFont val="Calibri"/>
        <family val="2"/>
        <scheme val="minor"/>
      </rPr>
      <t>(g)  entering data into databases and editing
computer records;</t>
    </r>
  </si>
  <si>
    <r>
      <rPr>
        <sz val="11"/>
        <rFont val="Calibri"/>
        <family val="2"/>
        <scheme val="minor"/>
      </rPr>
      <t>(a)  providing technical assistance connected with
research and the development of telecommunications equipment, or testing
prototypes;</t>
    </r>
  </si>
  <si>
    <r>
      <rPr>
        <sz val="11"/>
        <rFont val="Calibri"/>
        <family val="2"/>
        <scheme val="minor"/>
      </rPr>
      <t>(b)  studying technical material such as blueprints and
sketches to determine the method of work to be adopted;</t>
    </r>
  </si>
  <si>
    <r>
      <rPr>
        <sz val="11"/>
        <rFont val="Calibri"/>
        <family val="2"/>
        <scheme val="minor"/>
      </rPr>
      <t>(c)  preparing detailed estimates of quantities and costs of materials and labour required for the manufacture
and installation of telecommunications equipment, according to the
specifications given;</t>
    </r>
  </si>
  <si>
    <r>
      <rPr>
        <sz val="11"/>
        <rFont val="Calibri"/>
        <family val="2"/>
        <scheme val="minor"/>
      </rPr>
      <t>(d)  providing technical supervision of the
manufacture, utilization, maintenance and repair of telecommunications systems to ensure satisfactory performance and compliance
with specifications and regulations;</t>
    </r>
  </si>
  <si>
    <r>
      <rPr>
        <sz val="11"/>
        <rFont val="Calibri"/>
        <family val="2"/>
        <scheme val="minor"/>
      </rPr>
      <t>(e)  applying technical knowledge of
telecommunications engineering principles and practices in order to identify and solve problems arising in
the course of their work.</t>
    </r>
  </si>
  <si>
    <r>
      <rPr>
        <sz val="11"/>
        <rFont val="Calibri"/>
        <family val="2"/>
        <scheme val="minor"/>
      </rPr>
      <t>(a)  operating switchboards and consoles to connect, hold,
transfer and disconnect
telephone calls;</t>
    </r>
  </si>
  <si>
    <r>
      <rPr>
        <sz val="11"/>
        <rFont val="Calibri"/>
        <family val="2"/>
        <scheme val="minor"/>
      </rPr>
      <t>(c)  dealing with telephone inquiries and recording
messages;</t>
    </r>
  </si>
  <si>
    <r>
      <rPr>
        <sz val="11"/>
        <rFont val="Calibri"/>
        <family val="2"/>
        <scheme val="minor"/>
      </rPr>
      <t>Telephone Switchboard
Operators</t>
    </r>
  </si>
  <si>
    <r>
      <rPr>
        <sz val="11"/>
        <rFont val="Calibri"/>
        <family val="2"/>
        <scheme val="minor"/>
      </rPr>
      <t>(e)  investigating operating system problems and
informing repair services.</t>
    </r>
  </si>
  <si>
    <r>
      <rPr>
        <sz val="11"/>
        <rFont val="Calibri"/>
        <family val="2"/>
        <scheme val="minor"/>
      </rPr>
      <t>(a)  contacting individuals by telephone or in person and explaining the purpose of the
interview;</t>
    </r>
  </si>
  <si>
    <r>
      <rPr>
        <sz val="11"/>
        <rFont val="Calibri"/>
        <family val="2"/>
        <scheme val="minor"/>
      </rPr>
      <t>(b)  asking questions following the outlines of
questionnaires and surveys;</t>
    </r>
  </si>
  <si>
    <r>
      <rPr>
        <sz val="11"/>
        <rFont val="Calibri"/>
        <family val="2"/>
        <scheme val="minor"/>
      </rPr>
      <t>(c)  recording responses on paper or entering responses
directly into a computer
database through computer- assisted interviewing systems;</t>
    </r>
  </si>
  <si>
    <r>
      <rPr>
        <sz val="11"/>
        <rFont val="Calibri"/>
        <family val="2"/>
        <scheme val="minor"/>
      </rPr>
      <t>(e)  providing feedback to survey sponsors concerning problems in obtaining valid
data.</t>
    </r>
  </si>
  <si>
    <r>
      <rPr>
        <sz val="11"/>
        <rFont val="Calibri"/>
        <family val="2"/>
        <scheme val="minor"/>
      </rPr>
      <t>(a)  performing mail-handling duties in public post offices or
privately owned delivery
establishments;</t>
    </r>
  </si>
  <si>
    <r>
      <rPr>
        <sz val="11"/>
        <rFont val="Calibri"/>
        <family val="2"/>
        <scheme val="minor"/>
      </rPr>
      <t>(b)  sorting and delivering mail to private houses and
businesses;</t>
    </r>
  </si>
  <si>
    <r>
      <rPr>
        <sz val="11"/>
        <rFont val="Calibri"/>
        <family val="2"/>
        <scheme val="minor"/>
      </rPr>
      <t>(c)  providing delivery confirmation records when
requested by the client;</t>
    </r>
  </si>
  <si>
    <r>
      <rPr>
        <sz val="11"/>
        <rFont val="Calibri"/>
        <family val="2"/>
        <scheme val="minor"/>
      </rPr>
      <t>(d)  sorting and keeping simple records of incoming and outgoing correspondence and dispatching outgoing mail
in various establishments;</t>
    </r>
  </si>
  <si>
    <r>
      <rPr>
        <sz val="11"/>
        <rFont val="Calibri"/>
        <family val="2"/>
        <scheme val="minor"/>
      </rPr>
      <t>(a)  reading letters and other written matter to persons who are unable to read or write and
providing necessary interpretation and information;</t>
    </r>
  </si>
  <si>
    <r>
      <rPr>
        <sz val="11"/>
        <rFont val="Calibri"/>
        <family val="2"/>
        <scheme val="minor"/>
      </rPr>
      <t>(b)  writing letters and completing forms on behalf of
others;</t>
    </r>
  </si>
  <si>
    <r>
      <rPr>
        <sz val="11"/>
        <rFont val="Calibri"/>
        <family val="2"/>
        <scheme val="minor"/>
      </rPr>
      <t>(c)  offering advice to individuals and interpreting
and helping with the completion of government and
other official forms.</t>
    </r>
  </si>
  <si>
    <r>
      <rPr>
        <sz val="11"/>
        <rFont val="Calibri"/>
        <family val="2"/>
        <scheme val="minor"/>
      </rPr>
      <t>(a)  casting horoscopes of individuals at birth or later to
recount past and forecast
future events and conditions of their lives;</t>
    </r>
  </si>
  <si>
    <r>
      <rPr>
        <sz val="11"/>
        <rFont val="Calibri"/>
        <family val="2"/>
        <scheme val="minor"/>
      </rPr>
      <t>(b)  interpreting characteristics of clients’ palms, samples of playing cards, position of tea leaves or coffee remnants in a
cup, shapes and patterns of bones of dead animals, etc.;</t>
    </r>
  </si>
  <si>
    <r>
      <rPr>
        <sz val="11"/>
        <rFont val="Calibri"/>
        <family val="2"/>
        <scheme val="minor"/>
      </rPr>
      <t>(c)  forecasting future events on the basis of these
interpretations;</t>
    </r>
  </si>
  <si>
    <r>
      <rPr>
        <sz val="11"/>
        <rFont val="Calibri"/>
        <family val="2"/>
        <scheme val="minor"/>
      </rPr>
      <t>(d)  determining auspicious times for various human
activities such as inaugurations, marriages, journeys and religious and
other ceremonies;</t>
    </r>
  </si>
  <si>
    <r>
      <rPr>
        <sz val="11"/>
        <rFont val="Calibri"/>
        <family val="2"/>
        <scheme val="minor"/>
      </rPr>
      <t>(f)  advising individuals on precautions to be taken to
avoid evil influences.</t>
    </r>
  </si>
  <si>
    <r>
      <rPr>
        <sz val="11"/>
        <rFont val="Calibri"/>
        <family val="2"/>
        <scheme val="minor"/>
      </rPr>
      <t>(a)  providing companionship to the employer by
accompanying him/her to various places, reading, conversing and participating in
activities such as sports;</t>
    </r>
  </si>
  <si>
    <r>
      <rPr>
        <sz val="11"/>
        <rFont val="Calibri"/>
        <family val="2"/>
        <scheme val="minor"/>
      </rPr>
      <t>(b)  assisting in entertaining visitors in the employer’s
home;</t>
    </r>
  </si>
  <si>
    <r>
      <rPr>
        <sz val="11"/>
        <rFont val="Calibri"/>
        <family val="2"/>
        <scheme val="minor"/>
      </rPr>
      <t>(c)  keeping wardrobe and personal effects of the
employer in good order.</t>
    </r>
  </si>
  <si>
    <r>
      <rPr>
        <sz val="11"/>
        <rFont val="Calibri"/>
        <family val="2"/>
        <scheme val="minor"/>
      </rPr>
      <t>Pet Groomers and
Animal Care Workers</t>
    </r>
  </si>
  <si>
    <r>
      <rPr>
        <sz val="11"/>
        <rFont val="Calibri"/>
        <family val="2"/>
        <scheme val="minor"/>
      </rPr>
      <t>(b)  leading or carrying animals to treatment rooms and holding them during
treatment;</t>
    </r>
  </si>
  <si>
    <r>
      <rPr>
        <sz val="11"/>
        <rFont val="Calibri"/>
        <family val="2"/>
        <scheme val="minor"/>
      </rPr>
      <t>(c)  cleaning and sterilizing veterinary surgical
instruments;</t>
    </r>
  </si>
  <si>
    <r>
      <rPr>
        <sz val="11"/>
        <rFont val="Calibri"/>
        <family val="2"/>
        <scheme val="minor"/>
      </rPr>
      <t>(d)  labelling drugs, chemicals and other pharmaceutical
preparations and replenishing stock;</t>
    </r>
  </si>
  <si>
    <r>
      <rPr>
        <sz val="11"/>
        <rFont val="Calibri"/>
        <family val="2"/>
        <scheme val="minor"/>
      </rPr>
      <t>(f)  cleaning, organizing and disinfecting animal quarters such as pens, stables, cages
and yards, and animal
equipment such as saddles and bridles;</t>
    </r>
  </si>
  <si>
    <r>
      <rPr>
        <sz val="11"/>
        <rFont val="Calibri"/>
        <family val="2"/>
        <scheme val="minor"/>
      </rPr>
      <t>(g)  collecting and recording animal information such as
weight, size, physical condition, treatments received, medications given and food
intake;</t>
    </r>
  </si>
  <si>
    <r>
      <rPr>
        <sz val="11"/>
        <rFont val="Calibri"/>
        <family val="2"/>
        <scheme val="minor"/>
      </rPr>
      <t>(i)  grooming animals by performing tasks such as
washing, brushing, clipping
and trimming coats, cutting nails and cleaning ears.</t>
    </r>
  </si>
  <si>
    <r>
      <rPr>
        <sz val="11"/>
        <rFont val="Calibri"/>
        <family val="2"/>
        <scheme val="minor"/>
      </rPr>
      <t>(a)  instructing students under actual driving conditions, and explaining and demonstrating the operation of brakes, clutch,
gear selection, automatic transmission, signals and
lights;</t>
    </r>
  </si>
  <si>
    <r>
      <rPr>
        <sz val="11"/>
        <rFont val="Calibri"/>
        <family val="2"/>
        <scheme val="minor"/>
      </rPr>
      <t>(d)  advising students when they are ready to undergo
driving examination;</t>
    </r>
  </si>
  <si>
    <r>
      <rPr>
        <sz val="11"/>
        <rFont val="Calibri"/>
        <family val="2"/>
        <scheme val="minor"/>
      </rPr>
      <t>(e)  advising on and teaching advanced driving techniques
required for emergency
situations;</t>
    </r>
  </si>
  <si>
    <r>
      <rPr>
        <sz val="11"/>
        <rFont val="Calibri"/>
        <family val="2"/>
        <scheme val="minor"/>
      </rPr>
      <t>(f)  illustrating and explaining handling and mechanical operation of motor vehicles and driving techniques, using
blackboard diagrams and audiovisual aids.</t>
    </r>
  </si>
  <si>
    <r>
      <rPr>
        <sz val="11"/>
        <rFont val="Calibri"/>
        <family val="2"/>
        <scheme val="minor"/>
      </rPr>
      <t>(a)  dressing in sample apparel of new or current styles or of
type wanted by customer;</t>
    </r>
  </si>
  <si>
    <r>
      <rPr>
        <sz val="11"/>
        <rFont val="Calibri"/>
        <family val="2"/>
        <scheme val="minor"/>
      </rPr>
      <t>(b)  walking, turning and posing to demonstrate, to best
advantage, style and characteristics of garments, fashion accessories and other
merchandise;</t>
    </r>
  </si>
  <si>
    <r>
      <rPr>
        <sz val="11"/>
        <rFont val="Calibri"/>
        <family val="2"/>
        <scheme val="minor"/>
      </rPr>
      <t>(c)  posing as subject for sculpture, painting and other
types of visual art;</t>
    </r>
  </si>
  <si>
    <r>
      <rPr>
        <sz val="11"/>
        <rFont val="Calibri"/>
        <family val="2"/>
        <scheme val="minor"/>
      </rPr>
      <t>(d)  posing for still
photography for magazines and other advertising media;</t>
    </r>
  </si>
  <si>
    <r>
      <rPr>
        <sz val="11"/>
        <rFont val="Calibri"/>
        <family val="2"/>
        <scheme val="minor"/>
      </rPr>
      <t>(e)  posing for television, video and cinema commercials
and other productions.</t>
    </r>
  </si>
  <si>
    <r>
      <rPr>
        <sz val="11"/>
        <rFont val="Calibri"/>
        <family val="2"/>
        <scheme val="minor"/>
      </rPr>
      <t>(a)  assessing sites for reforestation, selecting
seedlings and planting trees using manual planting tools
and establishing and caring for forest stands;</t>
    </r>
  </si>
  <si>
    <r>
      <rPr>
        <sz val="11"/>
        <rFont val="Calibri"/>
        <family val="2"/>
        <scheme val="minor"/>
      </rPr>
      <t>(b)  locating trees to be felled and estimating volume of
timber;</t>
    </r>
  </si>
  <si>
    <r>
      <rPr>
        <sz val="11"/>
        <rFont val="Calibri"/>
        <family val="2"/>
        <scheme val="minor"/>
      </rPr>
      <t>(c)  operating chainsaw and other power saws to thin
young forest stands, trim, top and fell trees and saw them
into logs;</t>
    </r>
  </si>
  <si>
    <r>
      <rPr>
        <sz val="11"/>
        <rFont val="Calibri"/>
        <family val="2"/>
        <scheme val="minor"/>
      </rPr>
      <t>(d)  shaping rough wooden products from logs at felling
site;</t>
    </r>
  </si>
  <si>
    <r>
      <rPr>
        <sz val="11"/>
        <rFont val="Calibri"/>
        <family val="2"/>
        <scheme val="minor"/>
      </rPr>
      <t>(e)  stacking logs and loading them in chutes or floating
them down rivers;</t>
    </r>
  </si>
  <si>
    <r>
      <rPr>
        <sz val="11"/>
        <rFont val="Calibri"/>
        <family val="2"/>
        <scheme val="minor"/>
      </rPr>
      <t>(f)  keeping watch to detect forest fires, participating in
fire fighting operations, completing fire fighting reports and maintaining fire
fighting equipment;</t>
    </r>
  </si>
  <si>
    <r>
      <rPr>
        <sz val="11"/>
        <rFont val="Calibri"/>
        <family val="2"/>
        <scheme val="minor"/>
      </rPr>
      <t>(g)  controlling weeds and undergrowth in regenerating forest stands using manual
tools and chemicals;</t>
    </r>
  </si>
  <si>
    <r>
      <rPr>
        <sz val="11"/>
        <rFont val="Calibri"/>
        <family val="2"/>
        <scheme val="minor"/>
      </rPr>
      <t>(h)  operating and maintaining a skidder, bulldozer or other prime mover to pull a variety
of scarification or site
preparation equipment over areas to be regenerated;</t>
    </r>
  </si>
  <si>
    <r>
      <rPr>
        <sz val="11"/>
        <rFont val="Calibri"/>
        <family val="2"/>
        <scheme val="minor"/>
      </rPr>
      <t>(i)  collecting seed cones, pruning trees, assisting in
planting surveys and marking
trees for subsequent operations;</t>
    </r>
  </si>
  <si>
    <r>
      <rPr>
        <sz val="11"/>
        <rFont val="Calibri"/>
        <family val="2"/>
        <scheme val="minor"/>
      </rPr>
      <t>(j)  training and supervising other workers in forestry
procedures, including forestry labourers and plant operators.</t>
    </r>
  </si>
  <si>
    <r>
      <rPr>
        <sz val="11"/>
        <rFont val="Calibri"/>
        <family val="2"/>
        <scheme val="minor"/>
      </rPr>
      <t>(a)  preparing and repairing nets and other fishing gear and
equipment;</t>
    </r>
  </si>
  <si>
    <r>
      <rPr>
        <sz val="11"/>
        <rFont val="Calibri"/>
        <family val="2"/>
        <scheme val="minor"/>
      </rPr>
      <t>(b)  selecting areas for fishing, plotting courses and
computing navigational positions using compass,
charts and other aids;</t>
    </r>
  </si>
  <si>
    <r>
      <rPr>
        <sz val="11"/>
        <rFont val="Calibri"/>
        <family val="2"/>
        <scheme val="minor"/>
      </rPr>
      <t>(c)  operating fishing vessels to, from and at fishing
grounds;</t>
    </r>
  </si>
  <si>
    <r>
      <rPr>
        <sz val="11"/>
        <rFont val="Calibri"/>
        <family val="2"/>
        <scheme val="minor"/>
      </rPr>
      <t>(d)  baiting, setting, operating and hauling in fishing gear by
hand or using hoisting
equipment;</t>
    </r>
  </si>
  <si>
    <r>
      <rPr>
        <sz val="11"/>
        <rFont val="Calibri"/>
        <family val="2"/>
        <scheme val="minor"/>
      </rPr>
      <t>(e)  gathering various forms of aquatic life from shores and
shallow waters;</t>
    </r>
  </si>
  <si>
    <r>
      <rPr>
        <sz val="11"/>
        <rFont val="Calibri"/>
        <family val="2"/>
        <scheme val="minor"/>
      </rPr>
      <t>(f)  maintaining engine fishing gear and other on-board
equipment;</t>
    </r>
  </si>
  <si>
    <r>
      <rPr>
        <sz val="11"/>
        <rFont val="Calibri"/>
        <family val="2"/>
        <scheme val="minor"/>
      </rPr>
      <t>(g)  keeping records of transactions, fishing activities, weather and sea conditions,
and estimating costs and
budgets;</t>
    </r>
  </si>
  <si>
    <r>
      <rPr>
        <sz val="11"/>
        <rFont val="Calibri"/>
        <family val="2"/>
        <scheme val="minor"/>
      </rPr>
      <t>(i)  removing catches from fishing equipment, measuring
them to ensure compliance with legal size and returning undesirable or illegal catches
to the water;</t>
    </r>
  </si>
  <si>
    <r>
      <rPr>
        <sz val="11"/>
        <rFont val="Calibri"/>
        <family val="2"/>
        <scheme val="minor"/>
      </rPr>
      <t>(j)  directing fishing operations, and supervising
fishing crew members.</t>
    </r>
  </si>
  <si>
    <r>
      <rPr>
        <sz val="11"/>
        <rFont val="Calibri"/>
        <family val="2"/>
        <scheme val="minor"/>
      </rPr>
      <t>(b)  commanding and operating fishing vessels to, from and at deep-sea fishing
grounds;</t>
    </r>
  </si>
  <si>
    <r>
      <rPr>
        <sz val="11"/>
        <rFont val="Calibri"/>
        <family val="2"/>
        <scheme val="minor"/>
      </rPr>
      <t>(c)  determining areas for fishing, plotting courses and
computing navigational positions using compass,
charts, tables and other aids;</t>
    </r>
  </si>
  <si>
    <r>
      <rPr>
        <sz val="11"/>
        <rFont val="Calibri"/>
        <family val="2"/>
        <scheme val="minor"/>
      </rPr>
      <t>(d)  steering vessels and operating navigational
instruments and electronic
fishing aids;</t>
    </r>
  </si>
  <si>
    <r>
      <rPr>
        <sz val="11"/>
        <rFont val="Calibri"/>
        <family val="2"/>
        <scheme val="minor"/>
      </rPr>
      <t>(e)  directing fishing operations and supervising
crew activities;</t>
    </r>
  </si>
  <si>
    <r>
      <rPr>
        <sz val="11"/>
        <rFont val="Calibri"/>
        <family val="2"/>
        <scheme val="minor"/>
      </rPr>
      <t>(f)  recording fishing progress and activities, as well as
weather and sea conditions, on the ship’s log;</t>
    </r>
  </si>
  <si>
    <r>
      <rPr>
        <sz val="11"/>
        <rFont val="Calibri"/>
        <family val="2"/>
        <scheme val="minor"/>
      </rPr>
      <t>(b)  killing trapped or free mammals, birds or reptiles
with firearms or other
weapons;</t>
    </r>
  </si>
  <si>
    <r>
      <rPr>
        <sz val="11"/>
        <rFont val="Calibri"/>
        <family val="2"/>
        <scheme val="minor"/>
      </rPr>
      <t>(c)  skinning and otherwise treating killed mammals, birds
or reptiles to obtain desired products for sale or delivery;</t>
    </r>
  </si>
  <si>
    <r>
      <rPr>
        <sz val="11"/>
        <rFont val="Calibri"/>
        <family val="2"/>
        <scheme val="minor"/>
      </rPr>
      <t>(d)  delivering or selling trapped live mammals, birds
or reptiles;</t>
    </r>
  </si>
  <si>
    <r>
      <rPr>
        <sz val="11"/>
        <rFont val="Calibri"/>
        <family val="2"/>
        <scheme val="minor"/>
      </rPr>
      <t>(a)  preparing the soil, sowing,
planting, tending and harvesting field crops;</t>
    </r>
  </si>
  <si>
    <r>
      <rPr>
        <sz val="11"/>
        <rFont val="Calibri"/>
        <family val="2"/>
        <scheme val="minor"/>
      </rPr>
      <t>(d)  storing for later use and carrying out some processing
of produce;</t>
    </r>
  </si>
  <si>
    <r>
      <rPr>
        <sz val="11"/>
        <rFont val="Calibri"/>
        <family val="2"/>
        <scheme val="minor"/>
      </rPr>
      <t>(f)  making tools, clothes and utensils for use by the
household;</t>
    </r>
  </si>
  <si>
    <r>
      <rPr>
        <sz val="11"/>
        <rFont val="Calibri"/>
        <family val="2"/>
        <scheme val="minor"/>
      </rPr>
      <t>(a)  cultivating pastures, or managing grazing lands, and monitoring feed and water supplies needed to maintain
condition of livestock;</t>
    </r>
  </si>
  <si>
    <r>
      <rPr>
        <sz val="11"/>
        <rFont val="Calibri"/>
        <family val="2"/>
        <scheme val="minor"/>
      </rPr>
      <t>(b)  monitoring and examining animals to detect illness,
injury or disease, and to check physical condition;</t>
    </r>
  </si>
  <si>
    <r>
      <rPr>
        <sz val="11"/>
        <rFont val="Calibri"/>
        <family val="2"/>
        <scheme val="minor"/>
      </rPr>
      <t>(c)  grooming and marking animals and shearing coats to
collect hair or wool;</t>
    </r>
  </si>
  <si>
    <r>
      <rPr>
        <sz val="11"/>
        <rFont val="Calibri"/>
        <family val="2"/>
        <scheme val="minor"/>
      </rPr>
      <t>(d)  herding or leading livestock to pastures, grazing
land and water supplies;</t>
    </r>
  </si>
  <si>
    <r>
      <rPr>
        <sz val="11"/>
        <rFont val="Calibri"/>
        <family val="2"/>
        <scheme val="minor"/>
      </rPr>
      <t>(e)  raising, tending, feeding and milking animals or
draining blood from them;</t>
    </r>
  </si>
  <si>
    <r>
      <rPr>
        <sz val="11"/>
        <rFont val="Calibri"/>
        <family val="2"/>
        <scheme val="minor"/>
      </rPr>
      <t>(g)  slaughtering and skinning animals and preparing them
and their products for
consumption or sale;</t>
    </r>
  </si>
  <si>
    <r>
      <rPr>
        <sz val="11"/>
        <rFont val="Calibri"/>
        <family val="2"/>
        <scheme val="minor"/>
      </rPr>
      <t>(j)  making tools, clothes and utensils for use by the
household;</t>
    </r>
  </si>
  <si>
    <r>
      <rPr>
        <sz val="11"/>
        <rFont val="Calibri"/>
        <family val="2"/>
        <scheme val="minor"/>
      </rPr>
      <t>(l)  buying, bartering and selling animals and some
products.</t>
    </r>
  </si>
  <si>
    <r>
      <rPr>
        <sz val="11"/>
        <rFont val="Calibri"/>
        <family val="2"/>
        <scheme val="minor"/>
      </rPr>
      <t>(a)  gathering wild fruits, roots, medicinal and other
plants;</t>
    </r>
  </si>
  <si>
    <r>
      <rPr>
        <sz val="11"/>
        <rFont val="Calibri"/>
        <family val="2"/>
        <scheme val="minor"/>
      </rPr>
      <t>(b)  hunting or trapping animals mainly to obtain meat,
milk, hair, skin or other products;</t>
    </r>
  </si>
  <si>
    <r>
      <rPr>
        <sz val="11"/>
        <rFont val="Calibri"/>
        <family val="2"/>
        <scheme val="minor"/>
      </rPr>
      <t>(d)  catching fish and gathering other forms of
aquatic life;</t>
    </r>
  </si>
  <si>
    <r>
      <rPr>
        <sz val="11"/>
        <rFont val="Calibri"/>
        <family val="2"/>
        <scheme val="minor"/>
      </rPr>
      <t>(e)  storing or carrying out some processing of their
produce;</t>
    </r>
  </si>
  <si>
    <r>
      <rPr>
        <sz val="11"/>
        <rFont val="Calibri"/>
        <family val="2"/>
        <scheme val="minor"/>
      </rPr>
      <t>(g)  making tools, clothes and utensils for use by the
household;</t>
    </r>
  </si>
  <si>
    <r>
      <rPr>
        <sz val="11"/>
        <rFont val="Calibri"/>
        <family val="2"/>
        <scheme val="minor"/>
      </rPr>
      <t>(a)  preparing ground for erecting building or other
structures;</t>
    </r>
  </si>
  <si>
    <r>
      <rPr>
        <sz val="11"/>
        <rFont val="Calibri"/>
        <family val="2"/>
        <scheme val="minor"/>
      </rPr>
      <t>(b)  erecting structures to support roofs, and building
and covering walls with appropriate materials;</t>
    </r>
  </si>
  <si>
    <r>
      <rPr>
        <sz val="11"/>
        <rFont val="Calibri"/>
        <family val="2"/>
        <scheme val="minor"/>
      </rPr>
      <t>(c)  fixing rafters to roofs and covering with roofing
material;</t>
    </r>
  </si>
  <si>
    <r>
      <rPr>
        <sz val="11"/>
        <rFont val="Calibri"/>
        <family val="2"/>
        <scheme val="minor"/>
      </rPr>
      <t>(f)  arranging for specialized work such as bricklaying, painting, plumbing and
electrical wiring to be done by
subcontractors;</t>
    </r>
  </si>
  <si>
    <r>
      <rPr>
        <sz val="11"/>
        <rFont val="Calibri"/>
        <family val="2"/>
        <scheme val="minor"/>
      </rPr>
      <t>(g)  coordinating and supervising the activities of subcontractors, labourers and
other workers.</t>
    </r>
  </si>
  <si>
    <r>
      <rPr>
        <sz val="11"/>
        <rFont val="Calibri"/>
        <family val="2"/>
        <scheme val="minor"/>
      </rPr>
      <t>(a)  constructing and repairing reinforced concrete floors, walls, tanks, silos and other
concrete structures;</t>
    </r>
  </si>
  <si>
    <r>
      <rPr>
        <sz val="11"/>
        <rFont val="Calibri"/>
        <family val="2"/>
        <scheme val="minor"/>
      </rPr>
      <t>(b)  making shuttering or assembling prefabricated
forms for moulding concrete;</t>
    </r>
  </si>
  <si>
    <r>
      <rPr>
        <sz val="11"/>
        <rFont val="Calibri"/>
        <family val="2"/>
        <scheme val="minor"/>
      </rPr>
      <t>(e)  applying a durable smooth surfacing composed of
cement, sand pigment and marble particles to floors, known as a terrazzo finish.</t>
    </r>
  </si>
  <si>
    <r>
      <rPr>
        <sz val="11"/>
        <rFont val="Calibri"/>
        <family val="2"/>
        <scheme val="minor"/>
      </rPr>
      <t>(a)  applying one or more coats of plaster to interior
walls and ceilings of buildings
to produce a finished surface;</t>
    </r>
  </si>
  <si>
    <r>
      <rPr>
        <sz val="11"/>
        <rFont val="Calibri"/>
        <family val="2"/>
        <scheme val="minor"/>
      </rPr>
      <t>(b)  measuring, marking and installing ornamental plaster
panels, and casting and
trimming ornamental plaster cornices;</t>
    </r>
  </si>
  <si>
    <r>
      <rPr>
        <sz val="11"/>
        <rFont val="Calibri"/>
        <family val="2"/>
        <scheme val="minor"/>
      </rPr>
      <t>(c)  measuring, marking and cutting plasterboard, lifting and positioning panels and
securing them to walls, ceilings and battens;</t>
    </r>
  </si>
  <si>
    <r>
      <rPr>
        <sz val="11"/>
        <rFont val="Calibri"/>
        <family val="2"/>
        <scheme val="minor"/>
      </rPr>
      <t>(d)  covering joins and nail holes with wet plaster and sealing compounds, and smoothing them using wet
brushes and sandpaper;</t>
    </r>
  </si>
  <si>
    <r>
      <rPr>
        <sz val="11"/>
        <rFont val="Calibri"/>
        <family val="2"/>
        <scheme val="minor"/>
      </rPr>
      <t>(e)  applying protective and decorative coverings of
cement, plaster and similar
materials to exterior building surfaces;</t>
    </r>
  </si>
  <si>
    <r>
      <rPr>
        <sz val="11"/>
        <rFont val="Calibri"/>
        <family val="2"/>
        <scheme val="minor"/>
      </rPr>
      <t>(f)   making and installing decorative plaster fixtures of
fibrous plaster;</t>
    </r>
  </si>
  <si>
    <r>
      <rPr>
        <sz val="11"/>
        <rFont val="Calibri"/>
        <family val="2"/>
        <scheme val="minor"/>
      </rPr>
      <t>(g)  applying and finishing acoustic, insulating and
fireproofing materials bonded
with plaster, plastic cement and similar materials.</t>
    </r>
  </si>
  <si>
    <r>
      <rPr>
        <sz val="11"/>
        <rFont val="Calibri"/>
        <family val="2"/>
        <scheme val="minor"/>
      </rPr>
      <t>(a)  cleaning exterior surfaces of stone, brick, metal or
similar materials by means of chemicals, or a jet of steam or
sand applied under high pressure;</t>
    </r>
  </si>
  <si>
    <r>
      <rPr>
        <sz val="11"/>
        <rFont val="Calibri"/>
        <family val="2"/>
        <scheme val="minor"/>
      </rPr>
      <t>(b)  removing soot from flues, chimneys and connecting
pipes;</t>
    </r>
  </si>
  <si>
    <r>
      <rPr>
        <sz val="11"/>
        <rFont val="Calibri"/>
        <family val="2"/>
        <scheme val="minor"/>
      </rPr>
      <t>(c)  removing asbestos, mould and fire-damaged surfaces
from buildings.</t>
    </r>
  </si>
  <si>
    <r>
      <rPr>
        <sz val="11"/>
        <rFont val="Calibri"/>
        <family val="2"/>
        <scheme val="minor"/>
      </rPr>
      <t>(a)  examining, servicing and repairing bicycles and other
non-motorized transport equipment;</t>
    </r>
  </si>
  <si>
    <r>
      <rPr>
        <sz val="11"/>
        <rFont val="Calibri"/>
        <family val="2"/>
        <scheme val="minor"/>
      </rPr>
      <t>(b)  cleaning and lubricating bearings and other moving
parts;</t>
    </r>
  </si>
  <si>
    <r>
      <rPr>
        <sz val="11"/>
        <rFont val="Calibri"/>
        <family val="2"/>
        <scheme val="minor"/>
      </rPr>
      <t>(c)  replacing and repairing components and accessories such as brakes, gears, driving chain mechanisms, wheels and
handlebars;</t>
    </r>
  </si>
  <si>
    <r>
      <rPr>
        <sz val="11"/>
        <rFont val="Calibri"/>
        <family val="2"/>
        <scheme val="minor"/>
      </rPr>
      <t>(f)  assembling new bicycles, wheelchairs and similar non-
motorized equipment.</t>
    </r>
  </si>
  <si>
    <r>
      <rPr>
        <sz val="11"/>
        <rFont val="Calibri"/>
        <family val="2"/>
        <scheme val="minor"/>
      </rPr>
      <t>(c)  reading technical drawings to know customer’s
requirements;</t>
    </r>
  </si>
  <si>
    <r>
      <rPr>
        <sz val="11"/>
        <rFont val="Calibri"/>
        <family val="2"/>
        <scheme val="minor"/>
      </rPr>
      <t>(d)  forming articles on the potter’s wheel by pressing
thumbs into centres of revolving clay to form hollows, and pressing on the inside and outside of emerging clay cylinders with hands and fingers, gradually raising and
shaping clay to desired forms and sizes;</t>
    </r>
  </si>
  <si>
    <r>
      <rPr>
        <sz val="11"/>
        <rFont val="Calibri"/>
        <family val="2"/>
        <scheme val="minor"/>
      </rPr>
      <t>(e)  adjusting wheel speeds according to the feel of the clay as pieces enlarge and
walls become thinner;</t>
    </r>
  </si>
  <si>
    <r>
      <rPr>
        <sz val="11"/>
        <rFont val="Calibri"/>
        <family val="2"/>
        <scheme val="minor"/>
      </rPr>
      <t>(f)  operating jigger machines to form ceramic ware such as
bowls, cups, plates and saucers;</t>
    </r>
  </si>
  <si>
    <r>
      <rPr>
        <sz val="11"/>
        <rFont val="Calibri"/>
        <family val="2"/>
        <scheme val="minor"/>
      </rPr>
      <t>(g)  adjusting and setting controls of pug mills that mix, extrude, cut, and deposit clay charges in or over moulds as
specified;</t>
    </r>
  </si>
  <si>
    <r>
      <rPr>
        <sz val="11"/>
        <rFont val="Calibri"/>
        <family val="2"/>
        <scheme val="minor"/>
      </rPr>
      <t>(h)  smoothening surfaces of finished pieces, using rubber
scrapers and wet sponges;</t>
    </r>
  </si>
  <si>
    <r>
      <rPr>
        <sz val="11"/>
        <rFont val="Calibri"/>
        <family val="2"/>
        <scheme val="minor"/>
      </rPr>
      <t>(i)  forming abrasive wheels by moulding and pressing an abrasive mixture by hand or
by machine;</t>
    </r>
  </si>
  <si>
    <r>
      <rPr>
        <sz val="11"/>
        <rFont val="Calibri"/>
        <family val="2"/>
        <scheme val="minor"/>
      </rPr>
      <t>(j)  examining finished ware for defects and verifying
accuracy of shapes and sizes
of objects, using callipers and templates;</t>
    </r>
  </si>
  <si>
    <r>
      <rPr>
        <sz val="11"/>
        <rFont val="Calibri"/>
        <family val="2"/>
        <scheme val="minor"/>
      </rPr>
      <t>(k)  preparing work for sale or exhibition, and maintaining
relationships with retail, pottery, art and resource networks that can facilitate
sale or exhibition of work.</t>
    </r>
  </si>
  <si>
    <r>
      <rPr>
        <sz val="11"/>
        <rFont val="Calibri"/>
        <family val="2"/>
        <scheme val="minor"/>
      </rPr>
      <t>(a)  painting decorative freehand designs on objects
such as pottery, glass, cigarette cases or lampshades;</t>
    </r>
  </si>
  <si>
    <r>
      <rPr>
        <sz val="11"/>
        <rFont val="Calibri"/>
        <family val="2"/>
        <scheme val="minor"/>
      </rPr>
      <t>(b)  transferring decorative or ornamental designs onto
articles from paper transfers;</t>
    </r>
  </si>
  <si>
    <r>
      <rPr>
        <sz val="11"/>
        <rFont val="Calibri"/>
        <family val="2"/>
        <scheme val="minor"/>
      </rPr>
      <t>(c)  integrating and developing visual elements, such as line,
space, mass, colour and perspective, in order to produce desired effects such as the illustration of ideas,
emotions or moods;</t>
    </r>
  </si>
  <si>
    <r>
      <rPr>
        <sz val="11"/>
        <rFont val="Calibri"/>
        <family val="2"/>
        <scheme val="minor"/>
      </rPr>
      <t>(d)  laying out and painting in one or more languages letters,
figures, monograms and designs to make signs;</t>
    </r>
  </si>
  <si>
    <r>
      <rPr>
        <sz val="11"/>
        <rFont val="Calibri"/>
        <family val="2"/>
        <scheme val="minor"/>
      </rPr>
      <t>(f)  designing patterns or lettering to paint work pieces
such as signs, glassware, pottery or zinc plates;</t>
    </r>
  </si>
  <si>
    <r>
      <rPr>
        <sz val="11"/>
        <rFont val="Calibri"/>
        <family val="2"/>
        <scheme val="minor"/>
      </rPr>
      <t>(g)  using software and routing equipment to produce three- dimensional carved images for application onto larger signage as well as engraved and inlaid
signs;</t>
    </r>
  </si>
  <si>
    <r>
      <rPr>
        <sz val="11"/>
        <rFont val="Calibri"/>
        <family val="2"/>
        <scheme val="minor"/>
      </rPr>
      <t>(h)  designing and producing normal flat cut lettering, or
lettering that is shadowed with applied vinyl, or lettering that is ready cut for application;</t>
    </r>
  </si>
  <si>
    <r>
      <rPr>
        <sz val="11"/>
        <rFont val="Calibri"/>
        <family val="2"/>
        <scheme val="minor"/>
      </rPr>
      <t>(i)  writing, painting or printing signs or show cards
used for display or other purposes;</t>
    </r>
  </si>
  <si>
    <r>
      <rPr>
        <sz val="11"/>
        <rFont val="Calibri"/>
        <family val="2"/>
        <scheme val="minor"/>
      </rPr>
      <t>(j)  cutting out letters and signs for display purposes
from wallboard or cardboard, by hand or machines such as electrically powered jigsaws
or bandsaws;</t>
    </r>
  </si>
  <si>
    <r>
      <rPr>
        <sz val="11"/>
        <rFont val="Calibri"/>
        <family val="2"/>
        <scheme val="minor"/>
      </rPr>
      <t>(k)  examining sketches, diagrams, samples, blueprints or photographs to decide how designs are to be etched, cut or
engraved onto work pieces;</t>
    </r>
  </si>
  <si>
    <r>
      <rPr>
        <sz val="11"/>
        <rFont val="Calibri"/>
        <family val="2"/>
        <scheme val="minor"/>
      </rPr>
      <t>(l)  measuring and computing dimensions of lettering, designs or patterns to be
engraved;</t>
    </r>
  </si>
  <si>
    <r>
      <rPr>
        <sz val="11"/>
        <rFont val="Calibri"/>
        <family val="2"/>
        <scheme val="minor"/>
      </rPr>
      <t>(m)  engraving and printing patterns, ornamental designs, etchings, trademarks, figures or lettering onto flat or curved surfaces of a wide variety of
metal, glass, plastic, or ceramic items;</t>
    </r>
  </si>
  <si>
    <r>
      <rPr>
        <sz val="11"/>
        <rFont val="Calibri"/>
        <family val="2"/>
        <scheme val="minor"/>
      </rPr>
      <t>(n)  etching decorative designs, calibration markings
and other figures on glass articles.</t>
    </r>
  </si>
  <si>
    <r>
      <rPr>
        <sz val="11"/>
        <rFont val="Calibri"/>
        <family val="2"/>
        <scheme val="minor"/>
      </rPr>
      <t>(a)  operating graphic cameras and other photographic equipment to reproduce
camera-ready copy onto films, plates and digital output
devices;</t>
    </r>
  </si>
  <si>
    <r>
      <rPr>
        <sz val="11"/>
        <rFont val="Calibri"/>
        <family val="2"/>
        <scheme val="minor"/>
      </rPr>
      <t>(b)  using computer applications to generate images, text, layouts and
impositions for print and other visual media displays;</t>
    </r>
  </si>
  <si>
    <r>
      <rPr>
        <sz val="11"/>
        <rFont val="Calibri"/>
        <family val="2"/>
        <scheme val="minor"/>
      </rPr>
      <t>(c)  operating plate-making equipment to reproduce
images from film to printing plates, digital output devices
and presses;</t>
    </r>
  </si>
  <si>
    <r>
      <rPr>
        <sz val="11"/>
        <rFont val="Calibri"/>
        <family val="2"/>
        <scheme val="minor"/>
      </rPr>
      <t>(d)  operating computer screen-based equipment for scanning, colour separation, colour correction, masking, creative design, combining, imposing, retouching, and
other processes used to transfer copy to film and produce film for plate, digital
output and cylinder productions;</t>
    </r>
  </si>
  <si>
    <r>
      <rPr>
        <sz val="11"/>
        <rFont val="Calibri"/>
        <family val="2"/>
        <scheme val="minor"/>
      </rPr>
      <t>(e)  carrying out digital and chemical proofing from digital
systems, and negative and positive films;</t>
    </r>
  </si>
  <si>
    <r>
      <rPr>
        <sz val="11"/>
        <rFont val="Calibri"/>
        <family val="2"/>
        <scheme val="minor"/>
      </rPr>
      <t>(f)  evaluating printed proofs, checking and correcting them
for quality;</t>
    </r>
  </si>
  <si>
    <r>
      <rPr>
        <sz val="11"/>
        <rFont val="Calibri"/>
        <family val="2"/>
        <scheme val="minor"/>
      </rPr>
      <t>(g)  preparing and exposing carbon tissue for laying on cylinders by transfer method,
and developing images.</t>
    </r>
  </si>
  <si>
    <r>
      <rPr>
        <sz val="11"/>
        <rFont val="Calibri"/>
        <family val="2"/>
        <scheme val="minor"/>
      </rPr>
      <t>(a)  inspecting, testing, tasting and smelling agricultural
products, food and beverages
at various stages of processing;</t>
    </r>
  </si>
  <si>
    <r>
      <rPr>
        <sz val="11"/>
        <rFont val="Calibri"/>
        <family val="2"/>
        <scheme val="minor"/>
      </rPr>
      <t>(b)  determining quality, acceptability to consumer
tastes and approximate value
of products, and grading them into appropriate classes;</t>
    </r>
  </si>
  <si>
    <r>
      <rPr>
        <sz val="11"/>
        <rFont val="Calibri"/>
        <family val="2"/>
        <scheme val="minor"/>
      </rPr>
      <t>(d)  recording the grade and/or identification numbers on tags,
receiving or sales sheets;</t>
    </r>
  </si>
  <si>
    <r>
      <rPr>
        <sz val="11"/>
        <rFont val="Calibri"/>
        <family val="2"/>
        <scheme val="minor"/>
      </rPr>
      <t>(a)  grading cured tobacco leaves by type, quality and
locality where grown;</t>
    </r>
  </si>
  <si>
    <r>
      <rPr>
        <sz val="11"/>
        <rFont val="Calibri"/>
        <family val="2"/>
        <scheme val="minor"/>
      </rPr>
      <t>(b)  mixing tobacco leaves according to formula to obtain
a blend of distinct flavour;</t>
    </r>
  </si>
  <si>
    <r>
      <rPr>
        <sz val="11"/>
        <rFont val="Calibri"/>
        <family val="2"/>
        <scheme val="minor"/>
      </rPr>
      <t>(c)  tending vacuum containers which moisten tobacco for
further processing;</t>
    </r>
  </si>
  <si>
    <r>
      <rPr>
        <sz val="11"/>
        <rFont val="Calibri"/>
        <family val="2"/>
        <scheme val="minor"/>
      </rPr>
      <t>(d)  removing midribs and stalks from tobacco leaves and
shredding tobacco;</t>
    </r>
  </si>
  <si>
    <r>
      <rPr>
        <sz val="11"/>
        <rFont val="Calibri"/>
        <family val="2"/>
        <scheme val="minor"/>
      </rPr>
      <t>(e)  making cigars, cigarettes, snuff and other tobacco products by hand or with
simple machines.</t>
    </r>
  </si>
  <si>
    <r>
      <rPr>
        <sz val="11"/>
        <rFont val="Calibri"/>
        <family val="2"/>
        <scheme val="minor"/>
      </rPr>
      <t>(a)  operating and tending kilns, treating tanks and other
equipment to dry lumber, prepare and season wood and other wood products, and to
impregnate wood products with preservatives;</t>
    </r>
  </si>
  <si>
    <r>
      <rPr>
        <sz val="11"/>
        <rFont val="Calibri"/>
        <family val="2"/>
        <scheme val="minor"/>
      </rPr>
      <t>(b)  monitoring equipment operation, gauges and panel
lights in order to detect deviations from standards and to ensure that processes are operating according to
specifications;</t>
    </r>
  </si>
  <si>
    <r>
      <rPr>
        <sz val="11"/>
        <rFont val="Calibri"/>
        <family val="2"/>
        <scheme val="minor"/>
      </rPr>
      <t>(c)  operating valves to admit treating solution into treatment
vessels, maintain specified heat, vacuum and hydraulic pressure and levels of solution
during each phase of the treatment cycle;</t>
    </r>
  </si>
  <si>
    <r>
      <rPr>
        <sz val="11"/>
        <rFont val="Calibri"/>
        <family val="2"/>
        <scheme val="minor"/>
      </rPr>
      <t>(d)  activating  vacuum and hydraulic pressure pumps that
remove air and steam from retorts and force treating solution into pores of wood to accelerate the treatment
process;</t>
    </r>
  </si>
  <si>
    <r>
      <rPr>
        <sz val="11"/>
        <rFont val="Calibri"/>
        <family val="2"/>
        <scheme val="minor"/>
      </rPr>
      <t>(e)  assisting in maintaining processing equipment and
machines as required;</t>
    </r>
  </si>
  <si>
    <r>
      <rPr>
        <sz val="11"/>
        <rFont val="Calibri"/>
        <family val="2"/>
        <scheme val="minor"/>
      </rPr>
      <t>(g)  transporting materials and products to and from work
areas manually or using carts, handtrucks or hoists;</t>
    </r>
  </si>
  <si>
    <r>
      <rPr>
        <sz val="11"/>
        <rFont val="Calibri"/>
        <family val="2"/>
        <scheme val="minor"/>
      </rPr>
      <t>(h)  completing and maintaining production
reports.</t>
    </r>
  </si>
  <si>
    <r>
      <rPr>
        <sz val="11"/>
        <rFont val="Calibri"/>
        <family val="2"/>
        <scheme val="minor"/>
      </rPr>
      <t>(a)  setting up, programming, operating and monitoring
several types of woodworking machines for sawing, shaping, boring, drilling, planing, pressing, turning, sanding or carving to fabricate or repair wooden parts for furniture, fixtures and other wooden
products;</t>
    </r>
  </si>
  <si>
    <r>
      <rPr>
        <sz val="11"/>
        <rFont val="Calibri"/>
        <family val="2"/>
        <scheme val="minor"/>
      </rPr>
      <t>(b)  operating preset special- purpose woodworking
machines to fabricate wooden products such as coat hangers, mop handles, clothespins and
other products;</t>
    </r>
  </si>
  <si>
    <r>
      <rPr>
        <sz val="11"/>
        <rFont val="Calibri"/>
        <family val="2"/>
        <scheme val="minor"/>
      </rPr>
      <t>(c)  selecting knives, saws, blades, cutter heads, cams, bits
or belts according to work
piece, machine functions and product specifications;</t>
    </r>
  </si>
  <si>
    <r>
      <rPr>
        <sz val="11"/>
        <rFont val="Calibri"/>
        <family val="2"/>
        <scheme val="minor"/>
      </rPr>
      <t>(e)  setting and adjusting various kinds of woodworking
machines for operation by others;</t>
    </r>
  </si>
  <si>
    <r>
      <rPr>
        <sz val="11"/>
        <rFont val="Calibri"/>
        <family val="2"/>
        <scheme val="minor"/>
      </rPr>
      <t>(f)  reading and interpreting specifications or following
verbal instructions.</t>
    </r>
  </si>
  <si>
    <r>
      <rPr>
        <sz val="11"/>
        <rFont val="Calibri"/>
        <family val="2"/>
        <scheme val="minor"/>
      </rPr>
      <t>(a)  discussing upholstery fabric, colour and style with customers and providing cost
estimates for upholstering
furniture or other items;</t>
    </r>
  </si>
  <si>
    <r>
      <rPr>
        <sz val="11"/>
        <rFont val="Calibri"/>
        <family val="2"/>
        <scheme val="minor"/>
      </rPr>
      <t>(b)  making upholstery patterns from sketches, customer descriptions or
blueprints;</t>
    </r>
  </si>
  <si>
    <r>
      <rPr>
        <sz val="11"/>
        <rFont val="Calibri"/>
        <family val="2"/>
        <scheme val="minor"/>
      </rPr>
      <t>(c)  laying out, measuring and cutting upholstery materials following patterns, templates,
sketches or design specifications;</t>
    </r>
  </si>
  <si>
    <r>
      <rPr>
        <sz val="11"/>
        <rFont val="Calibri"/>
        <family val="2"/>
        <scheme val="minor"/>
      </rPr>
      <t>(d)  installing, arranging and securing springs, padding and covering material to furniture
frames;</t>
    </r>
  </si>
  <si>
    <r>
      <rPr>
        <sz val="11"/>
        <rFont val="Calibri"/>
        <family val="2"/>
        <scheme val="minor"/>
      </rPr>
      <t>(e)  sewing upholstery materials by hand to seam
cushions and joining sections of covering materials;</t>
    </r>
  </si>
  <si>
    <r>
      <rPr>
        <sz val="11"/>
        <rFont val="Calibri"/>
        <family val="2"/>
        <scheme val="minor"/>
      </rPr>
      <t>(f)  sewing rips or tears in material, or creating tufting,
using needle and thread;</t>
    </r>
  </si>
  <si>
    <r>
      <rPr>
        <sz val="11"/>
        <rFont val="Calibri"/>
        <family val="2"/>
        <scheme val="minor"/>
      </rPr>
      <t>(g)  tacking, gluing or sewing ornamental trims, buckles, braids, buttons and other accessories to covers or
frames on upholstered items;</t>
    </r>
  </si>
  <si>
    <r>
      <rPr>
        <sz val="11"/>
        <rFont val="Calibri"/>
        <family val="2"/>
        <scheme val="minor"/>
      </rPr>
      <t>(h)  laying out, cutting, fabricating and installing
upholstery in aircrafts, motor
vehicles, railway cars, boats and ships;</t>
    </r>
  </si>
  <si>
    <r>
      <rPr>
        <sz val="11"/>
        <rFont val="Calibri"/>
        <family val="2"/>
        <scheme val="minor"/>
      </rPr>
      <t>(j)   renovating antique furniture using a variety of
tools including ripping chisels,
magnetic hammers and long needles;</t>
    </r>
  </si>
  <si>
    <r>
      <rPr>
        <sz val="11"/>
        <rFont val="Calibri"/>
        <family val="2"/>
        <scheme val="minor"/>
      </rPr>
      <t>(k)  collaborating with interior designers to decorate rooms and coordinate furnishing
fabrics;</t>
    </r>
  </si>
  <si>
    <r>
      <rPr>
        <sz val="11"/>
        <rFont val="Calibri"/>
        <family val="2"/>
        <scheme val="minor"/>
      </rPr>
      <t>(a)  sorting and grading pelts, hides and skins according to
colour, shading, size and density;</t>
    </r>
  </si>
  <si>
    <r>
      <rPr>
        <sz val="11"/>
        <rFont val="Calibri"/>
        <family val="2"/>
        <scheme val="minor"/>
      </rPr>
      <t>(b)  scraping particles of flesh, fat or protective tissue from skins or pelts to clean and
soften them;</t>
    </r>
  </si>
  <si>
    <r>
      <rPr>
        <sz val="11"/>
        <rFont val="Calibri"/>
        <family val="2"/>
        <scheme val="minor"/>
      </rPr>
      <t>Pelt Dressers, Tanners and
Fellmongers</t>
    </r>
  </si>
  <si>
    <r>
      <rPr>
        <sz val="11"/>
        <rFont val="Calibri"/>
        <family val="2"/>
        <scheme val="minor"/>
      </rPr>
      <t>Pelt Dressers,
Tanners and Fellmongers</t>
    </r>
  </si>
  <si>
    <r>
      <rPr>
        <sz val="11"/>
        <rFont val="Calibri"/>
        <family val="2"/>
        <scheme val="minor"/>
      </rPr>
      <t>(e)  removing long, coarse hair from pelts and trimming
underlying hair to even length;</t>
    </r>
  </si>
  <si>
    <r>
      <rPr>
        <sz val="11"/>
        <rFont val="Calibri"/>
        <family val="2"/>
        <scheme val="minor"/>
      </rPr>
      <t>(f)  tanning and dressing pelts to improve lustre and beauty
or to restore the natural
appearance of pelts;</t>
    </r>
  </si>
  <si>
    <r>
      <rPr>
        <sz val="11"/>
        <rFont val="Calibri"/>
        <family val="2"/>
        <scheme val="minor"/>
      </rPr>
      <t>(g)  preparing bark and myrobalan liquor for treating
hides or skins;</t>
    </r>
  </si>
  <si>
    <r>
      <rPr>
        <sz val="11"/>
        <rFont val="Calibri"/>
        <family val="2"/>
        <scheme val="minor"/>
      </rPr>
      <t>(h)  treating hides and skins in tanning solution to convert
them into leather;</t>
    </r>
  </si>
  <si>
    <r>
      <rPr>
        <sz val="11"/>
        <rFont val="Calibri"/>
        <family val="2"/>
        <scheme val="minor"/>
      </rPr>
      <t>(j)  removing wrinkles and setting grains on wet hides or
skins;</t>
    </r>
  </si>
  <si>
    <r>
      <rPr>
        <sz val="11"/>
        <rFont val="Calibri"/>
        <family val="2"/>
        <scheme val="minor"/>
      </rPr>
      <t>(m) seasoning leather by applying chemical solution or oil evenly onto the surface by hand brush and allowing it to
dry in open air.</t>
    </r>
  </si>
  <si>
    <r>
      <rPr>
        <sz val="11"/>
        <rFont val="Calibri"/>
        <family val="2"/>
        <scheme val="minor"/>
      </rPr>
      <t>(b)  checking and maintaining diving equipment such as helmets, masks, air tanks, diving suits, harnesses and
gauges;</t>
    </r>
  </si>
  <si>
    <r>
      <rPr>
        <sz val="11"/>
        <rFont val="Calibri"/>
        <family val="2"/>
        <scheme val="minor"/>
      </rPr>
      <t>(c)  descending into water with the aid of diver helpers, using
scuba gear or diving suits;</t>
    </r>
  </si>
  <si>
    <r>
      <rPr>
        <sz val="11"/>
        <rFont val="Calibri"/>
        <family val="2"/>
        <scheme val="minor"/>
      </rPr>
      <t>(d)  working under water to lay and repair bridges, piers
and harbour-wall foundations;</t>
    </r>
  </si>
  <si>
    <r>
      <rPr>
        <sz val="11"/>
        <rFont val="Calibri"/>
        <family val="2"/>
        <scheme val="minor"/>
      </rPr>
      <t>(e)  inspecting for suspected damage and making minor repairs to ships’ hulls and
underwater installations;</t>
    </r>
  </si>
  <si>
    <r>
      <rPr>
        <sz val="11"/>
        <rFont val="Calibri"/>
        <family val="2"/>
        <scheme val="minor"/>
      </rPr>
      <t>(i)  performing various underwater tasks connected
with salvage work or
recovering dead bodies;</t>
    </r>
  </si>
  <si>
    <r>
      <rPr>
        <sz val="11"/>
        <rFont val="Calibri"/>
        <family val="2"/>
        <scheme val="minor"/>
      </rPr>
      <t>(j)  gathering shellfish, sponges and other aquatic life
forms;</t>
    </r>
  </si>
  <si>
    <r>
      <rPr>
        <sz val="11"/>
        <rFont val="Calibri"/>
        <family val="2"/>
        <scheme val="minor"/>
      </rPr>
      <t>(j)  communicating with workers on the surface while under water, using signal lines
or telephones;</t>
    </r>
  </si>
  <si>
    <r>
      <rPr>
        <sz val="11"/>
        <rFont val="Calibri"/>
        <family val="2"/>
        <scheme val="minor"/>
      </rPr>
      <t>(k)  obtaining information about diving tasks and
environmental conditions.</t>
    </r>
  </si>
  <si>
    <r>
      <rPr>
        <sz val="11"/>
        <rFont val="Calibri"/>
        <family val="2"/>
        <scheme val="minor"/>
      </rPr>
      <t>(a)  ensuring that workplace safety and explosives
handling, storage and transport
procedures and regulations are followed;</t>
    </r>
  </si>
  <si>
    <r>
      <rPr>
        <sz val="11"/>
        <rFont val="Calibri"/>
        <family val="2"/>
        <scheme val="minor"/>
      </rPr>
      <t>(b)  planning and giving instructions for the layout, depth and diameter of blast
holes;</t>
    </r>
  </si>
  <si>
    <r>
      <rPr>
        <sz val="11"/>
        <rFont val="Calibri"/>
        <family val="2"/>
        <scheme val="minor"/>
      </rPr>
      <t>(f)  assembling, or directing other workers to assemble,
primer charges using detonators and explosive cartridges, and attaching
electrical wires, fuses and detonating cords to primers;</t>
    </r>
  </si>
  <si>
    <r>
      <rPr>
        <sz val="11"/>
        <rFont val="Calibri"/>
        <family val="2"/>
        <scheme val="minor"/>
      </rPr>
      <t>(g)  connecting wires, fuses and detonator cords into series, testing electrical
circuits and repairing
malfunctions, and connecting series to blasting machines;</t>
    </r>
  </si>
  <si>
    <r>
      <rPr>
        <sz val="11"/>
        <rFont val="Calibri"/>
        <family val="2"/>
        <scheme val="minor"/>
      </rPr>
      <t>(h)  covering charges, filling blast holes with rock dust,
sand and other materials, and tamping material to compact
charges;</t>
    </r>
  </si>
  <si>
    <r>
      <rPr>
        <sz val="11"/>
        <rFont val="Calibri"/>
        <family val="2"/>
        <scheme val="minor"/>
      </rPr>
      <t>(j)  declaring blast areas safe before and after detonation of
explosives;</t>
    </r>
  </si>
  <si>
    <r>
      <rPr>
        <sz val="11"/>
        <rFont val="Calibri"/>
        <family val="2"/>
        <scheme val="minor"/>
      </rPr>
      <t>(k)  compiling and maintaining records about
usage of explosives in
compliance with laws and regulations.</t>
    </r>
  </si>
  <si>
    <r>
      <rPr>
        <sz val="11"/>
        <rFont val="Calibri"/>
        <family val="2"/>
        <scheme val="minor"/>
      </rPr>
      <t>(a) heating, moulding and pressing optical glass to make
lens blanks;</t>
    </r>
  </si>
  <si>
    <r>
      <rPr>
        <sz val="11"/>
        <rFont val="Calibri"/>
        <family val="2"/>
        <scheme val="minor"/>
      </rPr>
      <t>(a)  setting up and operating stationary plant and machinery which grind, crush, cut, saw and slice rocks, minerals and
stones according to the specifications for the job;</t>
    </r>
  </si>
  <si>
    <r>
      <rPr>
        <sz val="11"/>
        <rFont val="Calibri"/>
        <family val="2"/>
        <scheme val="minor"/>
      </rPr>
      <t>(b)  positioning blocks and slabs of stone onto machines for sawing, cutting and further
working;</t>
    </r>
  </si>
  <si>
    <r>
      <rPr>
        <sz val="11"/>
        <rFont val="Calibri"/>
        <family val="2"/>
        <scheme val="minor"/>
      </rPr>
      <t>(c)  monitoring and maintaining the flow of
unprocessed rocks, minerals
and stones from conveyors into machines;</t>
    </r>
  </si>
  <si>
    <r>
      <rPr>
        <sz val="11"/>
        <rFont val="Calibri"/>
        <family val="2"/>
        <scheme val="minor"/>
      </rPr>
      <t>(d)  operating washing, separating, leaching, precipitating, filtering,
extracting and combining
equipment to remove waste material and recover minerals;</t>
    </r>
  </si>
  <si>
    <r>
      <rPr>
        <sz val="11"/>
        <rFont val="Calibri"/>
        <family val="2"/>
        <scheme val="minor"/>
      </rPr>
      <t>(e)  combining mineral ores with solvents to facilitate
further processing;</t>
    </r>
  </si>
  <si>
    <r>
      <rPr>
        <sz val="11"/>
        <rFont val="Calibri"/>
        <family val="2"/>
        <scheme val="minor"/>
      </rPr>
      <t>(f)  separating metal and mineral concentrates from ore
and alluvial deposits by thickening, flotation, gravity separation, filtration, or magnetic and electrostatic
separation;</t>
    </r>
  </si>
  <si>
    <r>
      <rPr>
        <sz val="11"/>
        <rFont val="Calibri"/>
        <family val="2"/>
        <scheme val="minor"/>
      </rPr>
      <t>(g)  observing meters, gauges and control panels, adjusting valves and controls to ensure the safe and efficient operation
of equipment, detecting malfunctions and assisting with plant and machinery
maintenance and repair;</t>
    </r>
  </si>
  <si>
    <r>
      <rPr>
        <sz val="11"/>
        <rFont val="Calibri"/>
        <family val="2"/>
        <scheme val="minor"/>
      </rPr>
      <t>(h)  examining processed materials visually or with hands to ensure compliance with established standards and
job specifications, and
collecting samples for testing in laboratories;</t>
    </r>
  </si>
  <si>
    <r>
      <rPr>
        <sz val="11"/>
        <rFont val="Calibri"/>
        <family val="2"/>
        <scheme val="minor"/>
      </rPr>
      <t>(i)  recording information about processing completed
during shifts, such as quantities, types and
dimensions of materials produced;</t>
    </r>
  </si>
  <si>
    <r>
      <rPr>
        <sz val="11"/>
        <rFont val="Calibri"/>
        <family val="2"/>
        <scheme val="minor"/>
      </rPr>
      <t>(j)  sorting, stacking and moving processed minerals and stone for packaging,
further processing or shipping.</t>
    </r>
  </si>
  <si>
    <r>
      <rPr>
        <sz val="11"/>
        <rFont val="Calibri"/>
        <family val="2"/>
        <scheme val="minor"/>
      </rPr>
      <t>(a)  operating and monitoring equipment which makes
photographic film and paper;</t>
    </r>
  </si>
  <si>
    <r>
      <rPr>
        <sz val="11"/>
        <rFont val="Calibri"/>
        <family val="2"/>
        <scheme val="minor"/>
      </rPr>
      <t>(b)  operating, monitoring and testing photographic
processing and printing equipment, and maintaining
operational standards;</t>
    </r>
  </si>
  <si>
    <r>
      <rPr>
        <sz val="11"/>
        <rFont val="Calibri"/>
        <family val="2"/>
        <scheme val="minor"/>
      </rPr>
      <t>(c)  preparing exposed film for different processing batches in
dark rooms and dark chambers;</t>
    </r>
  </si>
  <si>
    <r>
      <rPr>
        <sz val="11"/>
        <rFont val="Calibri"/>
        <family val="2"/>
        <scheme val="minor"/>
      </rPr>
      <t>(d)  inspecting images, films and prints, and adjusting settings on printmaking equipment to produce the required colour, brightness, contrast, number, size and
type of prints;</t>
    </r>
  </si>
  <si>
    <r>
      <rPr>
        <sz val="11"/>
        <rFont val="Calibri"/>
        <family val="2"/>
        <scheme val="minor"/>
      </rPr>
      <t>(e)  adjusting settings and running automatic developing
equipment;</t>
    </r>
  </si>
  <si>
    <r>
      <rPr>
        <sz val="11"/>
        <rFont val="Calibri"/>
        <family val="2"/>
        <scheme val="minor"/>
      </rPr>
      <t>(f)  operating equipment to transfer film to videotape or
other electronic media;</t>
    </r>
  </si>
  <si>
    <r>
      <rPr>
        <sz val="11"/>
        <rFont val="Calibri"/>
        <family val="2"/>
        <scheme val="minor"/>
      </rPr>
      <t>(h)  operating automatic equipment (in retail
establishments) to develop
colour negatives, prints and slides.</t>
    </r>
  </si>
  <si>
    <r>
      <rPr>
        <sz val="11"/>
        <rFont val="Calibri"/>
        <family val="2"/>
        <scheme val="minor"/>
      </rPr>
      <t>(a)  operating and monitoring machines for tearing woollen
rags into fibre;</t>
    </r>
  </si>
  <si>
    <r>
      <rPr>
        <sz val="11"/>
        <rFont val="Calibri"/>
        <family val="2"/>
        <scheme val="minor"/>
      </rPr>
      <t>(b)  operating and monitoring machines for cleaning and turning woollen yarn waste
into fluffed wool;</t>
    </r>
  </si>
  <si>
    <r>
      <rPr>
        <sz val="11"/>
        <rFont val="Calibri"/>
        <family val="2"/>
        <scheme val="minor"/>
      </rPr>
      <t>(c)  operating and monitoring machines which combine textile fibres into uniform
blends;</t>
    </r>
  </si>
  <si>
    <r>
      <rPr>
        <sz val="11"/>
        <rFont val="Calibri"/>
        <family val="2"/>
        <scheme val="minor"/>
      </rPr>
      <t>(d)  operating and monitoring machines which clean and
fluff textile fibres,  transform them into sliver, comb them into sliver for first drawing, combine slivers into sliver lap
or sliver laps into ribbon lap;</t>
    </r>
  </si>
  <si>
    <r>
      <rPr>
        <sz val="11"/>
        <rFont val="Calibri"/>
        <family val="2"/>
        <scheme val="minor"/>
      </rPr>
      <t>(e)  operating draw frames (machines) having numbers of
drawing sets, each set combining several slivers into one of nearly the same weight and thickness as any of the
original slivers;</t>
    </r>
  </si>
  <si>
    <r>
      <rPr>
        <sz val="11"/>
        <rFont val="Calibri"/>
        <family val="2"/>
        <scheme val="minor"/>
      </rPr>
      <t>(f)  operating and monitoring machines which spin thread and yarn from roving, wind two or more threads onto a bobbin, twist two or more strands of yarn or thread into
single strands of yarn to increase strength, smoothness and/or uniformity of yarn, or
wind yarn or thread from one package to another;</t>
    </r>
  </si>
  <si>
    <r>
      <rPr>
        <sz val="11"/>
        <rFont val="Calibri"/>
        <family val="2"/>
        <scheme val="minor"/>
      </rPr>
      <t>(g)  operating and monitoring spinning frames that draw out and twist roving or sliver into
yarn;</t>
    </r>
  </si>
  <si>
    <r>
      <rPr>
        <sz val="11"/>
        <rFont val="Calibri"/>
        <family val="2"/>
        <scheme val="minor"/>
      </rPr>
      <t>(h)  operating and monitoring machines for drawing slivers
received from drawing machines into loosely twisted strands;</t>
    </r>
  </si>
  <si>
    <r>
      <rPr>
        <sz val="11"/>
        <rFont val="Calibri"/>
        <family val="2"/>
        <scheme val="minor"/>
      </rPr>
      <t>(i)  preparing sizing for use in stiffening and finishing cloth
and yarn by mixing ingredients such as starch, tallow, resins and soaps with water and boiling mixture for
specified times in steam;</t>
    </r>
  </si>
  <si>
    <r>
      <rPr>
        <sz val="11"/>
        <rFont val="Calibri"/>
        <family val="2"/>
        <scheme val="minor"/>
      </rPr>
      <t>(j)  treating textiles with chemicals to make them water
resistant;</t>
    </r>
  </si>
  <si>
    <r>
      <rPr>
        <sz val="11"/>
        <rFont val="Calibri"/>
        <family val="2"/>
        <scheme val="minor"/>
      </rPr>
      <t>(k)  cleaning rollers and cylinders of carding machines
to remove wool waste;</t>
    </r>
  </si>
  <si>
    <r>
      <rPr>
        <sz val="11"/>
        <rFont val="Calibri"/>
        <family val="2"/>
        <scheme val="minor"/>
      </rPr>
      <t>(l)  operating and resurfacing metal drawing rolls of various spinning, combing and lapping machines with new rubber or
leather covers.</t>
    </r>
  </si>
  <si>
    <r>
      <rPr>
        <sz val="11"/>
        <rFont val="Calibri"/>
        <family val="2"/>
        <scheme val="minor"/>
      </rPr>
      <t>(a)  starting and controlling machines and equipment to
bleach, dye or otherwise process and finish fabric, yarn, thread and/or other textile
goods;</t>
    </r>
  </si>
  <si>
    <r>
      <rPr>
        <sz val="11"/>
        <rFont val="Calibri"/>
        <family val="2"/>
        <scheme val="minor"/>
      </rPr>
      <t>(b)  tending machines that shrink woven or knitted cloth
to predetermined size or strengthen the weave by interlocking the fibres;</t>
    </r>
  </si>
  <si>
    <r>
      <rPr>
        <sz val="11"/>
        <rFont val="Calibri"/>
        <family val="2"/>
        <scheme val="minor"/>
      </rPr>
      <t>(c)  tending a variety of automatic machines that comb
and polish furs;</t>
    </r>
  </si>
  <si>
    <r>
      <rPr>
        <sz val="11"/>
        <rFont val="Calibri"/>
        <family val="2"/>
        <scheme val="minor"/>
      </rPr>
      <t>(d)  operating and monitoring machines that treat silk to give
it body and weight;</t>
    </r>
  </si>
  <si>
    <r>
      <rPr>
        <sz val="11"/>
        <rFont val="Calibri"/>
        <family val="2"/>
        <scheme val="minor"/>
      </rPr>
      <t>(g)  operating and monitoring machines that stretch or impart lustre or other type of finish to
textiles;</t>
    </r>
  </si>
  <si>
    <r>
      <rPr>
        <sz val="11"/>
        <rFont val="Calibri"/>
        <family val="2"/>
        <scheme val="minor"/>
      </rPr>
      <t>(h)  tending and regulating equipment that fumigates and removes foreign matter from
furs;</t>
    </r>
  </si>
  <si>
    <r>
      <rPr>
        <sz val="11"/>
        <rFont val="Calibri"/>
        <family val="2"/>
        <scheme val="minor"/>
      </rPr>
      <t>(i)  operating machines that comb, dry and polish furs, and
clean, sterilize and fluff feathers and blankets;</t>
    </r>
  </si>
  <si>
    <r>
      <rPr>
        <sz val="11"/>
        <rFont val="Calibri"/>
        <family val="2"/>
        <scheme val="minor"/>
      </rPr>
      <t>(j)  keying in processing instructions to programme
electronic equipment;</t>
    </r>
  </si>
  <si>
    <r>
      <rPr>
        <sz val="11"/>
        <rFont val="Calibri"/>
        <family val="2"/>
        <scheme val="minor"/>
      </rPr>
      <t>(k)  observing display screens, control panels, equipment and
cloth entering or exiting processes to determine if equipment is operating
correctly;</t>
    </r>
  </si>
  <si>
    <r>
      <rPr>
        <sz val="11"/>
        <rFont val="Calibri"/>
        <family val="2"/>
        <scheme val="minor"/>
      </rPr>
      <t>(a)  operating and monitoring machines which remove flesh and fat from hides or pelts to clean and soften them prior to
processing;</t>
    </r>
  </si>
  <si>
    <r>
      <rPr>
        <sz val="11"/>
        <rFont val="Calibri"/>
        <family val="2"/>
        <scheme val="minor"/>
      </rPr>
      <t>(b)  operating and monitoring machines which remove long coarse hair from fur pelts, trim
hair to even length and dye,
stretch and smooth dressed pelts;</t>
    </r>
  </si>
  <si>
    <r>
      <rPr>
        <sz val="11"/>
        <rFont val="Calibri"/>
        <family val="2"/>
        <scheme val="minor"/>
      </rPr>
      <t>(c)  operating and monitoring machines to remove epidermis hair roots, pigment cells and lime salts from the grain side
of skin;</t>
    </r>
  </si>
  <si>
    <r>
      <rPr>
        <sz val="11"/>
        <rFont val="Calibri"/>
        <family val="2"/>
        <scheme val="minor"/>
      </rPr>
      <t>(e)  operating and monitoring machines to polish or roughen
hides or skins to specified finishes;</t>
    </r>
  </si>
  <si>
    <r>
      <rPr>
        <sz val="11"/>
        <rFont val="Calibri"/>
        <family val="2"/>
        <scheme val="minor"/>
      </rPr>
      <t>(f)  operating and monitoring machines which separate
residual wool from skins, or flesh and hair from hides;</t>
    </r>
  </si>
  <si>
    <r>
      <rPr>
        <sz val="11"/>
        <rFont val="Calibri"/>
        <family val="2"/>
        <scheme val="minor"/>
      </rPr>
      <t>(g)  operating and monitoring machines in which hides are split edgeways to form two or more pieces or to give uniform
thickness;</t>
    </r>
  </si>
  <si>
    <r>
      <rPr>
        <sz val="11"/>
        <rFont val="Calibri"/>
        <family val="2"/>
        <scheme val="minor"/>
      </rPr>
      <t>(h)  operating and monitoring machines which treat hides
and skins in solutions to convert them into leather;</t>
    </r>
  </si>
  <si>
    <r>
      <rPr>
        <sz val="11"/>
        <rFont val="Calibri"/>
        <family val="2"/>
        <scheme val="minor"/>
      </rPr>
      <t>(i)  treating surfaces of leather with oil and operating glazing
machines to give glossy finishes to leather;</t>
    </r>
  </si>
  <si>
    <r>
      <rPr>
        <sz val="11"/>
        <rFont val="Calibri"/>
        <family val="2"/>
        <scheme val="minor"/>
      </rPr>
      <t>(j)  operating and monitoring machines which apply dyes
and stains to leather;</t>
    </r>
  </si>
  <si>
    <r>
      <rPr>
        <sz val="11"/>
        <rFont val="Calibri"/>
        <family val="2"/>
        <scheme val="minor"/>
      </rPr>
      <t>(a)  operating and monitoring machines which mark patterns
and cut shoe parts;</t>
    </r>
  </si>
  <si>
    <r>
      <rPr>
        <sz val="11"/>
        <rFont val="Calibri"/>
        <family val="2"/>
        <scheme val="minor"/>
      </rPr>
      <t>(b)  operating and monitoring machines which sew shoe
parts together, or edge, polish,
or apply ornaments and perform finishing tasks;</t>
    </r>
  </si>
  <si>
    <r>
      <rPr>
        <sz val="11"/>
        <rFont val="Calibri"/>
        <family val="2"/>
        <scheme val="minor"/>
      </rPr>
      <t>(c)  operating and monitoring machines which produce
luggage, handbags, belts and other accessories, as well as other items such as saddles,
collars or harnesses.</t>
    </r>
  </si>
  <si>
    <r>
      <rPr>
        <sz val="11"/>
        <rFont val="Calibri"/>
        <family val="2"/>
        <scheme val="minor"/>
      </rPr>
      <t>(a)  operating and monitoring screening and bleaching
equipment, digesters, mixing tanks, washers and other pulp processing machinery and equipment to carry out one or more cellulose processing
steps;</t>
    </r>
  </si>
  <si>
    <r>
      <rPr>
        <sz val="11"/>
        <rFont val="Calibri"/>
        <family val="2"/>
        <scheme val="minor"/>
      </rPr>
      <t>(b)  operating and monitoring papermaking and finishing
process machinery and equipment to dry, calender, laminate, coat, slit, trim, wind or carry out other papermaking and finishing
process steps;</t>
    </r>
  </si>
  <si>
    <r>
      <rPr>
        <sz val="11"/>
        <rFont val="Calibri"/>
        <family val="2"/>
        <scheme val="minor"/>
      </rPr>
      <t>(c)  controlling start-up and shut-down of machinery and equipment, and observing equipment and machinery panel indicators, gauges and
other equipment to detect machinery and equipment malfunctions and ensure that process steps are carried out
according to specifications;</t>
    </r>
  </si>
  <si>
    <r>
      <rPr>
        <sz val="11"/>
        <rFont val="Calibri"/>
        <family val="2"/>
        <scheme val="minor"/>
      </rPr>
      <t>(d) communicating with process control operators to make process adjustments and
to start up or shut down machinery and equipment as
required;</t>
    </r>
  </si>
  <si>
    <r>
      <rPr>
        <sz val="11"/>
        <rFont val="Calibri"/>
        <family val="2"/>
        <scheme val="minor"/>
      </rPr>
      <t>(e)  analysing instrument readings and production test
samples and making adjustments to the production process and equipment as
required;</t>
    </r>
  </si>
  <si>
    <r>
      <rPr>
        <sz val="11"/>
        <rFont val="Calibri"/>
        <family val="2"/>
        <scheme val="minor"/>
      </rPr>
      <t>(f)  mounting, positioning and threading paper rolls using a
hoist;</t>
    </r>
  </si>
  <si>
    <r>
      <rPr>
        <sz val="11"/>
        <rFont val="Calibri"/>
        <family val="2"/>
        <scheme val="minor"/>
      </rPr>
      <t>(g)  inspecting paper visually for wrinkles, holes,
discoloration, streaks or other
defects, and taking corrective action;</t>
    </r>
  </si>
  <si>
    <r>
      <rPr>
        <sz val="11"/>
        <rFont val="Calibri"/>
        <family val="2"/>
        <scheme val="minor"/>
      </rPr>
      <t>Pulp and Papermaking Plant
Operators</t>
    </r>
  </si>
  <si>
    <r>
      <rPr>
        <sz val="11"/>
        <rFont val="Calibri"/>
        <family val="2"/>
        <scheme val="minor"/>
      </rPr>
      <t>(a)  examining logs and rough lumber to determine size, condition, quality and other characteristics to decide best lumber cuts to carry out, or
operating automated equipment to convey logs through laser scanners which determine the most productive
and profitable cutting patterns;</t>
    </r>
  </si>
  <si>
    <r>
      <rPr>
        <sz val="11"/>
        <rFont val="Calibri"/>
        <family val="2"/>
        <scheme val="minor"/>
      </rPr>
      <t>(b)  operating and monitoring log in-feed and conveyor
systems;</t>
    </r>
  </si>
  <si>
    <r>
      <rPr>
        <sz val="11"/>
        <rFont val="Calibri"/>
        <family val="2"/>
        <scheme val="minor"/>
      </rPr>
      <t>(c)  operating and monitoring head saws, resaws and
multiblade saws to saw logs, cants, flitches, slabs or wings and remove rough edges from sawn timber into dressed lumber of various sizes, and to
saw or split shingles and shakes;</t>
    </r>
  </si>
  <si>
    <r>
      <rPr>
        <sz val="11"/>
        <rFont val="Calibri"/>
        <family val="2"/>
        <scheme val="minor"/>
      </rPr>
      <t>(d)  operating and monitoring plywood core-laying machines and hot-plate plywood presses
and machines which cut
veneer;</t>
    </r>
  </si>
  <si>
    <r>
      <rPr>
        <sz val="11"/>
        <rFont val="Calibri"/>
        <family val="2"/>
        <scheme val="minor"/>
      </rPr>
      <t>(a)  operating and monitoring glass-making furnaces to make
glass by melting and fusing pre-mixed ingredients;</t>
    </r>
  </si>
  <si>
    <r>
      <rPr>
        <sz val="11"/>
        <rFont val="Calibri"/>
        <family val="2"/>
        <scheme val="minor"/>
      </rPr>
      <t>(b)  tending hot- or cold-end spray equipment used to coat
glassware with surface hardener;</t>
    </r>
  </si>
  <si>
    <r>
      <rPr>
        <sz val="11"/>
        <rFont val="Calibri"/>
        <family val="2"/>
        <scheme val="minor"/>
      </rPr>
      <t>(c)  operating and maintaining machines that press or blow molten glass into moulds to form or shape containers such as bottles, jars and drinking
glasses;</t>
    </r>
  </si>
  <si>
    <r>
      <rPr>
        <sz val="11"/>
        <rFont val="Calibri"/>
        <family val="2"/>
        <scheme val="minor"/>
      </rPr>
      <t>(d)  operating hand presses to mould glass into required
shape;</t>
    </r>
  </si>
  <si>
    <r>
      <rPr>
        <sz val="11"/>
        <rFont val="Calibri"/>
        <family val="2"/>
        <scheme val="minor"/>
      </rPr>
      <t>(e)  operating drawing kilns to process molten glass into
continuous sheets of flat glass;</t>
    </r>
  </si>
  <si>
    <r>
      <rPr>
        <sz val="11"/>
        <rFont val="Calibri"/>
        <family val="2"/>
        <scheme val="minor"/>
      </rPr>
      <t>(f)  operating and monitoring floating-glass production
plants;</t>
    </r>
  </si>
  <si>
    <r>
      <rPr>
        <sz val="11"/>
        <rFont val="Calibri"/>
        <family val="2"/>
        <scheme val="minor"/>
      </rPr>
      <t>(g)  operating and maintaining finishing machines to grind, drill, sand, bevel, decorate, wash or polish glass or glass
products;</t>
    </r>
  </si>
  <si>
    <r>
      <rPr>
        <sz val="11"/>
        <rFont val="Calibri"/>
        <family val="2"/>
        <scheme val="minor"/>
      </rPr>
      <t>(h)  setting and operating press machines to mould ceramic
articles from moist clay;</t>
    </r>
  </si>
  <si>
    <r>
      <rPr>
        <sz val="11"/>
        <rFont val="Calibri"/>
        <family val="2"/>
        <scheme val="minor"/>
      </rPr>
      <t>(i)  operating machines to mix clay with water to knead it
into a suitable plastic
condition or semi-liquid form for making ceramic products;</t>
    </r>
  </si>
  <si>
    <r>
      <rPr>
        <sz val="11"/>
        <rFont val="Calibri"/>
        <family val="2"/>
        <scheme val="minor"/>
      </rPr>
      <t>(j)  operating and monitoring kilns which bake pottery, porcelain ware, bricks and
tiles;</t>
    </r>
  </si>
  <si>
    <r>
      <rPr>
        <sz val="11"/>
        <rFont val="Calibri"/>
        <family val="2"/>
        <scheme val="minor"/>
      </rPr>
      <t>(k)  operating and monitoring machines for making glaze or
abrasives;</t>
    </r>
  </si>
  <si>
    <r>
      <rPr>
        <sz val="11"/>
        <rFont val="Calibri"/>
        <family val="2"/>
        <scheme val="minor"/>
      </rPr>
      <t>(l)  operating and monitoring machines which extrude
molten glass to form fibreglass filaments;</t>
    </r>
  </si>
  <si>
    <r>
      <rPr>
        <sz val="11"/>
        <rFont val="Calibri"/>
        <family val="2"/>
        <scheme val="minor"/>
      </rPr>
      <t>(m)  observing finished products to identify splits, cracks, breaks, colour and
other imperfections.</t>
    </r>
  </si>
  <si>
    <r>
      <rPr>
        <sz val="11"/>
        <rFont val="Calibri"/>
        <family val="2"/>
        <scheme val="minor"/>
      </rPr>
      <t>(a)  operating, cleaning, lubricating and monitoring steam engines, boilers and auxiliary equipment such as pumps, compressors and air- conditioning equipment to supply and maintain steam and
power for buildings, marine vessels or pneumatic tools;</t>
    </r>
  </si>
  <si>
    <r>
      <rPr>
        <sz val="11"/>
        <rFont val="Calibri"/>
        <family val="2"/>
        <scheme val="minor"/>
      </rPr>
      <t>(b)  analysing and recording instrument readings, troubleshooting and
performing minor repairs to
prevent equipment or system failure;</t>
    </r>
  </si>
  <si>
    <r>
      <rPr>
        <sz val="11"/>
        <rFont val="Calibri"/>
        <family val="2"/>
        <scheme val="minor"/>
      </rPr>
      <t>(c)  monitoring and inspecting performance of equipment for
efficient operation and ensuring that boiler water,
chemicals and fuel are maintained at required levels;</t>
    </r>
  </si>
  <si>
    <r>
      <rPr>
        <sz val="11"/>
        <rFont val="Calibri"/>
        <family val="2"/>
        <scheme val="minor"/>
      </rPr>
      <t>(d)  firing coal furnaces by hand or with stokers and gas-
or oil-fed boilers, using automatic gas feeds or oil
pumps;</t>
    </r>
  </si>
  <si>
    <r>
      <rPr>
        <sz val="11"/>
        <rFont val="Calibri"/>
        <family val="2"/>
        <scheme val="minor"/>
      </rPr>
      <t>(e)  testing boiler water quality or arranging for testing,
adjusting and taking necessary corrective action, such as adding chemicals to prevent
corrosion and harmful deposits;</t>
    </r>
  </si>
  <si>
    <r>
      <rPr>
        <sz val="11"/>
        <rFont val="Calibri"/>
        <family val="2"/>
        <scheme val="minor"/>
      </rPr>
      <t>(f)  monitoring ship’s engine, machinery and equipment
indicators, recording variables and reporting abnormalities to the ship’s engineer officer on
watch;</t>
    </r>
  </si>
  <si>
    <r>
      <rPr>
        <sz val="11"/>
        <rFont val="Calibri"/>
        <family val="2"/>
        <scheme val="minor"/>
      </rPr>
      <t>(g)  operating and maintaining off-loading liquid pumps and
valves.</t>
    </r>
  </si>
  <si>
    <r>
      <rPr>
        <sz val="11"/>
        <rFont val="Calibri"/>
        <family val="2"/>
        <scheme val="minor"/>
      </rPr>
      <t>(a)  driving or assisting in driving a steam, electric or diesel-electric locomotive
engine;</t>
    </r>
  </si>
  <si>
    <r>
      <rPr>
        <sz val="11"/>
        <rFont val="Calibri"/>
        <family val="2"/>
        <scheme val="minor"/>
      </rPr>
      <t>(c)  driving a locomotive to haul carriages underground or
on the surface of a mine or
quarry;</t>
    </r>
  </si>
  <si>
    <r>
      <rPr>
        <sz val="11"/>
        <rFont val="Calibri"/>
        <family val="2"/>
        <scheme val="minor"/>
      </rPr>
      <t>(d)  watching for track hazards and observing signals and
indicator gauges;</t>
    </r>
  </si>
  <si>
    <r>
      <rPr>
        <sz val="11"/>
        <rFont val="Calibri"/>
        <family val="2"/>
        <scheme val="minor"/>
      </rPr>
      <t>(e)  operating communications systems to communicate with
train crews and traffic controllers to ensure safe operation and scheduling of
trains.</t>
    </r>
  </si>
  <si>
    <r>
      <rPr>
        <sz val="11"/>
        <rFont val="Calibri"/>
        <family val="2"/>
        <scheme val="minor"/>
      </rPr>
      <t>(a)  taking charge of and safeguarding freight train
during runs;</t>
    </r>
  </si>
  <si>
    <r>
      <rPr>
        <sz val="11"/>
        <rFont val="Calibri"/>
        <family val="2"/>
        <scheme val="minor"/>
      </rPr>
      <t>(b)  controlling the flow of railway traffic over sections of line by operating signals and switches from control panels
or signal boxes;</t>
    </r>
  </si>
  <si>
    <r>
      <rPr>
        <sz val="11"/>
        <rFont val="Calibri"/>
        <family val="2"/>
        <scheme val="minor"/>
      </rPr>
      <t>(c)  switching and coupling rolling stock in railway yards and sidings in accordance with
orders about loading, unloading and make-up of
trains;</t>
    </r>
  </si>
  <si>
    <r>
      <rPr>
        <sz val="11"/>
        <rFont val="Calibri"/>
        <family val="2"/>
        <scheme val="minor"/>
      </rPr>
      <t>(d)  making up trains for hauling by locomotive or cable and directing their
movement along haulage ways
in a mine or quarry;</t>
    </r>
  </si>
  <si>
    <r>
      <rPr>
        <sz val="11"/>
        <rFont val="Calibri"/>
        <family val="2"/>
        <scheme val="minor"/>
      </rPr>
      <t>(e)  checking train systems and equipment such as air- conditioning and heating
systems, brakes and brake hoses prior to train run.</t>
    </r>
  </si>
  <si>
    <r>
      <rPr>
        <sz val="11"/>
        <rFont val="Calibri"/>
        <family val="2"/>
        <scheme val="minor"/>
      </rPr>
      <t>(a)  preparing simple or pre- prepared foods and beverages
such as sandwiches, hamburgers, pizzas, fish and
chips, salads and coffee;</t>
    </r>
  </si>
  <si>
    <r>
      <rPr>
        <sz val="11"/>
        <rFont val="Calibri"/>
        <family val="2"/>
        <scheme val="minor"/>
      </rPr>
      <t>(b)  washing, cutting, measuring and mixing foods
for cooking;</t>
    </r>
  </si>
  <si>
    <r>
      <rPr>
        <sz val="11"/>
        <rFont val="Calibri"/>
        <family val="2"/>
        <scheme val="minor"/>
      </rPr>
      <t>(c)  operating large-volume single-process cooking
equipment such as grills, deep- fat fryers or griddles;</t>
    </r>
  </si>
  <si>
    <r>
      <rPr>
        <sz val="11"/>
        <rFont val="Calibri"/>
        <family val="2"/>
        <scheme val="minor"/>
      </rPr>
      <t>(e)  cleaning food preparation areas, cooking surfaces and
utensils;</t>
    </r>
  </si>
  <si>
    <r>
      <rPr>
        <sz val="11"/>
        <rFont val="Calibri"/>
        <family val="2"/>
        <scheme val="minor"/>
      </rPr>
      <t>(g)  ordering and taking delivery of fast food
ingredients;</t>
    </r>
  </si>
  <si>
    <r>
      <rPr>
        <sz val="11"/>
        <rFont val="Calibri"/>
        <family val="2"/>
        <scheme val="minor"/>
      </rPr>
      <t>(h)  maintaining sanitation, health and safety standards in
work areas;</t>
    </r>
  </si>
  <si>
    <r>
      <rPr>
        <sz val="11"/>
        <rFont val="Calibri"/>
        <family val="2"/>
        <scheme val="minor"/>
      </rPr>
      <t>(i)  verifying that prepared food meets requirements for
quality and quantity.</t>
    </r>
  </si>
  <si>
    <r>
      <rPr>
        <sz val="11"/>
        <rFont val="Calibri"/>
        <family val="2"/>
        <scheme val="minor"/>
      </rPr>
      <t>(a)  collecting samples and preparing materials and
equipment for experiments,
tests and analyses;</t>
    </r>
  </si>
  <si>
    <r>
      <rPr>
        <sz val="11"/>
        <rFont val="Calibri"/>
        <family val="2"/>
        <scheme val="minor"/>
      </rPr>
      <t>(b)  carrying out routine laboratory tests and
performing a variety of technical support functions to assist chemical and physical scientists in research,
development, analysis and testing;</t>
    </r>
  </si>
  <si>
    <r>
      <rPr>
        <sz val="11"/>
        <rFont val="Calibri"/>
        <family val="2"/>
        <scheme val="minor"/>
      </rPr>
      <t>(c)  controlling the quality and quantity of laboratory supplies
by testing samples and monitoring usage and preparing detailed estimates of quantities and costs of materials and labour required
for projects, according to the specifications given;</t>
    </r>
  </si>
  <si>
    <r>
      <rPr>
        <sz val="11"/>
        <rFont val="Calibri"/>
        <family val="2"/>
        <scheme val="minor"/>
      </rPr>
      <t>(d)  setting up, operating, and maintaining laboratory
instruments and equipment, monitoring experiments, making observations, and
calculating and recording results;</t>
    </r>
  </si>
  <si>
    <r>
      <rPr>
        <sz val="11"/>
        <rFont val="Calibri"/>
        <family val="2"/>
        <scheme val="minor"/>
      </rPr>
      <t>(e)  preparing materials for experimentation such as
freezing and slicing specimens and mixing chemicals;</t>
    </r>
  </si>
  <si>
    <r>
      <rPr>
        <sz val="11"/>
        <rFont val="Calibri"/>
        <family val="2"/>
        <scheme val="minor"/>
      </rPr>
      <t>(f)  collecting and testing earth and water samples, recording observations and analysing data in support of geologists or
geophysicists.</t>
    </r>
  </si>
  <si>
    <t>making, ratifying, amending or repealing laws, public rules and regulations within a statutory or constitutional framework;</t>
  </si>
  <si>
    <t>serving on government administrative boards or official committees;</t>
  </si>
  <si>
    <t>negotiating with other legislators and representatives of interest groups in order to reconcile differing interests, and to create policies and agreements;</t>
  </si>
  <si>
    <t>as members of the government, directing senior administrators and officials of government departments and agencies in the interpretation and implementation of government policies.</t>
  </si>
  <si>
    <t>advising on the preparation of government budgets, laws and regulations, including amendments;</t>
  </si>
  <si>
    <t>establishing objectives for government departments or agencies in accordance with government legislation and policy;</t>
  </si>
  <si>
    <t>formulating or approving and evaluating programmes and procedures for the implementation of government policies in conjunction or consultation with government,</t>
  </si>
  <si>
    <t>recommending, reviewing, evaluating and approving documents, briefs and reports submitted by middle managers and senior staff members;</t>
  </si>
  <si>
    <t>(a)  planning and organizing special sales and marketing programmes based on sales records and marketassessments;</t>
  </si>
  <si>
    <t>(b)  determining price lists, discount and delivery terms, sales promotion budgets, sales methods, special incentives and campaigns;</t>
  </si>
  <si>
    <t>(b)  designing devices used in various medical procedures and imaging systems such as magnetic resonance imaging, and devices for automating insulin injections or controlling body functions;</t>
  </si>
  <si>
    <r>
      <rPr>
        <sz val="11"/>
        <rFont val="Calibri"/>
        <family val="2"/>
        <scheme val="minor"/>
      </rPr>
      <t>(e)  recording information on patients’ health status and responses to treatment in medical records-keeping
systems, and sharing information with other health professionals as required to</t>
    </r>
    <r>
      <rPr>
        <sz val="11"/>
        <color rgb="FF000000"/>
        <rFont val="Calibri"/>
        <family val="2"/>
        <scheme val="minor"/>
      </rPr>
      <t xml:space="preserve"> ensure continuing and comprehensive care;</t>
    </r>
  </si>
  <si>
    <r>
      <rPr>
        <sz val="11"/>
        <rFont val="Calibri"/>
        <family val="2"/>
        <scheme val="minor"/>
      </rPr>
      <t>(h)  selecting material for publication, checking style,
grammar, accuracy and legality of content and</t>
    </r>
    <r>
      <rPr>
        <sz val="11"/>
        <color rgb="FF000000"/>
        <rFont val="Calibri"/>
        <family val="2"/>
        <scheme val="minor"/>
      </rPr>
      <t xml:space="preserve"> arranging for any necessary revisions;</t>
    </r>
  </si>
  <si>
    <r>
      <rPr>
        <sz val="11"/>
        <rFont val="Calibri"/>
        <family val="2"/>
        <scheme val="minor"/>
      </rPr>
      <t>(b)  developing and implementing treatment plans
for physical, mental and psychosocial ailments using applications such as acupuncture, ayurvedic,</t>
    </r>
    <r>
      <rPr>
        <sz val="11"/>
        <color rgb="FF000000"/>
        <rFont val="Calibri"/>
        <family val="2"/>
        <scheme val="minor"/>
      </rPr>
      <t xml:space="preserve"> homeopathic and herbal medicine;</t>
    </r>
  </si>
  <si>
    <t>(e)  helping plan and design mines, mine shafts, tunnels and underground first-aid facilities;</t>
  </si>
  <si>
    <t>reading specifications to determine construction requirements and planning procedures;</t>
  </si>
  <si>
    <r>
      <rPr>
        <sz val="11"/>
        <rFont val="Calibri"/>
        <family val="2"/>
        <scheme val="minor"/>
      </rPr>
      <t>(c)  inspecting equipment and monitoring operating
conditions, meters, filters, chlorinators and gauges in central control rooms to determine load requirements, to verify that flows, pressures and temperatures are within</t>
    </r>
    <r>
      <rPr>
        <sz val="11"/>
        <color rgb="FF000000"/>
        <rFont val="Calibri"/>
        <family val="2"/>
        <scheme val="minor"/>
      </rPr>
      <t xml:space="preserve"> specification, and to detect malfunctions;</t>
    </r>
  </si>
  <si>
    <t>NA</t>
  </si>
  <si>
    <t>keeping records of payments, preparing routine letters requesting payment for overdue accounts and forwarding these for legal action;</t>
  </si>
  <si>
    <r>
      <rPr>
        <sz val="11"/>
        <rFont val="Calibri"/>
        <family val="2"/>
        <scheme val="minor"/>
      </rPr>
      <t>(c)   obtaining and updating knowledge of market
conditions and of employer’s</t>
    </r>
    <r>
      <rPr>
        <sz val="11"/>
        <color rgb="FF000000"/>
        <rFont val="Calibri"/>
        <family val="2"/>
        <scheme val="minor"/>
      </rPr>
      <t xml:space="preserve"> and competitors’ goods and services;</t>
    </r>
  </si>
  <si>
    <t>(d)  preparing sketches, diagrams, illustrations and plans to communicate design concepts;</t>
  </si>
  <si>
    <t>(b)  coordinating labour resources and procurement and delivery of materials, plant and equipment;</t>
  </si>
  <si>
    <r>
      <rPr>
        <sz val="11"/>
        <rFont val="Calibri"/>
        <family val="2"/>
        <scheme val="minor"/>
      </rPr>
      <t>(c)  advising on and designing: hulls, superstructures and
propulsion systems of ships; mechanical plant and equipment for the release, control and utilization of energy; heating, ventilation and refrigeration systems,</t>
    </r>
    <r>
      <rPr>
        <sz val="11"/>
        <color rgb="FF000000"/>
        <rFont val="Calibri"/>
        <family val="2"/>
        <scheme val="minor"/>
      </rPr>
      <t xml:space="preserve"> steering gear, pumps, and other mechanical equipment;</t>
    </r>
  </si>
  <si>
    <r>
      <rPr>
        <sz val="11"/>
        <rFont val="Calibri"/>
        <family val="2"/>
        <scheme val="minor"/>
      </rPr>
      <t>(g)  inspecting buildings and structures during and after construction to ensure that they comply with building, grading, zoning and safety laws and approved plans,
specifications and standards, as well as with other rules</t>
    </r>
    <r>
      <rPr>
        <sz val="11"/>
        <color rgb="FF000000"/>
        <rFont val="Calibri"/>
        <family val="2"/>
        <scheme val="minor"/>
      </rPr>
      <t xml:space="preserve"> concerning quality and safety of buildings;</t>
    </r>
  </si>
  <si>
    <t>(e)  importing and exporting data between different database systems and software.</t>
  </si>
  <si>
    <t>greeting and registering visitors and tour participants, and issuing any required identification badges or safety devices;</t>
  </si>
  <si>
    <t>assisting patients with personal and therapeutic care needs such as personal hygiene, feeding, dressing, physical mobility and exercise, communication, taking oral medications and changing dressings;</t>
  </si>
  <si>
    <t>promoting and marketing products, arranging the sale, purchase and transportation of produce and supplies and maintaining and evaluating records of farm activities and transactions;</t>
  </si>
  <si>
    <r>
      <rPr>
        <sz val="11"/>
        <rFont val="Calibri"/>
        <family val="2"/>
        <scheme val="minor"/>
      </rPr>
      <t>maintaining crops by cultivating soil, by transplanting, pruning or thinning crops, trees and
shrubs, and by setting up and</t>
    </r>
    <r>
      <rPr>
        <sz val="11"/>
        <color rgb="FF000000"/>
        <rFont val="Calibri"/>
        <family val="2"/>
        <scheme val="minor"/>
      </rPr>
      <t xml:space="preserve"> operating irrigation equipment;</t>
    </r>
  </si>
  <si>
    <t>promoting and marketing products, arranging the sale, purchase and transportation of livestock, produce and supplies, and maintaining and evaluating records of farm activities and transactions;</t>
  </si>
  <si>
    <t>renting or investing in, and maintaining and cleaning, farm buildings, machinery, equipment and structures;</t>
  </si>
  <si>
    <t>(a)  studying drawings, specifications and construction sites to determine materials required;</t>
  </si>
  <si>
    <t>inspecting completed work to certify that maintenance meets standards and the aircraft is ready for operation;</t>
  </si>
  <si>
    <t>(d)  curdling milk, heating curd until it reaches desired firmness, draining curd and placing cheese into moulds to press it into shape;</t>
  </si>
  <si>
    <t>(b)  sorting cardboard, paper, glass, plastic, aluminium or other recyclable materials by type;</t>
  </si>
  <si>
    <t>(d)  conducting programmes of sample and data collection and analysis to identify and quantify environmental toxicants;</t>
  </si>
  <si>
    <r>
      <rPr>
        <sz val="11"/>
        <rFont val="Calibri"/>
        <family val="2"/>
        <scheme val="minor"/>
      </rPr>
      <t>(h)  performing laboratory studies of steps in the
manufacture of new products and testing proposed processes</t>
    </r>
    <r>
      <rPr>
        <sz val="11"/>
        <color rgb="FF000000"/>
        <rFont val="Calibri"/>
        <family val="2"/>
        <scheme val="minor"/>
      </rPr>
      <t xml:space="preserve"> in small-scale operations such as a pilot plant.</t>
    </r>
  </si>
  <si>
    <r>
      <rPr>
        <sz val="11"/>
        <rFont val="Calibri"/>
        <family val="2"/>
        <scheme val="minor"/>
      </rPr>
      <t>(g)  conducting research on nutrition and disseminating the
findings at scientific</t>
    </r>
    <r>
      <rPr>
        <sz val="11"/>
        <color rgb="FF000000"/>
        <rFont val="Calibri"/>
        <family val="2"/>
        <scheme val="minor"/>
      </rPr>
      <t xml:space="preserve"> conferences and in other settings.</t>
    </r>
  </si>
  <si>
    <r>
      <rPr>
        <sz val="11"/>
        <rFont val="Calibri"/>
        <family val="2"/>
        <scheme val="minor"/>
      </rPr>
      <t>(f)  planning and implementing therapeutic
programmes on an individual and group basis for improving and maintaining physical, cognitive, emotional and social functioning, including
through the use of arts and crafts, dance and movement,</t>
    </r>
    <r>
      <rPr>
        <sz val="11"/>
        <color rgb="FF000000"/>
        <rFont val="Calibri"/>
        <family val="2"/>
        <scheme val="minor"/>
      </rPr>
      <t xml:space="preserve"> music and other recreational activities;</t>
    </r>
  </si>
  <si>
    <r>
      <rPr>
        <sz val="11"/>
        <rFont val="Calibri"/>
        <family val="2"/>
        <scheme val="minor"/>
      </rPr>
      <t>(h)  gathering, investigating and researching background
materials to gain an</t>
    </r>
    <r>
      <rPr>
        <sz val="11"/>
        <color rgb="FF000000"/>
        <rFont val="Calibri"/>
        <family val="2"/>
        <scheme val="minor"/>
      </rPr>
      <t xml:space="preserve"> understanding of various subject matters and systems.</t>
    </r>
  </si>
  <si>
    <r>
      <rPr>
        <sz val="11"/>
        <rFont val="Calibri"/>
        <family val="2"/>
        <scheme val="minor"/>
      </rPr>
      <t>(i)  performing manual, online and interactive media
reference searches, making interlibrary loans and performing other functions to</t>
    </r>
    <r>
      <rPr>
        <sz val="11"/>
        <color rgb="FF000000"/>
        <rFont val="Calibri"/>
        <family val="2"/>
        <scheme val="minor"/>
      </rPr>
      <t xml:space="preserve"> assist users in accessing library materials.</t>
    </r>
  </si>
  <si>
    <t>(h)  compiling, analysing and interpreting economic data using economic theory and a variety of statistical and other techniques;</t>
  </si>
  <si>
    <t>(d)  studying physical and climatic aspects of areas and regions, and correlating these findings with economic, social and cultural activities;</t>
  </si>
  <si>
    <r>
      <rPr>
        <sz val="11"/>
        <rFont val="Calibri"/>
        <family val="2"/>
        <scheme val="minor"/>
      </rPr>
      <t>(e)  examining maintenance records and conducting inspections to ensure that aircraft are mechanically sound, maintenance has been</t>
    </r>
    <r>
      <rPr>
        <sz val="11"/>
        <color rgb="FF000000"/>
        <rFont val="Calibri"/>
        <family val="2"/>
        <scheme val="minor"/>
      </rPr>
      <t xml:space="preserve"> performed and that all equipment is operational;</t>
    </r>
  </si>
  <si>
    <t>(a)  interviewing patients and their families to obtain information on their health status and medical history;</t>
  </si>
  <si>
    <r>
      <rPr>
        <sz val="11"/>
        <rFont val="Calibri"/>
        <family val="2"/>
        <scheme val="minor"/>
      </rPr>
      <t>(i)   recording information on patients’ medical history,
diagnostic testing and treatment procedures and results, and other information</t>
    </r>
    <r>
      <rPr>
        <sz val="11"/>
        <color rgb="FF000000"/>
        <rFont val="Calibri"/>
        <family val="2"/>
        <scheme val="minor"/>
      </rPr>
      <t xml:space="preserve"> in medical record-keeping systems;</t>
    </r>
  </si>
  <si>
    <t>(e)  ensuring that the employment contracts meet legal requirements and signing them;</t>
  </si>
  <si>
    <r>
      <rPr>
        <sz val="11"/>
        <rFont val="Calibri"/>
        <family val="2"/>
        <scheme val="minor"/>
      </rPr>
      <t>(h)  training animals to develop and maintain desired behaviours for competition, entertainment, obedience,</t>
    </r>
    <r>
      <rPr>
        <sz val="11"/>
        <color rgb="FF000000"/>
        <rFont val="Calibri"/>
        <family val="2"/>
        <scheme val="minor"/>
      </rPr>
      <t xml:space="preserve"> security, riding and other activities;</t>
    </r>
  </si>
  <si>
    <r>
      <rPr>
        <sz val="11"/>
        <rFont val="Calibri"/>
        <family val="2"/>
        <scheme val="minor"/>
      </rPr>
      <t>(a)  taking safety precautions, such as monitoring dive lengths and depths, and
registering with authorities</t>
    </r>
    <r>
      <rPr>
        <sz val="11"/>
        <color rgb="FF000000"/>
        <rFont val="Calibri"/>
        <family val="2"/>
        <scheme val="minor"/>
      </rPr>
      <t xml:space="preserve"> before diving expeditions begin;</t>
    </r>
  </si>
  <si>
    <t>NRC</t>
  </si>
  <si>
    <t>NRM</t>
  </si>
  <si>
    <t>RC</t>
  </si>
  <si>
    <t>RM</t>
  </si>
  <si>
    <t>routine</t>
  </si>
  <si>
    <t>manual</t>
  </si>
  <si>
    <t>dt</t>
  </si>
  <si>
    <t>major</t>
  </si>
  <si>
    <t>3111</t>
  </si>
  <si>
    <t>CHEMICAL AND PHYSICAL SCIENCE TECHNICIANS</t>
  </si>
  <si>
    <t>3135</t>
  </si>
  <si>
    <t>METAL PRODUCTION PROCESS CONTROLLERS</t>
  </si>
  <si>
    <t>3211</t>
  </si>
  <si>
    <t>MEDICAL IMAGING AND THERAPEUTIC EQUIPMENT TECHNICIANS</t>
  </si>
  <si>
    <t>3324</t>
  </si>
  <si>
    <t>TRADE BROKERS</t>
  </si>
  <si>
    <t>3344</t>
  </si>
  <si>
    <t>MEDICAL SECRETARIES</t>
  </si>
  <si>
    <t>3353</t>
  </si>
  <si>
    <t>GOVERNMENT SOCIAL BENEFITS OFFICIALS</t>
  </si>
  <si>
    <t>3359</t>
  </si>
  <si>
    <t>GOVERNMENT REGULATORY ASSOCIATE PROFESSIONALS NOT ELSEWHERE CLASSIFIED</t>
  </si>
  <si>
    <t>3431</t>
  </si>
  <si>
    <t>PHOTOGRAPHERS</t>
  </si>
  <si>
    <t>4212</t>
  </si>
  <si>
    <t>BOOKMAKERS, CROUPIERS/DEALERS AND RELATED GAMING WORKERS</t>
  </si>
  <si>
    <t>4412</t>
  </si>
  <si>
    <t>MAIL CARRIERS AND SORTING CLERKS</t>
  </si>
  <si>
    <t>5111</t>
  </si>
  <si>
    <t>TRAVEL ATTENDANTS AND TRAVEL STEWARDS</t>
  </si>
  <si>
    <t>5113</t>
  </si>
  <si>
    <t>TRAVEL GUIDES</t>
  </si>
  <si>
    <t>5162</t>
  </si>
  <si>
    <t>COMPANIONS AND VALETS</t>
  </si>
  <si>
    <t>5223</t>
  </si>
  <si>
    <t>SHOP SALES ASSISTANTS</t>
  </si>
  <si>
    <t>5246</t>
  </si>
  <si>
    <t>FOOD SERVICE COUNTER ATTENDANTS</t>
  </si>
  <si>
    <t>5322</t>
  </si>
  <si>
    <t>HOME-BASED PERSONAL CARE WORKERS</t>
  </si>
  <si>
    <t>7122</t>
  </si>
  <si>
    <t>FLOOR LAYERS AND TILE SETTERS</t>
  </si>
  <si>
    <t>7223</t>
  </si>
  <si>
    <t>METAL WORKING MACHINE TOOL SETTERS AND OPERATORS</t>
  </si>
  <si>
    <t>7233</t>
  </si>
  <si>
    <t>AGRICULTURAL AND INDUSTRIAL MACHINERY MECHANICS AND REPAIRERS</t>
  </si>
  <si>
    <t>7311</t>
  </si>
  <si>
    <t>PRECISION-INSTRUMENT MAKERS AND REPAIRERS</t>
  </si>
  <si>
    <t>7523</t>
  </si>
  <si>
    <t>WOODWORKING MACHINE TOOL SETTERS AND OPERATORS</t>
  </si>
  <si>
    <t>8142</t>
  </si>
  <si>
    <t>PLASTIC PRODUCTS MACHINE OPERATORS</t>
  </si>
  <si>
    <t>8332</t>
  </si>
  <si>
    <t>HEAVY TRUCK AND LORRY DRIVERS</t>
  </si>
  <si>
    <t>8341</t>
  </si>
  <si>
    <t>MOBILE FARM AND FORESTRY PLANT OPERATORS</t>
  </si>
  <si>
    <t>9329</t>
  </si>
  <si>
    <t>MANUFACTURING LABORERS NOT ELSEWHERE CLASSIFIED</t>
  </si>
  <si>
    <t>9331</t>
  </si>
  <si>
    <t>HAND AND PEDAL VEHICLE DRIVERS</t>
  </si>
  <si>
    <t>COMMISSIONED ARMED FORCES OFFICERS</t>
  </si>
  <si>
    <t>NON-COMMISSIONED ARMED FORCES OFFICERS</t>
  </si>
  <si>
    <t>ARMED FORCES OCCUPATIONS, OTHER RANKS</t>
  </si>
  <si>
    <t>SERVICES MANAGERS NOT ELSEWHERE CLASSIFIED</t>
  </si>
  <si>
    <t>OTHER PHYSICAL AND EARTH SCIENCE PROFESSIONALS</t>
  </si>
  <si>
    <t>MATHEMATICIANS AND ACTUARIES</t>
  </si>
  <si>
    <t>STATISTICIANS</t>
  </si>
  <si>
    <t>ACTUARIES</t>
  </si>
  <si>
    <t>DATA SCIENTIST</t>
  </si>
  <si>
    <t>PROCESS CONTROL TECHNICIANS NOT ELSEWHERE CLASSIFIED</t>
  </si>
  <si>
    <t>LEGAL AND RELATED ASSOCIATE PROFESSIONALS</t>
  </si>
  <si>
    <t>ESPORTS PLAYERS AND COACHES</t>
  </si>
  <si>
    <t>ARTISTIC AND CULTURAL ASSOCIATE PROFESSIONAL NOT ELSEWHERE CLASSIFIED</t>
  </si>
  <si>
    <t>ONLINE-SELLING SALESPERSONS</t>
  </si>
  <si>
    <t>SALES WORKERS NOT ELSEWHERE CLASSIFIED</t>
  </si>
  <si>
    <t>COCONUT FARMERS</t>
  </si>
  <si>
    <t>OTHER FIELD CROP FARMERS</t>
  </si>
  <si>
    <t>TREE AND SHRUB CROP GROWERS</t>
  </si>
  <si>
    <t>GARDENERS, HORTICULTURAL AND NURSERY GROWERS</t>
  </si>
  <si>
    <t>OTHER MARKET GARDENERS AND CROP GROWERS, NOT ELSEWHERE CLASSIFIED</t>
  </si>
  <si>
    <t>EGGS PRODUCERS</t>
  </si>
  <si>
    <t>CHICKEN FARMER</t>
  </si>
  <si>
    <t>DUCK RAISERS</t>
  </si>
  <si>
    <t>POULTRY PRODUCERS</t>
  </si>
  <si>
    <t>HOG RAISING PRODUCERS</t>
  </si>
  <si>
    <t>APIARISTS AND SERICULTURISTS</t>
  </si>
  <si>
    <t>FOREST TREE PLANTERS</t>
  </si>
  <si>
    <t>CONCESSIONAIRES AND LOGGERS</t>
  </si>
  <si>
    <t>CHARCOAL MAKERS AND RELATED WORKERS</t>
  </si>
  <si>
    <t>MINOR FOREST PRODUCT GATHERERS</t>
  </si>
  <si>
    <t>OTHER AQUA PRODUCTS PRODUCERS</t>
  </si>
  <si>
    <t>INLAND AND COASTAL WATERS FISHERY WORKERS</t>
  </si>
  <si>
    <t>DEEP-SEA FISHERY WORKERS</t>
  </si>
  <si>
    <t>HUNTERS AND TRAPPERS</t>
  </si>
  <si>
    <t>FISHERMEN NOT ELSEWHERE CLASSIFIED</t>
  </si>
  <si>
    <t>HANDICRAFT WORKERS NOT ELSEWHERE CLASSIFIED</t>
  </si>
  <si>
    <t>STATIONARY PLANT AND MACHINE OPERATORS NOT ELSEWHERE CLASSIFIED</t>
  </si>
  <si>
    <t>TRANSPORT NETWORK VEHICLE SERVICE MOTORCYCLE DRIVERS</t>
  </si>
  <si>
    <t>TRANSPORT NETWORK VEHICLE SERVICE CAR DRIVERS</t>
  </si>
  <si>
    <t>TRANSPORT NETWORK VEHICLE SERVICE TAXI DRIVERS</t>
  </si>
  <si>
    <t>TRANSPORT NETWORK VEHICLE SERVICE VAN DRIVERS</t>
  </si>
  <si>
    <t>WINDOW CLEANERS</t>
  </si>
  <si>
    <t>title</t>
  </si>
  <si>
    <t>TRANSPORT NETWORK VEHICLE SERVICE BICYCLE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</si>
</sst>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
  </numFmts>
  <fonts count="8" x14ac:knownFonts="1">
    <font>
      <sz val="10"/>
      <color rgb="FF000000"/>
      <name val="Times New Roman"/>
      <charset val="204"/>
    </font>
    <font>
      <b/>
      <sz val="11"/>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sz val="10"/>
      <color rgb="FF000000"/>
      <name val="Times New Roman"/>
      <charset val="204"/>
    </font>
    <font>
      <b/>
      <sz val="11"/>
      <color theme="1"/>
      <name val="Calibri"/>
      <family val="2"/>
      <scheme val="minor"/>
    </font>
    <font>
      <sz val="10"/>
      <color rgb="FF000000"/>
      <name val="Cambria"/>
      <family val="2"/>
      <scheme val="maj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42">
    <xf numFmtId="0" fontId="0" fillId="0" borderId="0" xfId="0"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xf>
    <xf numFmtId="1" fontId="2" fillId="0" borderId="0" xfId="0" applyNumberFormat="1" applyFont="1" applyAlignment="1">
      <alignment horizontal="left" vertical="top" shrinkToFit="1"/>
    </xf>
    <xf numFmtId="0" fontId="3"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indent="1"/>
    </xf>
    <xf numFmtId="0" fontId="3" fillId="0" borderId="0" xfId="0" applyFont="1" applyAlignment="1">
      <alignment horizontal="left" vertical="top" wrapText="1" indent="2"/>
    </xf>
    <xf numFmtId="0" fontId="2" fillId="0" borderId="0" xfId="0" applyFont="1" applyAlignment="1">
      <alignment horizontal="left" vertical="top" wrapText="1" indent="1"/>
    </xf>
    <xf numFmtId="0" fontId="3" fillId="0" borderId="0" xfId="0" applyFont="1" applyAlignment="1">
      <alignment horizontal="left" vertical="center" wrapText="1" indent="2"/>
    </xf>
    <xf numFmtId="0" fontId="2" fillId="0" borderId="0" xfId="0" applyFont="1" applyAlignment="1">
      <alignment horizontal="left" vertical="top" wrapText="1" indent="2"/>
    </xf>
    <xf numFmtId="0" fontId="2" fillId="0" borderId="0" xfId="0" applyFont="1" applyAlignment="1">
      <alignment horizontal="left" vertical="top" wrapText="1" indent="3"/>
    </xf>
    <xf numFmtId="0" fontId="3" fillId="0" borderId="0" xfId="0" applyFont="1" applyAlignment="1">
      <alignment horizontal="left" vertical="center" wrapText="1" indent="1"/>
    </xf>
    <xf numFmtId="0" fontId="3" fillId="0" borderId="0" xfId="0" applyFont="1" applyAlignment="1">
      <alignment horizontal="left" vertical="top" wrapText="1" indent="4"/>
    </xf>
    <xf numFmtId="0" fontId="3" fillId="0" borderId="0" xfId="0" applyFont="1" applyAlignment="1">
      <alignment horizontal="left" vertical="top" wrapText="1" indent="3"/>
    </xf>
    <xf numFmtId="0" fontId="2" fillId="0" borderId="0" xfId="0" applyFont="1" applyAlignment="1">
      <alignment horizontal="left" vertical="top" wrapText="1" indent="5"/>
    </xf>
    <xf numFmtId="0" fontId="3" fillId="0" borderId="0" xfId="0" applyFont="1" applyAlignment="1">
      <alignment horizontal="left" vertical="center" wrapText="1" indent="4"/>
    </xf>
    <xf numFmtId="0" fontId="2" fillId="0" borderId="0" xfId="0" applyFont="1" applyAlignment="1">
      <alignment horizontal="left" wrapText="1"/>
    </xf>
    <xf numFmtId="0" fontId="3" fillId="0" borderId="0" xfId="0" applyFont="1" applyAlignment="1">
      <alignment horizontal="left" vertical="center" wrapText="1"/>
    </xf>
    <xf numFmtId="0" fontId="3" fillId="0" borderId="0" xfId="0" applyFont="1" applyAlignment="1">
      <alignment horizontal="left" vertical="center" wrapText="1" indent="5"/>
    </xf>
    <xf numFmtId="0" fontId="3" fillId="0" borderId="0" xfId="0" applyFont="1" applyAlignment="1">
      <alignment horizontal="left" vertical="top" wrapText="1" indent="6"/>
    </xf>
    <xf numFmtId="0" fontId="2" fillId="0" borderId="0" xfId="0" applyFont="1" applyAlignment="1">
      <alignment horizontal="left" vertical="center" wrapText="1"/>
    </xf>
    <xf numFmtId="0" fontId="2" fillId="0" borderId="0" xfId="0" applyFont="1" applyAlignment="1">
      <alignment horizontal="left" vertical="center" wrapText="1" indent="1"/>
    </xf>
    <xf numFmtId="0" fontId="2" fillId="0" borderId="0" xfId="0" applyFont="1" applyAlignment="1">
      <alignment horizontal="left" vertical="top" wrapText="1" indent="4"/>
    </xf>
    <xf numFmtId="0" fontId="4" fillId="0" borderId="0" xfId="0" applyFont="1" applyAlignment="1">
      <alignment horizontal="left" vertical="top"/>
    </xf>
    <xf numFmtId="0" fontId="6" fillId="0" borderId="0" xfId="0" applyFont="1" applyAlignment="1">
      <alignment horizontal="center"/>
    </xf>
    <xf numFmtId="0" fontId="0" fillId="0" borderId="0" xfId="0"/>
    <xf numFmtId="0" fontId="6" fillId="0" borderId="0" xfId="0" applyFont="1" applyAlignment="1">
      <alignment horizontal="center" vertical="top"/>
    </xf>
    <xf numFmtId="0" fontId="6" fillId="0" borderId="0" xfId="0" applyFont="1"/>
    <xf numFmtId="0" fontId="0" fillId="0" borderId="0" xfId="0" applyAlignment="1">
      <alignment vertical="top"/>
    </xf>
    <xf numFmtId="0" fontId="0" fillId="0" borderId="0" xfId="0" applyAlignment="1">
      <alignment vertical="top" wrapText="1"/>
    </xf>
    <xf numFmtId="2" fontId="0" fillId="0" borderId="0" xfId="1" applyNumberFormat="1" applyFont="1" applyAlignment="1">
      <alignment horizontal="center" vertical="top"/>
    </xf>
    <xf numFmtId="2" fontId="0" fillId="0" borderId="0" xfId="0" applyNumberFormat="1" applyAlignment="1">
      <alignment horizontal="center" vertical="top"/>
    </xf>
    <xf numFmtId="0" fontId="0" fillId="0" borderId="0" xfId="0" applyAlignment="1">
      <alignment horizontal="center" vertical="top"/>
    </xf>
    <xf numFmtId="0" fontId="0" fillId="2" borderId="0" xfId="0" applyFill="1" applyAlignment="1">
      <alignment horizontal="center" vertical="top"/>
    </xf>
    <xf numFmtId="0" fontId="7" fillId="0" borderId="0" xfId="0" applyFont="1" applyAlignment="1">
      <alignment horizontal="justify" vertical="top" wrapText="1"/>
    </xf>
    <xf numFmtId="0" fontId="0" fillId="0" borderId="0" xfId="0" applyAlignment="1">
      <alignment horizontal="center"/>
    </xf>
    <xf numFmtId="49" fontId="0" fillId="0" borderId="0" xfId="0" applyNumberFormat="1" applyAlignment="1">
      <alignment vertical="top"/>
    </xf>
    <xf numFmtId="2" fontId="0" fillId="0" borderId="0" xfId="0" applyNumberFormat="1" applyAlignment="1">
      <alignment horizontal="center"/>
    </xf>
    <xf numFmtId="169" fontId="0" fillId="0" borderId="0" xfId="0" applyNumberFormat="1" applyAlignment="1">
      <alignment horizontal="center"/>
    </xf>
    <xf numFmtId="2" fontId="0" fillId="0" borderId="0" xfId="0" applyNumberFormat="1" applyAlignment="1">
      <alignment horizontal="center" vertical="center"/>
    </xf>
    <xf numFmtId="0" fontId="0" fillId="0" borderId="0" xfId="0" applyAlignment="1">
      <alignment horizontal="left"/>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ries\Other%20Files\R%20Projects%20-%20Econ\Capstone\Docs\classified.xlsx" TargetMode="External"/><Relationship Id="rId1" Type="http://schemas.openxmlformats.org/officeDocument/2006/relationships/externalLinkPath" Target="/Users/Aries/Other%20Files/R%20Projects%20-%20Econ/Capstone/Docs/classifi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sheetDataSet>
      <sheetData sheetId="0">
        <row r="2">
          <cell r="A2" t="str">
            <v>0110</v>
          </cell>
        </row>
        <row r="3">
          <cell r="A3" t="str">
            <v>0210</v>
          </cell>
        </row>
        <row r="4">
          <cell r="A4" t="str">
            <v>0310</v>
          </cell>
        </row>
        <row r="5">
          <cell r="A5" t="str">
            <v>1439</v>
          </cell>
        </row>
        <row r="6">
          <cell r="A6" t="str">
            <v>2119</v>
          </cell>
        </row>
        <row r="7">
          <cell r="A7" t="str">
            <v>2121</v>
          </cell>
        </row>
        <row r="8">
          <cell r="A8" t="str">
            <v>2122</v>
          </cell>
        </row>
        <row r="9">
          <cell r="A9" t="str">
            <v>2123</v>
          </cell>
        </row>
        <row r="10">
          <cell r="A10" t="str">
            <v>2124</v>
          </cell>
        </row>
        <row r="11">
          <cell r="A11" t="str">
            <v>3139</v>
          </cell>
        </row>
        <row r="12">
          <cell r="A12" t="str">
            <v>3411</v>
          </cell>
        </row>
        <row r="13">
          <cell r="A13" t="str">
            <v>3424</v>
          </cell>
        </row>
        <row r="14">
          <cell r="A14" t="str">
            <v>3435</v>
          </cell>
        </row>
        <row r="15">
          <cell r="A15" t="str">
            <v>5247</v>
          </cell>
        </row>
        <row r="16">
          <cell r="A16" t="str">
            <v>5249</v>
          </cell>
        </row>
        <row r="17">
          <cell r="A17" t="str">
            <v>6115</v>
          </cell>
        </row>
        <row r="18">
          <cell r="A18" t="str">
            <v>6116</v>
          </cell>
        </row>
        <row r="19">
          <cell r="A19" t="str">
            <v>6117</v>
          </cell>
        </row>
        <row r="20">
          <cell r="A20" t="str">
            <v>6118</v>
          </cell>
        </row>
        <row r="21">
          <cell r="A21" t="str">
            <v>6119</v>
          </cell>
        </row>
        <row r="22">
          <cell r="A22" t="str">
            <v>6123</v>
          </cell>
        </row>
        <row r="23">
          <cell r="A23" t="str">
            <v>6124</v>
          </cell>
        </row>
        <row r="24">
          <cell r="A24" t="str">
            <v>6125</v>
          </cell>
        </row>
        <row r="25">
          <cell r="A25" t="str">
            <v>6126</v>
          </cell>
        </row>
        <row r="26">
          <cell r="A26" t="str">
            <v>6127</v>
          </cell>
        </row>
        <row r="27">
          <cell r="A27" t="str">
            <v>6128</v>
          </cell>
        </row>
        <row r="28">
          <cell r="A28" t="str">
            <v>6211</v>
          </cell>
        </row>
        <row r="29">
          <cell r="A29" t="str">
            <v>6212</v>
          </cell>
        </row>
        <row r="30">
          <cell r="A30" t="str">
            <v>6213</v>
          </cell>
        </row>
        <row r="31">
          <cell r="A31" t="str">
            <v>6214</v>
          </cell>
        </row>
        <row r="32">
          <cell r="A32" t="str">
            <v>6225</v>
          </cell>
        </row>
        <row r="33">
          <cell r="A33" t="str">
            <v>6226</v>
          </cell>
        </row>
        <row r="34">
          <cell r="A34" t="str">
            <v>6227</v>
          </cell>
        </row>
        <row r="35">
          <cell r="A35" t="str">
            <v>6228</v>
          </cell>
        </row>
        <row r="36">
          <cell r="A36" t="str">
            <v>6229</v>
          </cell>
        </row>
        <row r="37">
          <cell r="A37" t="str">
            <v>7319</v>
          </cell>
        </row>
        <row r="38">
          <cell r="A38" t="str">
            <v>8189</v>
          </cell>
        </row>
        <row r="39">
          <cell r="A39" t="str">
            <v>8323</v>
          </cell>
        </row>
        <row r="40">
          <cell r="A40" t="str">
            <v>8324</v>
          </cell>
        </row>
        <row r="41">
          <cell r="A41" t="str">
            <v>8325</v>
          </cell>
        </row>
        <row r="42">
          <cell r="A42" t="str">
            <v>8326</v>
          </cell>
        </row>
        <row r="43">
          <cell r="A43" t="str">
            <v>9123</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0"/>
  <sheetViews>
    <sheetView topLeftCell="A33" workbookViewId="0">
      <selection activeCell="C2" sqref="C2"/>
    </sheetView>
  </sheetViews>
  <sheetFormatPr defaultRowHeight="14.25" x14ac:dyDescent="0.4"/>
  <cols>
    <col min="1" max="2" width="10" style="2" customWidth="1"/>
    <col min="3" max="3" width="33.7109375" style="2" customWidth="1"/>
    <col min="4" max="4" width="69.78515625" style="2" customWidth="1"/>
    <col min="5" max="5" width="24.85546875" style="2" customWidth="1"/>
    <col min="6" max="6" width="29.78515625" style="2" customWidth="1"/>
    <col min="7" max="16384" width="9.140625" style="2"/>
  </cols>
  <sheetData>
    <row r="1" spans="1:6" x14ac:dyDescent="0.4">
      <c r="A1" s="1" t="s">
        <v>0</v>
      </c>
      <c r="B1" s="1" t="s">
        <v>3691</v>
      </c>
      <c r="C1" s="1" t="s">
        <v>3786</v>
      </c>
      <c r="D1" s="1" t="s">
        <v>1</v>
      </c>
      <c r="E1" s="1" t="s">
        <v>1113</v>
      </c>
      <c r="F1" s="24" t="s">
        <v>1116</v>
      </c>
    </row>
    <row r="2" spans="1:6" ht="42.75" x14ac:dyDescent="0.4">
      <c r="A2" s="3">
        <v>1111</v>
      </c>
      <c r="B2" s="3" t="str">
        <f>LEFT(A2,1)</f>
        <v>1</v>
      </c>
      <c r="C2" s="4" t="s">
        <v>2</v>
      </c>
      <c r="D2" s="4" t="s">
        <v>1115</v>
      </c>
      <c r="E2" s="4" t="s">
        <v>3</v>
      </c>
      <c r="F2" s="2" t="str">
        <f>IF(E2="Non-routine interpersonal","Non-routine cognitive",IF(E2="Non-routine analytical","Non-routine cognitive",IF(E2="Non-routine manual physical","Non-routine manual",E2)))</f>
        <v>Non-routine cognitive</v>
      </c>
    </row>
    <row r="3" spans="1:6" ht="28.5" x14ac:dyDescent="0.4">
      <c r="A3" s="3">
        <v>1111</v>
      </c>
      <c r="B3" s="3" t="str">
        <f t="shared" ref="B3:B66" si="0">LEFT(A3,1)</f>
        <v>1</v>
      </c>
      <c r="C3" s="4" t="s">
        <v>2</v>
      </c>
      <c r="D3" s="4" t="s">
        <v>1114</v>
      </c>
      <c r="E3" s="4" t="s">
        <v>4</v>
      </c>
      <c r="F3" s="2" t="str">
        <f t="shared" ref="F3:F66" si="1">IF(E3="Non-routine interpersonal","Non-routine cognitive",IF(E3="Non-routine analytical","Non-routine cognitive",IF(E3="Non-routine manual physical","Non-routine manual",E3)))</f>
        <v>Non-routine cognitive</v>
      </c>
    </row>
    <row r="4" spans="1:6" ht="28.5" x14ac:dyDescent="0.4">
      <c r="A4" s="3">
        <v>1111</v>
      </c>
      <c r="B4" s="3" t="str">
        <f t="shared" si="0"/>
        <v>1</v>
      </c>
      <c r="C4" s="4" t="s">
        <v>2</v>
      </c>
      <c r="D4" s="4" t="s">
        <v>3635</v>
      </c>
      <c r="E4" s="4" t="s">
        <v>4</v>
      </c>
      <c r="F4" s="2" t="str">
        <f t="shared" si="1"/>
        <v>Non-routine cognitive</v>
      </c>
    </row>
    <row r="5" spans="1:6" x14ac:dyDescent="0.4">
      <c r="A5" s="3">
        <v>1111</v>
      </c>
      <c r="B5" s="3" t="str">
        <f t="shared" si="0"/>
        <v>1</v>
      </c>
      <c r="C5" s="4" t="s">
        <v>2</v>
      </c>
      <c r="D5" s="4" t="s">
        <v>3636</v>
      </c>
      <c r="E5" s="4" t="s">
        <v>3</v>
      </c>
      <c r="F5" s="2" t="str">
        <f t="shared" si="1"/>
        <v>Non-routine cognitive</v>
      </c>
    </row>
    <row r="6" spans="1:6" ht="28.5" x14ac:dyDescent="0.4">
      <c r="A6" s="3">
        <v>1111</v>
      </c>
      <c r="B6" s="3" t="str">
        <f t="shared" si="0"/>
        <v>1</v>
      </c>
      <c r="C6" s="4" t="s">
        <v>2</v>
      </c>
      <c r="D6" s="5" t="s">
        <v>1117</v>
      </c>
      <c r="E6" s="4" t="s">
        <v>4</v>
      </c>
      <c r="F6" s="2" t="str">
        <f t="shared" si="1"/>
        <v>Non-routine cognitive</v>
      </c>
    </row>
    <row r="7" spans="1:6" ht="42.75" x14ac:dyDescent="0.4">
      <c r="A7" s="3">
        <v>1111</v>
      </c>
      <c r="B7" s="3" t="str">
        <f t="shared" si="0"/>
        <v>1</v>
      </c>
      <c r="C7" s="4" t="s">
        <v>2</v>
      </c>
      <c r="D7" s="5" t="s">
        <v>1118</v>
      </c>
      <c r="E7" s="4" t="s">
        <v>3</v>
      </c>
      <c r="F7" s="2" t="str">
        <f t="shared" si="1"/>
        <v>Non-routine cognitive</v>
      </c>
    </row>
    <row r="8" spans="1:6" ht="28.5" x14ac:dyDescent="0.4">
      <c r="A8" s="3">
        <v>1111</v>
      </c>
      <c r="B8" s="3" t="str">
        <f t="shared" si="0"/>
        <v>1</v>
      </c>
      <c r="C8" s="4" t="s">
        <v>2</v>
      </c>
      <c r="D8" s="4" t="s">
        <v>3637</v>
      </c>
      <c r="E8" s="4" t="s">
        <v>3</v>
      </c>
      <c r="F8" s="2" t="str">
        <f t="shared" si="1"/>
        <v>Non-routine cognitive</v>
      </c>
    </row>
    <row r="9" spans="1:6" ht="42.75" x14ac:dyDescent="0.4">
      <c r="A9" s="3">
        <v>1111</v>
      </c>
      <c r="B9" s="3" t="str">
        <f t="shared" si="0"/>
        <v>1</v>
      </c>
      <c r="C9" s="4" t="s">
        <v>2</v>
      </c>
      <c r="D9" s="4" t="s">
        <v>3638</v>
      </c>
      <c r="E9" s="4" t="s">
        <v>3</v>
      </c>
      <c r="F9" s="2" t="str">
        <f t="shared" si="1"/>
        <v>Non-routine cognitive</v>
      </c>
    </row>
    <row r="10" spans="1:6" ht="28.5" x14ac:dyDescent="0.4">
      <c r="A10" s="3">
        <v>1112</v>
      </c>
      <c r="B10" s="3" t="str">
        <f t="shared" si="0"/>
        <v>1</v>
      </c>
      <c r="C10" s="4" t="s">
        <v>5</v>
      </c>
      <c r="D10" s="5" t="s">
        <v>1119</v>
      </c>
      <c r="E10" s="4" t="s">
        <v>4</v>
      </c>
      <c r="F10" s="2" t="str">
        <f t="shared" si="1"/>
        <v>Non-routine cognitive</v>
      </c>
    </row>
    <row r="11" spans="1:6" ht="28.5" x14ac:dyDescent="0.4">
      <c r="A11" s="3">
        <v>1112</v>
      </c>
      <c r="B11" s="3" t="str">
        <f t="shared" si="0"/>
        <v>1</v>
      </c>
      <c r="C11" s="4" t="s">
        <v>5</v>
      </c>
      <c r="D11" s="4" t="s">
        <v>3639</v>
      </c>
      <c r="E11" s="4" t="s">
        <v>4</v>
      </c>
      <c r="F11" s="2" t="str">
        <f t="shared" si="1"/>
        <v>Non-routine cognitive</v>
      </c>
    </row>
    <row r="12" spans="1:6" ht="28.5" x14ac:dyDescent="0.4">
      <c r="A12" s="3">
        <v>1112</v>
      </c>
      <c r="B12" s="3" t="str">
        <f t="shared" si="0"/>
        <v>1</v>
      </c>
      <c r="C12" s="4" t="s">
        <v>5</v>
      </c>
      <c r="D12" s="4" t="s">
        <v>3640</v>
      </c>
      <c r="E12" s="4" t="s">
        <v>4</v>
      </c>
      <c r="F12" s="2" t="str">
        <f t="shared" si="1"/>
        <v>Non-routine cognitive</v>
      </c>
    </row>
    <row r="13" spans="1:6" ht="42.75" x14ac:dyDescent="0.4">
      <c r="A13" s="3">
        <v>1112</v>
      </c>
      <c r="B13" s="3" t="str">
        <f t="shared" si="0"/>
        <v>1</v>
      </c>
      <c r="C13" s="4" t="s">
        <v>5</v>
      </c>
      <c r="D13" s="4" t="s">
        <v>3641</v>
      </c>
      <c r="E13" s="4" t="s">
        <v>4</v>
      </c>
      <c r="F13" s="2" t="str">
        <f t="shared" si="1"/>
        <v>Non-routine cognitive</v>
      </c>
    </row>
    <row r="14" spans="1:6" ht="28.5" x14ac:dyDescent="0.4">
      <c r="A14" s="3">
        <v>1112</v>
      </c>
      <c r="B14" s="3" t="str">
        <f t="shared" si="0"/>
        <v>1</v>
      </c>
      <c r="C14" s="4" t="s">
        <v>5</v>
      </c>
      <c r="D14" s="4" t="s">
        <v>3642</v>
      </c>
      <c r="E14" s="4" t="s">
        <v>4</v>
      </c>
      <c r="F14" s="2" t="str">
        <f t="shared" si="1"/>
        <v>Non-routine cognitive</v>
      </c>
    </row>
    <row r="15" spans="1:6" ht="28.5" x14ac:dyDescent="0.4">
      <c r="A15" s="3">
        <v>1112</v>
      </c>
      <c r="B15" s="3" t="str">
        <f t="shared" si="0"/>
        <v>1</v>
      </c>
      <c r="C15" s="4" t="s">
        <v>5</v>
      </c>
      <c r="D15" s="4" t="s">
        <v>6</v>
      </c>
      <c r="E15" s="4" t="s">
        <v>3</v>
      </c>
      <c r="F15" s="2" t="str">
        <f t="shared" si="1"/>
        <v>Non-routine cognitive</v>
      </c>
    </row>
    <row r="16" spans="1:6" ht="28.5" x14ac:dyDescent="0.4">
      <c r="A16" s="3">
        <v>1112</v>
      </c>
      <c r="B16" s="3" t="str">
        <f t="shared" si="0"/>
        <v>1</v>
      </c>
      <c r="C16" s="4" t="s">
        <v>5</v>
      </c>
      <c r="D16" s="5" t="s">
        <v>1120</v>
      </c>
      <c r="E16" s="4" t="s">
        <v>3</v>
      </c>
      <c r="F16" s="2" t="str">
        <f t="shared" si="1"/>
        <v>Non-routine cognitive</v>
      </c>
    </row>
    <row r="17" spans="1:6" ht="28.5" x14ac:dyDescent="0.4">
      <c r="A17" s="3">
        <v>1112</v>
      </c>
      <c r="B17" s="3" t="str">
        <f t="shared" si="0"/>
        <v>1</v>
      </c>
      <c r="C17" s="4" t="s">
        <v>5</v>
      </c>
      <c r="D17" s="5" t="s">
        <v>1121</v>
      </c>
      <c r="E17" s="4" t="s">
        <v>3</v>
      </c>
      <c r="F17" s="2" t="str">
        <f t="shared" si="1"/>
        <v>Non-routine cognitive</v>
      </c>
    </row>
    <row r="18" spans="1:6" ht="28.5" x14ac:dyDescent="0.4">
      <c r="A18" s="3">
        <v>1112</v>
      </c>
      <c r="B18" s="3" t="str">
        <f t="shared" si="0"/>
        <v>1</v>
      </c>
      <c r="C18" s="4" t="s">
        <v>5</v>
      </c>
      <c r="D18" s="5" t="s">
        <v>1122</v>
      </c>
      <c r="E18" s="4" t="s">
        <v>3</v>
      </c>
      <c r="F18" s="2" t="str">
        <f t="shared" si="1"/>
        <v>Non-routine cognitive</v>
      </c>
    </row>
    <row r="19" spans="1:6" ht="28.5" x14ac:dyDescent="0.4">
      <c r="A19" s="3">
        <v>1113</v>
      </c>
      <c r="B19" s="3" t="str">
        <f t="shared" si="0"/>
        <v>1</v>
      </c>
      <c r="C19" s="4" t="s">
        <v>7</v>
      </c>
      <c r="D19" s="4" t="s">
        <v>8</v>
      </c>
      <c r="E19" s="4" t="s">
        <v>4</v>
      </c>
      <c r="F19" s="2" t="str">
        <f t="shared" si="1"/>
        <v>Non-routine cognitive</v>
      </c>
    </row>
    <row r="20" spans="1:6" ht="28.5" x14ac:dyDescent="0.4">
      <c r="A20" s="3">
        <v>1113</v>
      </c>
      <c r="B20" s="3" t="str">
        <f t="shared" si="0"/>
        <v>1</v>
      </c>
      <c r="C20" s="4" t="s">
        <v>7</v>
      </c>
      <c r="D20" s="4" t="s">
        <v>9</v>
      </c>
      <c r="E20" s="4" t="s">
        <v>3</v>
      </c>
      <c r="F20" s="2" t="str">
        <f t="shared" si="1"/>
        <v>Non-routine cognitive</v>
      </c>
    </row>
    <row r="21" spans="1:6" ht="28.5" x14ac:dyDescent="0.4">
      <c r="A21" s="3">
        <v>1113</v>
      </c>
      <c r="B21" s="3" t="str">
        <f t="shared" si="0"/>
        <v>1</v>
      </c>
      <c r="C21" s="4" t="s">
        <v>7</v>
      </c>
      <c r="D21" s="4" t="s">
        <v>10</v>
      </c>
      <c r="E21" s="4" t="s">
        <v>3</v>
      </c>
      <c r="F21" s="2" t="str">
        <f t="shared" si="1"/>
        <v>Non-routine cognitive</v>
      </c>
    </row>
    <row r="22" spans="1:6" ht="28.5" x14ac:dyDescent="0.4">
      <c r="A22" s="3">
        <v>1113</v>
      </c>
      <c r="B22" s="3" t="str">
        <f t="shared" si="0"/>
        <v>1</v>
      </c>
      <c r="C22" s="4" t="s">
        <v>7</v>
      </c>
      <c r="D22" s="4" t="s">
        <v>11</v>
      </c>
      <c r="E22" s="4" t="s">
        <v>3</v>
      </c>
      <c r="F22" s="2" t="str">
        <f t="shared" si="1"/>
        <v>Non-routine cognitive</v>
      </c>
    </row>
    <row r="23" spans="1:6" ht="28.5" x14ac:dyDescent="0.4">
      <c r="A23" s="3">
        <v>1113</v>
      </c>
      <c r="B23" s="3" t="str">
        <f t="shared" si="0"/>
        <v>1</v>
      </c>
      <c r="C23" s="4" t="s">
        <v>7</v>
      </c>
      <c r="D23" s="4" t="s">
        <v>12</v>
      </c>
      <c r="E23" s="4" t="s">
        <v>3</v>
      </c>
      <c r="F23" s="2" t="str">
        <f t="shared" si="1"/>
        <v>Non-routine cognitive</v>
      </c>
    </row>
    <row r="24" spans="1:6" ht="28.5" x14ac:dyDescent="0.4">
      <c r="A24" s="3">
        <v>1113</v>
      </c>
      <c r="B24" s="3" t="str">
        <f t="shared" si="0"/>
        <v>1</v>
      </c>
      <c r="C24" s="4" t="s">
        <v>7</v>
      </c>
      <c r="D24" s="4" t="s">
        <v>13</v>
      </c>
      <c r="E24" s="4" t="s">
        <v>3</v>
      </c>
      <c r="F24" s="2" t="str">
        <f t="shared" si="1"/>
        <v>Non-routine cognitive</v>
      </c>
    </row>
    <row r="25" spans="1:6" ht="28.5" x14ac:dyDescent="0.4">
      <c r="A25" s="3">
        <v>1113</v>
      </c>
      <c r="B25" s="3" t="str">
        <f t="shared" si="0"/>
        <v>1</v>
      </c>
      <c r="C25" s="4" t="s">
        <v>7</v>
      </c>
      <c r="D25" s="4" t="s">
        <v>14</v>
      </c>
      <c r="E25" s="4" t="s">
        <v>3</v>
      </c>
      <c r="F25" s="2" t="str">
        <f t="shared" si="1"/>
        <v>Non-routine cognitive</v>
      </c>
    </row>
    <row r="26" spans="1:6" ht="28.5" x14ac:dyDescent="0.4">
      <c r="A26" s="3">
        <v>1114</v>
      </c>
      <c r="B26" s="3" t="str">
        <f t="shared" si="0"/>
        <v>1</v>
      </c>
      <c r="C26" s="4" t="s">
        <v>15</v>
      </c>
      <c r="D26" s="4" t="s">
        <v>16</v>
      </c>
      <c r="E26" s="4" t="s">
        <v>4</v>
      </c>
      <c r="F26" s="2" t="str">
        <f t="shared" si="1"/>
        <v>Non-routine cognitive</v>
      </c>
    </row>
    <row r="27" spans="1:6" ht="28.5" x14ac:dyDescent="0.4">
      <c r="A27" s="3">
        <v>1114</v>
      </c>
      <c r="B27" s="3" t="str">
        <f t="shared" si="0"/>
        <v>1</v>
      </c>
      <c r="C27" s="4" t="s">
        <v>15</v>
      </c>
      <c r="D27" s="4" t="s">
        <v>17</v>
      </c>
      <c r="E27" s="4" t="s">
        <v>4</v>
      </c>
      <c r="F27" s="2" t="str">
        <f t="shared" si="1"/>
        <v>Non-routine cognitive</v>
      </c>
    </row>
    <row r="28" spans="1:6" ht="42.75" x14ac:dyDescent="0.4">
      <c r="A28" s="3">
        <v>1114</v>
      </c>
      <c r="B28" s="3" t="str">
        <f t="shared" si="0"/>
        <v>1</v>
      </c>
      <c r="C28" s="4" t="s">
        <v>15</v>
      </c>
      <c r="D28" s="5" t="s">
        <v>1123</v>
      </c>
      <c r="E28" s="4" t="s">
        <v>4</v>
      </c>
      <c r="F28" s="2" t="str">
        <f t="shared" si="1"/>
        <v>Non-routine cognitive</v>
      </c>
    </row>
    <row r="29" spans="1:6" ht="28.5" x14ac:dyDescent="0.4">
      <c r="A29" s="3">
        <v>1114</v>
      </c>
      <c r="B29" s="3" t="str">
        <f t="shared" si="0"/>
        <v>1</v>
      </c>
      <c r="C29" s="4" t="s">
        <v>15</v>
      </c>
      <c r="D29" s="4" t="s">
        <v>18</v>
      </c>
      <c r="E29" s="4" t="s">
        <v>3</v>
      </c>
      <c r="F29" s="2" t="str">
        <f t="shared" si="1"/>
        <v>Non-routine cognitive</v>
      </c>
    </row>
    <row r="30" spans="1:6" ht="28.5" x14ac:dyDescent="0.4">
      <c r="A30" s="3">
        <v>1114</v>
      </c>
      <c r="B30" s="3" t="str">
        <f t="shared" si="0"/>
        <v>1</v>
      </c>
      <c r="C30" s="4" t="s">
        <v>15</v>
      </c>
      <c r="D30" s="4" t="s">
        <v>19</v>
      </c>
      <c r="E30" s="4" t="s">
        <v>3</v>
      </c>
      <c r="F30" s="2" t="str">
        <f t="shared" si="1"/>
        <v>Non-routine cognitive</v>
      </c>
    </row>
    <row r="31" spans="1:6" ht="42.75" x14ac:dyDescent="0.4">
      <c r="A31" s="3">
        <v>1114</v>
      </c>
      <c r="B31" s="3" t="str">
        <f t="shared" si="0"/>
        <v>1</v>
      </c>
      <c r="C31" s="4" t="s">
        <v>15</v>
      </c>
      <c r="D31" s="5" t="s">
        <v>1124</v>
      </c>
      <c r="E31" s="4" t="s">
        <v>4</v>
      </c>
      <c r="F31" s="2" t="str">
        <f t="shared" si="1"/>
        <v>Non-routine cognitive</v>
      </c>
    </row>
    <row r="32" spans="1:6" ht="28.5" x14ac:dyDescent="0.4">
      <c r="A32" s="3">
        <v>1114</v>
      </c>
      <c r="B32" s="3" t="str">
        <f t="shared" si="0"/>
        <v>1</v>
      </c>
      <c r="C32" s="4" t="s">
        <v>15</v>
      </c>
      <c r="D32" s="4" t="s">
        <v>6</v>
      </c>
      <c r="E32" s="4" t="s">
        <v>3</v>
      </c>
      <c r="F32" s="2" t="str">
        <f t="shared" si="1"/>
        <v>Non-routine cognitive</v>
      </c>
    </row>
    <row r="33" spans="1:6" ht="42.75" x14ac:dyDescent="0.4">
      <c r="A33" s="3">
        <v>1114</v>
      </c>
      <c r="B33" s="3" t="str">
        <f t="shared" si="0"/>
        <v>1</v>
      </c>
      <c r="C33" s="4" t="s">
        <v>15</v>
      </c>
      <c r="D33" s="5" t="s">
        <v>1125</v>
      </c>
      <c r="E33" s="4" t="s">
        <v>4</v>
      </c>
      <c r="F33" s="2" t="str">
        <f t="shared" si="1"/>
        <v>Non-routine cognitive</v>
      </c>
    </row>
    <row r="34" spans="1:6" ht="42.75" x14ac:dyDescent="0.4">
      <c r="A34" s="3">
        <v>1114</v>
      </c>
      <c r="B34" s="3" t="str">
        <f t="shared" si="0"/>
        <v>1</v>
      </c>
      <c r="C34" s="4" t="s">
        <v>15</v>
      </c>
      <c r="D34" s="5" t="s">
        <v>1126</v>
      </c>
      <c r="E34" s="4" t="s">
        <v>3</v>
      </c>
      <c r="F34" s="2" t="str">
        <f t="shared" si="1"/>
        <v>Non-routine cognitive</v>
      </c>
    </row>
    <row r="35" spans="1:6" ht="28.5" x14ac:dyDescent="0.4">
      <c r="A35" s="3">
        <v>1120</v>
      </c>
      <c r="B35" s="3" t="str">
        <f t="shared" si="0"/>
        <v>1</v>
      </c>
      <c r="C35" s="4" t="s">
        <v>20</v>
      </c>
      <c r="D35" s="4" t="s">
        <v>21</v>
      </c>
      <c r="E35" s="4" t="s">
        <v>4</v>
      </c>
      <c r="F35" s="2" t="str">
        <f t="shared" si="1"/>
        <v>Non-routine cognitive</v>
      </c>
    </row>
    <row r="36" spans="1:6" ht="42.75" x14ac:dyDescent="0.4">
      <c r="A36" s="3">
        <v>1120</v>
      </c>
      <c r="B36" s="3" t="str">
        <f t="shared" si="0"/>
        <v>1</v>
      </c>
      <c r="C36" s="4" t="s">
        <v>20</v>
      </c>
      <c r="D36" s="5" t="s">
        <v>1127</v>
      </c>
      <c r="E36" s="4" t="s">
        <v>4</v>
      </c>
      <c r="F36" s="2" t="str">
        <f t="shared" si="1"/>
        <v>Non-routine cognitive</v>
      </c>
    </row>
    <row r="37" spans="1:6" ht="28.5" x14ac:dyDescent="0.4">
      <c r="A37" s="3">
        <v>1120</v>
      </c>
      <c r="B37" s="3" t="str">
        <f t="shared" si="0"/>
        <v>1</v>
      </c>
      <c r="C37" s="4" t="s">
        <v>20</v>
      </c>
      <c r="D37" s="4" t="s">
        <v>22</v>
      </c>
      <c r="E37" s="4" t="s">
        <v>4</v>
      </c>
      <c r="F37" s="2" t="str">
        <f t="shared" si="1"/>
        <v>Non-routine cognitive</v>
      </c>
    </row>
    <row r="38" spans="1:6" ht="28.5" x14ac:dyDescent="0.4">
      <c r="A38" s="3">
        <v>1120</v>
      </c>
      <c r="B38" s="3" t="str">
        <f t="shared" si="0"/>
        <v>1</v>
      </c>
      <c r="C38" s="4" t="s">
        <v>20</v>
      </c>
      <c r="D38" s="4" t="s">
        <v>23</v>
      </c>
      <c r="E38" s="4" t="s">
        <v>3</v>
      </c>
      <c r="F38" s="2" t="str">
        <f t="shared" si="1"/>
        <v>Non-routine cognitive</v>
      </c>
    </row>
    <row r="39" spans="1:6" ht="28.5" x14ac:dyDescent="0.4">
      <c r="A39" s="3">
        <v>1120</v>
      </c>
      <c r="B39" s="3" t="str">
        <f t="shared" si="0"/>
        <v>1</v>
      </c>
      <c r="C39" s="4" t="s">
        <v>20</v>
      </c>
      <c r="D39" s="4" t="s">
        <v>24</v>
      </c>
      <c r="E39" s="4" t="s">
        <v>4</v>
      </c>
      <c r="F39" s="2" t="str">
        <f t="shared" si="1"/>
        <v>Non-routine cognitive</v>
      </c>
    </row>
    <row r="40" spans="1:6" ht="28.5" x14ac:dyDescent="0.4">
      <c r="A40" s="3">
        <v>1120</v>
      </c>
      <c r="B40" s="3" t="str">
        <f t="shared" si="0"/>
        <v>1</v>
      </c>
      <c r="C40" s="4" t="s">
        <v>20</v>
      </c>
      <c r="D40" s="6" t="s">
        <v>25</v>
      </c>
      <c r="E40" s="4" t="s">
        <v>3</v>
      </c>
      <c r="F40" s="2" t="str">
        <f t="shared" si="1"/>
        <v>Non-routine cognitive</v>
      </c>
    </row>
    <row r="41" spans="1:6" ht="28.5" x14ac:dyDescent="0.4">
      <c r="A41" s="3">
        <v>1120</v>
      </c>
      <c r="B41" s="3" t="str">
        <f t="shared" si="0"/>
        <v>1</v>
      </c>
      <c r="C41" s="4" t="s">
        <v>20</v>
      </c>
      <c r="D41" s="5" t="s">
        <v>1128</v>
      </c>
      <c r="E41" s="4" t="s">
        <v>4</v>
      </c>
      <c r="F41" s="2" t="str">
        <f t="shared" si="1"/>
        <v>Non-routine cognitive</v>
      </c>
    </row>
    <row r="42" spans="1:6" ht="28.5" x14ac:dyDescent="0.4">
      <c r="A42" s="3">
        <v>1120</v>
      </c>
      <c r="B42" s="3" t="str">
        <f t="shared" si="0"/>
        <v>1</v>
      </c>
      <c r="C42" s="4" t="s">
        <v>20</v>
      </c>
      <c r="D42" s="4" t="s">
        <v>26</v>
      </c>
      <c r="E42" s="4" t="s">
        <v>3</v>
      </c>
      <c r="F42" s="2" t="str">
        <f t="shared" si="1"/>
        <v>Non-routine cognitive</v>
      </c>
    </row>
    <row r="43" spans="1:6" ht="42.75" x14ac:dyDescent="0.4">
      <c r="A43" s="3">
        <v>1120</v>
      </c>
      <c r="B43" s="3" t="str">
        <f t="shared" si="0"/>
        <v>1</v>
      </c>
      <c r="C43" s="4" t="s">
        <v>20</v>
      </c>
      <c r="D43" s="5" t="s">
        <v>1129</v>
      </c>
      <c r="E43" s="4" t="s">
        <v>3</v>
      </c>
      <c r="F43" s="2" t="str">
        <f t="shared" si="1"/>
        <v>Non-routine cognitive</v>
      </c>
    </row>
    <row r="44" spans="1:6" ht="28.5" x14ac:dyDescent="0.4">
      <c r="A44" s="3">
        <v>1120</v>
      </c>
      <c r="B44" s="3" t="str">
        <f t="shared" si="0"/>
        <v>1</v>
      </c>
      <c r="C44" s="4" t="s">
        <v>20</v>
      </c>
      <c r="D44" s="7" t="s">
        <v>27</v>
      </c>
      <c r="E44" s="4" t="s">
        <v>4</v>
      </c>
      <c r="F44" s="2" t="str">
        <f t="shared" si="1"/>
        <v>Non-routine cognitive</v>
      </c>
    </row>
    <row r="45" spans="1:6" ht="28.5" x14ac:dyDescent="0.4">
      <c r="A45" s="3">
        <v>1120</v>
      </c>
      <c r="B45" s="3" t="str">
        <f t="shared" si="0"/>
        <v>1</v>
      </c>
      <c r="C45" s="4" t="s">
        <v>20</v>
      </c>
      <c r="D45" s="4" t="s">
        <v>28</v>
      </c>
      <c r="E45" s="4" t="s">
        <v>3</v>
      </c>
      <c r="F45" s="2" t="str">
        <f t="shared" si="1"/>
        <v>Non-routine cognitive</v>
      </c>
    </row>
    <row r="46" spans="1:6" ht="28.5" x14ac:dyDescent="0.4">
      <c r="A46" s="3">
        <v>1211</v>
      </c>
      <c r="B46" s="3" t="str">
        <f t="shared" si="0"/>
        <v>1</v>
      </c>
      <c r="C46" s="4" t="s">
        <v>29</v>
      </c>
      <c r="D46" s="5" t="s">
        <v>1130</v>
      </c>
      <c r="E46" s="4" t="s">
        <v>3</v>
      </c>
      <c r="F46" s="2" t="str">
        <f t="shared" si="1"/>
        <v>Non-routine cognitive</v>
      </c>
    </row>
    <row r="47" spans="1:6" ht="28.5" x14ac:dyDescent="0.4">
      <c r="A47" s="3">
        <v>1211</v>
      </c>
      <c r="B47" s="3" t="str">
        <f t="shared" si="0"/>
        <v>1</v>
      </c>
      <c r="C47" s="4" t="s">
        <v>29</v>
      </c>
      <c r="D47" s="5" t="s">
        <v>1131</v>
      </c>
      <c r="E47" s="4" t="s">
        <v>4</v>
      </c>
      <c r="F47" s="2" t="str">
        <f t="shared" si="1"/>
        <v>Non-routine cognitive</v>
      </c>
    </row>
    <row r="48" spans="1:6" ht="28.5" x14ac:dyDescent="0.4">
      <c r="A48" s="3">
        <v>1211</v>
      </c>
      <c r="B48" s="3" t="str">
        <f t="shared" si="0"/>
        <v>1</v>
      </c>
      <c r="C48" s="4" t="s">
        <v>29</v>
      </c>
      <c r="D48" s="5" t="s">
        <v>1132</v>
      </c>
      <c r="E48" s="4" t="s">
        <v>3</v>
      </c>
      <c r="F48" s="2" t="str">
        <f t="shared" si="1"/>
        <v>Non-routine cognitive</v>
      </c>
    </row>
    <row r="49" spans="1:6" ht="28.5" x14ac:dyDescent="0.4">
      <c r="A49" s="3">
        <v>1211</v>
      </c>
      <c r="B49" s="3" t="str">
        <f t="shared" si="0"/>
        <v>1</v>
      </c>
      <c r="C49" s="4" t="s">
        <v>29</v>
      </c>
      <c r="D49" s="5" t="s">
        <v>1133</v>
      </c>
      <c r="E49" s="4" t="s">
        <v>4</v>
      </c>
      <c r="F49" s="2" t="str">
        <f t="shared" si="1"/>
        <v>Non-routine cognitive</v>
      </c>
    </row>
    <row r="50" spans="1:6" ht="28.5" x14ac:dyDescent="0.4">
      <c r="A50" s="3">
        <v>1211</v>
      </c>
      <c r="B50" s="3" t="str">
        <f t="shared" si="0"/>
        <v>1</v>
      </c>
      <c r="C50" s="4" t="s">
        <v>29</v>
      </c>
      <c r="D50" s="5" t="s">
        <v>1134</v>
      </c>
      <c r="E50" s="4" t="s">
        <v>3</v>
      </c>
      <c r="F50" s="2" t="str">
        <f t="shared" si="1"/>
        <v>Non-routine cognitive</v>
      </c>
    </row>
    <row r="51" spans="1:6" x14ac:dyDescent="0.4">
      <c r="A51" s="3">
        <v>1211</v>
      </c>
      <c r="B51" s="3" t="str">
        <f t="shared" si="0"/>
        <v>1</v>
      </c>
      <c r="C51" s="4" t="s">
        <v>29</v>
      </c>
      <c r="D51" s="7" t="s">
        <v>30</v>
      </c>
      <c r="E51" s="4" t="s">
        <v>3</v>
      </c>
      <c r="F51" s="2" t="str">
        <f t="shared" si="1"/>
        <v>Non-routine cognitive</v>
      </c>
    </row>
    <row r="52" spans="1:6" ht="28.5" x14ac:dyDescent="0.4">
      <c r="A52" s="3">
        <v>1211</v>
      </c>
      <c r="B52" s="3" t="str">
        <f t="shared" si="0"/>
        <v>1</v>
      </c>
      <c r="C52" s="4" t="s">
        <v>29</v>
      </c>
      <c r="D52" s="5" t="s">
        <v>1135</v>
      </c>
      <c r="E52" s="4" t="s">
        <v>3</v>
      </c>
      <c r="F52" s="2" t="str">
        <f t="shared" si="1"/>
        <v>Non-routine cognitive</v>
      </c>
    </row>
    <row r="53" spans="1:6" ht="28.5" x14ac:dyDescent="0.4">
      <c r="A53" s="3">
        <v>1211</v>
      </c>
      <c r="B53" s="3" t="str">
        <f t="shared" si="0"/>
        <v>1</v>
      </c>
      <c r="C53" s="4" t="s">
        <v>29</v>
      </c>
      <c r="D53" s="5" t="s">
        <v>1136</v>
      </c>
      <c r="E53" s="4" t="s">
        <v>3</v>
      </c>
      <c r="F53" s="2" t="str">
        <f t="shared" si="1"/>
        <v>Non-routine cognitive</v>
      </c>
    </row>
    <row r="54" spans="1:6" ht="42.75" x14ac:dyDescent="0.4">
      <c r="A54" s="3">
        <v>1212</v>
      </c>
      <c r="B54" s="3" t="str">
        <f t="shared" si="0"/>
        <v>1</v>
      </c>
      <c r="C54" s="4" t="s">
        <v>31</v>
      </c>
      <c r="D54" s="5" t="s">
        <v>1137</v>
      </c>
      <c r="E54" s="4" t="s">
        <v>4</v>
      </c>
      <c r="F54" s="2" t="str">
        <f t="shared" si="1"/>
        <v>Non-routine cognitive</v>
      </c>
    </row>
    <row r="55" spans="1:6" ht="42.75" x14ac:dyDescent="0.4">
      <c r="A55" s="3">
        <v>1212</v>
      </c>
      <c r="B55" s="3" t="str">
        <f t="shared" si="0"/>
        <v>1</v>
      </c>
      <c r="C55" s="4" t="s">
        <v>31</v>
      </c>
      <c r="D55" s="5" t="s">
        <v>1138</v>
      </c>
      <c r="E55" s="4" t="s">
        <v>4</v>
      </c>
      <c r="F55" s="2" t="str">
        <f t="shared" si="1"/>
        <v>Non-routine cognitive</v>
      </c>
    </row>
    <row r="56" spans="1:6" ht="42.75" x14ac:dyDescent="0.4">
      <c r="A56" s="3">
        <v>1212</v>
      </c>
      <c r="B56" s="3" t="str">
        <f t="shared" si="0"/>
        <v>1</v>
      </c>
      <c r="C56" s="4" t="s">
        <v>31</v>
      </c>
      <c r="D56" s="5" t="s">
        <v>1139</v>
      </c>
      <c r="E56" s="4" t="s">
        <v>4</v>
      </c>
      <c r="F56" s="2" t="str">
        <f t="shared" si="1"/>
        <v>Non-routine cognitive</v>
      </c>
    </row>
    <row r="57" spans="1:6" x14ac:dyDescent="0.4">
      <c r="A57" s="3">
        <v>1212</v>
      </c>
      <c r="B57" s="3" t="str">
        <f t="shared" si="0"/>
        <v>1</v>
      </c>
      <c r="C57" s="4" t="s">
        <v>31</v>
      </c>
      <c r="D57" s="4" t="s">
        <v>32</v>
      </c>
      <c r="E57" s="4" t="s">
        <v>3</v>
      </c>
      <c r="F57" s="2" t="str">
        <f t="shared" si="1"/>
        <v>Non-routine cognitive</v>
      </c>
    </row>
    <row r="58" spans="1:6" ht="28.5" x14ac:dyDescent="0.4">
      <c r="A58" s="3">
        <v>1212</v>
      </c>
      <c r="B58" s="3" t="str">
        <f t="shared" si="0"/>
        <v>1</v>
      </c>
      <c r="C58" s="4" t="s">
        <v>31</v>
      </c>
      <c r="D58" s="5" t="s">
        <v>1140</v>
      </c>
      <c r="E58" s="4" t="s">
        <v>4</v>
      </c>
      <c r="F58" s="2" t="str">
        <f t="shared" si="1"/>
        <v>Non-routine cognitive</v>
      </c>
    </row>
    <row r="59" spans="1:6" ht="28.5" x14ac:dyDescent="0.4">
      <c r="A59" s="3">
        <v>1212</v>
      </c>
      <c r="B59" s="3" t="str">
        <f t="shared" si="0"/>
        <v>1</v>
      </c>
      <c r="C59" s="4" t="s">
        <v>31</v>
      </c>
      <c r="D59" s="5" t="s">
        <v>1134</v>
      </c>
      <c r="E59" s="4" t="s">
        <v>3</v>
      </c>
      <c r="F59" s="2" t="str">
        <f t="shared" si="1"/>
        <v>Non-routine cognitive</v>
      </c>
    </row>
    <row r="60" spans="1:6" ht="28.5" x14ac:dyDescent="0.4">
      <c r="A60" s="3">
        <v>1212</v>
      </c>
      <c r="B60" s="3" t="str">
        <f t="shared" si="0"/>
        <v>1</v>
      </c>
      <c r="C60" s="4" t="s">
        <v>31</v>
      </c>
      <c r="D60" s="5" t="s">
        <v>1141</v>
      </c>
      <c r="E60" s="4" t="s">
        <v>3</v>
      </c>
      <c r="F60" s="2" t="str">
        <f t="shared" si="1"/>
        <v>Non-routine cognitive</v>
      </c>
    </row>
    <row r="61" spans="1:6" ht="42.75" x14ac:dyDescent="0.4">
      <c r="A61" s="3">
        <v>1212</v>
      </c>
      <c r="B61" s="3" t="str">
        <f t="shared" si="0"/>
        <v>1</v>
      </c>
      <c r="C61" s="4" t="s">
        <v>31</v>
      </c>
      <c r="D61" s="5" t="s">
        <v>1142</v>
      </c>
      <c r="E61" s="4" t="s">
        <v>3</v>
      </c>
      <c r="F61" s="2" t="str">
        <f t="shared" si="1"/>
        <v>Non-routine cognitive</v>
      </c>
    </row>
    <row r="62" spans="1:6" ht="42.75" x14ac:dyDescent="0.4">
      <c r="A62" s="3">
        <v>1212</v>
      </c>
      <c r="B62" s="3" t="str">
        <f t="shared" si="0"/>
        <v>1</v>
      </c>
      <c r="C62" s="4" t="s">
        <v>31</v>
      </c>
      <c r="D62" s="5" t="s">
        <v>1143</v>
      </c>
      <c r="E62" s="4" t="s">
        <v>3</v>
      </c>
      <c r="F62" s="2" t="str">
        <f t="shared" si="1"/>
        <v>Non-routine cognitive</v>
      </c>
    </row>
    <row r="63" spans="1:6" ht="28.5" x14ac:dyDescent="0.4">
      <c r="A63" s="3">
        <v>1212</v>
      </c>
      <c r="B63" s="3" t="str">
        <f t="shared" si="0"/>
        <v>1</v>
      </c>
      <c r="C63" s="4" t="s">
        <v>31</v>
      </c>
      <c r="D63" s="5" t="s">
        <v>1144</v>
      </c>
      <c r="E63" s="4" t="s">
        <v>3</v>
      </c>
      <c r="F63" s="2" t="str">
        <f t="shared" si="1"/>
        <v>Non-routine cognitive</v>
      </c>
    </row>
    <row r="64" spans="1:6" ht="28.5" x14ac:dyDescent="0.4">
      <c r="A64" s="3">
        <v>1212</v>
      </c>
      <c r="B64" s="3" t="str">
        <f t="shared" si="0"/>
        <v>1</v>
      </c>
      <c r="C64" s="4" t="s">
        <v>31</v>
      </c>
      <c r="D64" s="8" t="s">
        <v>1145</v>
      </c>
      <c r="E64" s="4" t="s">
        <v>3</v>
      </c>
      <c r="F64" s="2" t="str">
        <f t="shared" si="1"/>
        <v>Non-routine cognitive</v>
      </c>
    </row>
    <row r="65" spans="1:6" ht="42.75" x14ac:dyDescent="0.4">
      <c r="A65" s="3">
        <v>1213</v>
      </c>
      <c r="B65" s="3" t="str">
        <f t="shared" si="0"/>
        <v>1</v>
      </c>
      <c r="C65" s="4" t="s">
        <v>33</v>
      </c>
      <c r="D65" s="5" t="s">
        <v>1146</v>
      </c>
      <c r="E65" s="4" t="s">
        <v>4</v>
      </c>
      <c r="F65" s="2" t="str">
        <f t="shared" si="1"/>
        <v>Non-routine cognitive</v>
      </c>
    </row>
    <row r="66" spans="1:6" ht="28.5" x14ac:dyDescent="0.4">
      <c r="A66" s="3">
        <v>1213</v>
      </c>
      <c r="B66" s="3" t="str">
        <f t="shared" si="0"/>
        <v>1</v>
      </c>
      <c r="C66" s="4" t="s">
        <v>33</v>
      </c>
      <c r="D66" s="5" t="s">
        <v>1147</v>
      </c>
      <c r="E66" s="4" t="s">
        <v>4</v>
      </c>
      <c r="F66" s="2" t="str">
        <f t="shared" si="1"/>
        <v>Non-routine cognitive</v>
      </c>
    </row>
    <row r="67" spans="1:6" ht="28.5" x14ac:dyDescent="0.4">
      <c r="A67" s="3">
        <v>1213</v>
      </c>
      <c r="B67" s="3" t="str">
        <f t="shared" ref="B67:B130" si="2">LEFT(A67,1)</f>
        <v>1</v>
      </c>
      <c r="C67" s="4" t="s">
        <v>33</v>
      </c>
      <c r="D67" s="5" t="s">
        <v>1148</v>
      </c>
      <c r="E67" s="4" t="s">
        <v>3</v>
      </c>
      <c r="F67" s="2" t="str">
        <f t="shared" ref="F67:F130" si="3">IF(E67="Non-routine interpersonal","Non-routine cognitive",IF(E67="Non-routine analytical","Non-routine cognitive",IF(E67="Non-routine manual physical","Non-routine manual",E67)))</f>
        <v>Non-routine cognitive</v>
      </c>
    </row>
    <row r="68" spans="1:6" ht="28.5" x14ac:dyDescent="0.4">
      <c r="A68" s="3">
        <v>1213</v>
      </c>
      <c r="B68" s="3" t="str">
        <f t="shared" si="2"/>
        <v>1</v>
      </c>
      <c r="C68" s="4" t="s">
        <v>33</v>
      </c>
      <c r="D68" s="8" t="s">
        <v>1149</v>
      </c>
      <c r="E68" s="4" t="s">
        <v>3</v>
      </c>
      <c r="F68" s="2" t="str">
        <f t="shared" si="3"/>
        <v>Non-routine cognitive</v>
      </c>
    </row>
    <row r="69" spans="1:6" x14ac:dyDescent="0.4">
      <c r="A69" s="3">
        <v>1213</v>
      </c>
      <c r="B69" s="3" t="str">
        <f t="shared" si="2"/>
        <v>1</v>
      </c>
      <c r="C69" s="4" t="s">
        <v>33</v>
      </c>
      <c r="D69" s="7" t="s">
        <v>34</v>
      </c>
      <c r="E69" s="4" t="s">
        <v>3</v>
      </c>
      <c r="F69" s="2" t="str">
        <f t="shared" si="3"/>
        <v>Non-routine cognitive</v>
      </c>
    </row>
    <row r="70" spans="1:6" ht="42.75" x14ac:dyDescent="0.4">
      <c r="A70" s="3">
        <v>1213</v>
      </c>
      <c r="B70" s="3" t="str">
        <f t="shared" si="2"/>
        <v>1</v>
      </c>
      <c r="C70" s="4" t="s">
        <v>33</v>
      </c>
      <c r="D70" s="5" t="s">
        <v>1150</v>
      </c>
      <c r="E70" s="4" t="s">
        <v>3</v>
      </c>
      <c r="F70" s="2" t="str">
        <f t="shared" si="3"/>
        <v>Non-routine cognitive</v>
      </c>
    </row>
    <row r="71" spans="1:6" ht="28.5" x14ac:dyDescent="0.4">
      <c r="A71" s="3">
        <v>1213</v>
      </c>
      <c r="B71" s="3" t="str">
        <f t="shared" si="2"/>
        <v>1</v>
      </c>
      <c r="C71" s="4" t="s">
        <v>33</v>
      </c>
      <c r="D71" s="8" t="s">
        <v>1151</v>
      </c>
      <c r="E71" s="4" t="s">
        <v>3</v>
      </c>
      <c r="F71" s="2" t="str">
        <f t="shared" si="3"/>
        <v>Non-routine cognitive</v>
      </c>
    </row>
    <row r="72" spans="1:6" ht="42.75" x14ac:dyDescent="0.4">
      <c r="A72" s="3">
        <v>1213</v>
      </c>
      <c r="B72" s="3" t="str">
        <f t="shared" si="2"/>
        <v>1</v>
      </c>
      <c r="C72" s="4" t="s">
        <v>33</v>
      </c>
      <c r="D72" s="5" t="s">
        <v>1152</v>
      </c>
      <c r="E72" s="4" t="s">
        <v>3</v>
      </c>
      <c r="F72" s="2" t="str">
        <f t="shared" si="3"/>
        <v>Non-routine cognitive</v>
      </c>
    </row>
    <row r="73" spans="1:6" ht="28.5" x14ac:dyDescent="0.4">
      <c r="A73" s="3">
        <v>1213</v>
      </c>
      <c r="B73" s="3" t="str">
        <f t="shared" si="2"/>
        <v>1</v>
      </c>
      <c r="C73" s="4" t="s">
        <v>33</v>
      </c>
      <c r="D73" s="8" t="s">
        <v>1153</v>
      </c>
      <c r="E73" s="4" t="s">
        <v>3</v>
      </c>
      <c r="F73" s="2" t="str">
        <f t="shared" si="3"/>
        <v>Non-routine cognitive</v>
      </c>
    </row>
    <row r="74" spans="1:6" ht="57" x14ac:dyDescent="0.4">
      <c r="A74" s="3">
        <v>1219</v>
      </c>
      <c r="B74" s="3" t="str">
        <f t="shared" si="2"/>
        <v>1</v>
      </c>
      <c r="C74" s="4" t="s">
        <v>35</v>
      </c>
      <c r="D74" s="5" t="s">
        <v>1154</v>
      </c>
      <c r="E74" s="4" t="s">
        <v>4</v>
      </c>
      <c r="F74" s="2" t="str">
        <f t="shared" si="3"/>
        <v>Non-routine cognitive</v>
      </c>
    </row>
    <row r="75" spans="1:6" ht="28.5" x14ac:dyDescent="0.4">
      <c r="A75" s="3">
        <v>1219</v>
      </c>
      <c r="B75" s="3" t="str">
        <f t="shared" si="2"/>
        <v>1</v>
      </c>
      <c r="C75" s="4" t="s">
        <v>35</v>
      </c>
      <c r="D75" s="8" t="s">
        <v>1155</v>
      </c>
      <c r="E75" s="4" t="s">
        <v>3</v>
      </c>
      <c r="F75" s="2" t="str">
        <f t="shared" si="3"/>
        <v>Non-routine cognitive</v>
      </c>
    </row>
    <row r="76" spans="1:6" ht="42.75" x14ac:dyDescent="0.4">
      <c r="A76" s="3">
        <v>1219</v>
      </c>
      <c r="B76" s="3" t="str">
        <f t="shared" si="2"/>
        <v>1</v>
      </c>
      <c r="C76" s="4" t="s">
        <v>35</v>
      </c>
      <c r="D76" s="8" t="s">
        <v>1156</v>
      </c>
      <c r="E76" s="4" t="s">
        <v>4</v>
      </c>
      <c r="F76" s="2" t="str">
        <f t="shared" si="3"/>
        <v>Non-routine cognitive</v>
      </c>
    </row>
    <row r="77" spans="1:6" ht="57" x14ac:dyDescent="0.4">
      <c r="A77" s="3">
        <v>1219</v>
      </c>
      <c r="B77" s="3" t="str">
        <f t="shared" si="2"/>
        <v>1</v>
      </c>
      <c r="C77" s="4" t="s">
        <v>35</v>
      </c>
      <c r="D77" s="8" t="s">
        <v>1157</v>
      </c>
      <c r="E77" s="4" t="s">
        <v>4</v>
      </c>
      <c r="F77" s="2" t="str">
        <f t="shared" si="3"/>
        <v>Non-routine cognitive</v>
      </c>
    </row>
    <row r="78" spans="1:6" ht="28.5" x14ac:dyDescent="0.4">
      <c r="A78" s="3">
        <v>1219</v>
      </c>
      <c r="B78" s="3" t="str">
        <f t="shared" si="2"/>
        <v>1</v>
      </c>
      <c r="C78" s="4" t="s">
        <v>35</v>
      </c>
      <c r="D78" s="6" t="s">
        <v>36</v>
      </c>
      <c r="E78" s="4" t="s">
        <v>4</v>
      </c>
      <c r="F78" s="2" t="str">
        <f t="shared" si="3"/>
        <v>Non-routine cognitive</v>
      </c>
    </row>
    <row r="79" spans="1:6" ht="42.75" x14ac:dyDescent="0.4">
      <c r="A79" s="3">
        <v>1219</v>
      </c>
      <c r="B79" s="3" t="str">
        <f t="shared" si="2"/>
        <v>1</v>
      </c>
      <c r="C79" s="4" t="s">
        <v>35</v>
      </c>
      <c r="D79" s="5" t="s">
        <v>1158</v>
      </c>
      <c r="E79" s="4" t="s">
        <v>3</v>
      </c>
      <c r="F79" s="2" t="str">
        <f t="shared" si="3"/>
        <v>Non-routine cognitive</v>
      </c>
    </row>
    <row r="80" spans="1:6" ht="28.5" x14ac:dyDescent="0.4">
      <c r="A80" s="3">
        <v>1219</v>
      </c>
      <c r="B80" s="3" t="str">
        <f t="shared" si="2"/>
        <v>1</v>
      </c>
      <c r="C80" s="4" t="s">
        <v>35</v>
      </c>
      <c r="D80" s="8" t="s">
        <v>1159</v>
      </c>
      <c r="E80" s="4" t="s">
        <v>3</v>
      </c>
      <c r="F80" s="2" t="str">
        <f t="shared" si="3"/>
        <v>Non-routine cognitive</v>
      </c>
    </row>
    <row r="81" spans="1:6" ht="28.5" x14ac:dyDescent="0.4">
      <c r="A81" s="3">
        <v>1219</v>
      </c>
      <c r="B81" s="3" t="str">
        <f t="shared" si="2"/>
        <v>1</v>
      </c>
      <c r="C81" s="4" t="s">
        <v>35</v>
      </c>
      <c r="D81" s="8" t="s">
        <v>1160</v>
      </c>
      <c r="E81" s="4" t="s">
        <v>4</v>
      </c>
      <c r="F81" s="2" t="str">
        <f t="shared" si="3"/>
        <v>Non-routine cognitive</v>
      </c>
    </row>
    <row r="82" spans="1:6" ht="28.5" x14ac:dyDescent="0.4">
      <c r="A82" s="3">
        <v>1219</v>
      </c>
      <c r="B82" s="3" t="str">
        <f t="shared" si="2"/>
        <v>1</v>
      </c>
      <c r="C82" s="4" t="s">
        <v>35</v>
      </c>
      <c r="D82" s="9" t="s">
        <v>37</v>
      </c>
      <c r="E82" s="4" t="s">
        <v>3</v>
      </c>
      <c r="F82" s="2" t="str">
        <f t="shared" si="3"/>
        <v>Non-routine cognitive</v>
      </c>
    </row>
    <row r="83" spans="1:6" ht="28.5" x14ac:dyDescent="0.4">
      <c r="A83" s="3">
        <v>1219</v>
      </c>
      <c r="B83" s="3" t="str">
        <f t="shared" si="2"/>
        <v>1</v>
      </c>
      <c r="C83" s="4" t="s">
        <v>35</v>
      </c>
      <c r="D83" s="8" t="s">
        <v>1161</v>
      </c>
      <c r="E83" s="4" t="s">
        <v>3</v>
      </c>
      <c r="F83" s="2" t="str">
        <f t="shared" si="3"/>
        <v>Non-routine cognitive</v>
      </c>
    </row>
    <row r="84" spans="1:6" ht="28.5" x14ac:dyDescent="0.4">
      <c r="A84" s="3">
        <v>1221</v>
      </c>
      <c r="B84" s="3" t="str">
        <f t="shared" si="2"/>
        <v>1</v>
      </c>
      <c r="C84" s="4" t="s">
        <v>38</v>
      </c>
      <c r="D84" s="4" t="s">
        <v>3643</v>
      </c>
      <c r="E84" s="4" t="s">
        <v>3</v>
      </c>
      <c r="F84" s="2" t="str">
        <f t="shared" si="3"/>
        <v>Non-routine cognitive</v>
      </c>
    </row>
    <row r="85" spans="1:6" ht="28.5" x14ac:dyDescent="0.4">
      <c r="A85" s="3">
        <v>1221</v>
      </c>
      <c r="B85" s="3" t="str">
        <f t="shared" si="2"/>
        <v>1</v>
      </c>
      <c r="C85" s="4" t="s">
        <v>38</v>
      </c>
      <c r="D85" s="6" t="s">
        <v>3644</v>
      </c>
      <c r="E85" s="4" t="s">
        <v>4</v>
      </c>
      <c r="F85" s="2" t="str">
        <f t="shared" si="3"/>
        <v>Non-routine cognitive</v>
      </c>
    </row>
    <row r="86" spans="1:6" ht="42.75" x14ac:dyDescent="0.4">
      <c r="A86" s="3">
        <v>1221</v>
      </c>
      <c r="B86" s="3" t="str">
        <f t="shared" si="2"/>
        <v>1</v>
      </c>
      <c r="C86" s="4" t="s">
        <v>38</v>
      </c>
      <c r="D86" s="5" t="s">
        <v>1162</v>
      </c>
      <c r="E86" s="4" t="s">
        <v>3</v>
      </c>
      <c r="F86" s="2" t="str">
        <f t="shared" si="3"/>
        <v>Non-routine cognitive</v>
      </c>
    </row>
    <row r="87" spans="1:6" ht="28.5" x14ac:dyDescent="0.4">
      <c r="A87" s="3">
        <v>1221</v>
      </c>
      <c r="B87" s="3" t="str">
        <f t="shared" si="2"/>
        <v>1</v>
      </c>
      <c r="C87" s="4" t="s">
        <v>38</v>
      </c>
      <c r="D87" s="8" t="s">
        <v>1163</v>
      </c>
      <c r="E87" s="4" t="s">
        <v>3</v>
      </c>
      <c r="F87" s="2" t="str">
        <f t="shared" si="3"/>
        <v>Non-routine cognitive</v>
      </c>
    </row>
    <row r="88" spans="1:6" x14ac:dyDescent="0.4">
      <c r="A88" s="3">
        <v>1221</v>
      </c>
      <c r="B88" s="3" t="str">
        <f t="shared" si="2"/>
        <v>1</v>
      </c>
      <c r="C88" s="4" t="s">
        <v>38</v>
      </c>
      <c r="D88" s="7" t="s">
        <v>34</v>
      </c>
      <c r="E88" s="4" t="s">
        <v>3</v>
      </c>
      <c r="F88" s="2" t="str">
        <f t="shared" si="3"/>
        <v>Non-routine cognitive</v>
      </c>
    </row>
    <row r="89" spans="1:6" ht="42.75" x14ac:dyDescent="0.4">
      <c r="A89" s="3">
        <v>1221</v>
      </c>
      <c r="B89" s="3" t="str">
        <f t="shared" si="2"/>
        <v>1</v>
      </c>
      <c r="C89" s="4" t="s">
        <v>38</v>
      </c>
      <c r="D89" s="8" t="s">
        <v>1164</v>
      </c>
      <c r="E89" s="4" t="s">
        <v>4</v>
      </c>
      <c r="F89" s="2" t="str">
        <f t="shared" si="3"/>
        <v>Non-routine cognitive</v>
      </c>
    </row>
    <row r="90" spans="1:6" ht="28.5" x14ac:dyDescent="0.4">
      <c r="A90" s="3">
        <v>1221</v>
      </c>
      <c r="B90" s="3" t="str">
        <f t="shared" si="2"/>
        <v>1</v>
      </c>
      <c r="C90" s="4" t="s">
        <v>38</v>
      </c>
      <c r="D90" s="8" t="s">
        <v>1151</v>
      </c>
      <c r="E90" s="4" t="s">
        <v>3</v>
      </c>
      <c r="F90" s="2" t="str">
        <f t="shared" si="3"/>
        <v>Non-routine cognitive</v>
      </c>
    </row>
    <row r="91" spans="1:6" ht="28.5" x14ac:dyDescent="0.4">
      <c r="A91" s="3">
        <v>1221</v>
      </c>
      <c r="B91" s="3" t="str">
        <f t="shared" si="2"/>
        <v>1</v>
      </c>
      <c r="C91" s="4" t="s">
        <v>38</v>
      </c>
      <c r="D91" s="6" t="s">
        <v>39</v>
      </c>
      <c r="E91" s="4" t="s">
        <v>3</v>
      </c>
      <c r="F91" s="2" t="str">
        <f t="shared" si="3"/>
        <v>Non-routine cognitive</v>
      </c>
    </row>
    <row r="92" spans="1:6" ht="42.75" x14ac:dyDescent="0.4">
      <c r="A92" s="3">
        <v>1222</v>
      </c>
      <c r="B92" s="3" t="str">
        <f t="shared" si="2"/>
        <v>1</v>
      </c>
      <c r="C92" s="4" t="s">
        <v>40</v>
      </c>
      <c r="D92" s="8" t="s">
        <v>1165</v>
      </c>
      <c r="E92" s="4" t="s">
        <v>3</v>
      </c>
      <c r="F92" s="2" t="str">
        <f t="shared" si="3"/>
        <v>Non-routine cognitive</v>
      </c>
    </row>
    <row r="93" spans="1:6" ht="42.75" x14ac:dyDescent="0.4">
      <c r="A93" s="3">
        <v>1222</v>
      </c>
      <c r="B93" s="3" t="str">
        <f t="shared" si="2"/>
        <v>1</v>
      </c>
      <c r="C93" s="4" t="s">
        <v>40</v>
      </c>
      <c r="D93" s="5" t="s">
        <v>1166</v>
      </c>
      <c r="E93" s="4" t="s">
        <v>3</v>
      </c>
      <c r="F93" s="2" t="str">
        <f t="shared" si="3"/>
        <v>Non-routine cognitive</v>
      </c>
    </row>
    <row r="94" spans="1:6" ht="57" x14ac:dyDescent="0.4">
      <c r="A94" s="3">
        <v>1222</v>
      </c>
      <c r="B94" s="3" t="str">
        <f t="shared" si="2"/>
        <v>1</v>
      </c>
      <c r="C94" s="4" t="s">
        <v>40</v>
      </c>
      <c r="D94" s="5" t="s">
        <v>1167</v>
      </c>
      <c r="E94" s="4" t="s">
        <v>4</v>
      </c>
      <c r="F94" s="2" t="str">
        <f t="shared" si="3"/>
        <v>Non-routine cognitive</v>
      </c>
    </row>
    <row r="95" spans="1:6" ht="28.5" x14ac:dyDescent="0.4">
      <c r="A95" s="3">
        <v>1222</v>
      </c>
      <c r="B95" s="3" t="str">
        <f t="shared" si="2"/>
        <v>1</v>
      </c>
      <c r="C95" s="5" t="s">
        <v>1168</v>
      </c>
      <c r="D95" s="8" t="s">
        <v>1169</v>
      </c>
      <c r="E95" s="4" t="s">
        <v>3</v>
      </c>
      <c r="F95" s="2" t="str">
        <f t="shared" si="3"/>
        <v>Non-routine cognitive</v>
      </c>
    </row>
    <row r="96" spans="1:6" ht="42.75" x14ac:dyDescent="0.4">
      <c r="A96" s="3">
        <v>1222</v>
      </c>
      <c r="B96" s="3" t="str">
        <f t="shared" si="2"/>
        <v>1</v>
      </c>
      <c r="C96" s="4" t="s">
        <v>40</v>
      </c>
      <c r="D96" s="5" t="s">
        <v>1170</v>
      </c>
      <c r="E96" s="4" t="s">
        <v>4</v>
      </c>
      <c r="F96" s="2" t="str">
        <f t="shared" si="3"/>
        <v>Non-routine cognitive</v>
      </c>
    </row>
    <row r="97" spans="1:6" ht="28.5" x14ac:dyDescent="0.4">
      <c r="A97" s="3">
        <v>1222</v>
      </c>
      <c r="B97" s="3" t="str">
        <f t="shared" si="2"/>
        <v>1</v>
      </c>
      <c r="C97" s="4" t="s">
        <v>40</v>
      </c>
      <c r="D97" s="8" t="s">
        <v>1171</v>
      </c>
      <c r="E97" s="4" t="s">
        <v>3</v>
      </c>
      <c r="F97" s="2" t="str">
        <f t="shared" si="3"/>
        <v>Non-routine cognitive</v>
      </c>
    </row>
    <row r="98" spans="1:6" ht="28.5" x14ac:dyDescent="0.4">
      <c r="A98" s="3">
        <v>1222</v>
      </c>
      <c r="B98" s="3" t="str">
        <f t="shared" si="2"/>
        <v>1</v>
      </c>
      <c r="C98" s="5" t="s">
        <v>1172</v>
      </c>
      <c r="D98" s="7" t="s">
        <v>41</v>
      </c>
      <c r="E98" s="4" t="s">
        <v>3</v>
      </c>
      <c r="F98" s="2" t="str">
        <f t="shared" si="3"/>
        <v>Non-routine cognitive</v>
      </c>
    </row>
    <row r="99" spans="1:6" ht="28.5" x14ac:dyDescent="0.4">
      <c r="A99" s="3">
        <v>1222</v>
      </c>
      <c r="B99" s="3" t="str">
        <f t="shared" si="2"/>
        <v>1</v>
      </c>
      <c r="C99" s="4" t="s">
        <v>40</v>
      </c>
      <c r="D99" s="8" t="s">
        <v>1173</v>
      </c>
      <c r="E99" s="4" t="s">
        <v>3</v>
      </c>
      <c r="F99" s="2" t="str">
        <f t="shared" si="3"/>
        <v>Non-routine cognitive</v>
      </c>
    </row>
    <row r="100" spans="1:6" ht="71.25" x14ac:dyDescent="0.4">
      <c r="A100" s="3">
        <v>1223</v>
      </c>
      <c r="B100" s="3" t="str">
        <f t="shared" si="2"/>
        <v>1</v>
      </c>
      <c r="C100" s="4" t="s">
        <v>42</v>
      </c>
      <c r="D100" s="5" t="s">
        <v>1174</v>
      </c>
      <c r="E100" s="4" t="s">
        <v>3</v>
      </c>
      <c r="F100" s="2" t="str">
        <f t="shared" si="3"/>
        <v>Non-routine cognitive</v>
      </c>
    </row>
    <row r="101" spans="1:6" ht="42.75" x14ac:dyDescent="0.4">
      <c r="A101" s="3">
        <v>1223</v>
      </c>
      <c r="B101" s="3" t="str">
        <f t="shared" si="2"/>
        <v>1</v>
      </c>
      <c r="C101" s="4" t="s">
        <v>42</v>
      </c>
      <c r="D101" s="8" t="s">
        <v>1175</v>
      </c>
      <c r="E101" s="4" t="s">
        <v>4</v>
      </c>
      <c r="F101" s="2" t="str">
        <f t="shared" si="3"/>
        <v>Non-routine cognitive</v>
      </c>
    </row>
    <row r="102" spans="1:6" ht="28.5" x14ac:dyDescent="0.4">
      <c r="A102" s="3">
        <v>1223</v>
      </c>
      <c r="B102" s="3" t="str">
        <f t="shared" si="2"/>
        <v>1</v>
      </c>
      <c r="C102" s="4" t="s">
        <v>42</v>
      </c>
      <c r="D102" s="8" t="s">
        <v>1176</v>
      </c>
      <c r="E102" s="4" t="s">
        <v>3</v>
      </c>
      <c r="F102" s="2" t="str">
        <f t="shared" si="3"/>
        <v>Non-routine cognitive</v>
      </c>
    </row>
    <row r="103" spans="1:6" ht="42.75" x14ac:dyDescent="0.4">
      <c r="A103" s="3">
        <v>1223</v>
      </c>
      <c r="B103" s="3" t="str">
        <f t="shared" si="2"/>
        <v>1</v>
      </c>
      <c r="C103" s="4" t="s">
        <v>42</v>
      </c>
      <c r="D103" s="8" t="s">
        <v>1177</v>
      </c>
      <c r="E103" s="4" t="s">
        <v>4</v>
      </c>
      <c r="F103" s="2" t="str">
        <f t="shared" si="3"/>
        <v>Non-routine cognitive</v>
      </c>
    </row>
    <row r="104" spans="1:6" ht="28.5" x14ac:dyDescent="0.4">
      <c r="A104" s="3">
        <v>1223</v>
      </c>
      <c r="B104" s="3" t="str">
        <f t="shared" si="2"/>
        <v>1</v>
      </c>
      <c r="C104" s="4" t="s">
        <v>42</v>
      </c>
      <c r="D104" s="8" t="s">
        <v>1178</v>
      </c>
      <c r="E104" s="4" t="s">
        <v>3</v>
      </c>
      <c r="F104" s="2" t="str">
        <f t="shared" si="3"/>
        <v>Non-routine cognitive</v>
      </c>
    </row>
    <row r="105" spans="1:6" ht="28.5" x14ac:dyDescent="0.4">
      <c r="A105" s="3">
        <v>1223</v>
      </c>
      <c r="B105" s="3" t="str">
        <f t="shared" si="2"/>
        <v>1</v>
      </c>
      <c r="C105" s="5" t="s">
        <v>1179</v>
      </c>
      <c r="D105" s="7" t="s">
        <v>43</v>
      </c>
      <c r="E105" s="4" t="s">
        <v>3</v>
      </c>
      <c r="F105" s="2" t="str">
        <f t="shared" si="3"/>
        <v>Non-routine cognitive</v>
      </c>
    </row>
    <row r="106" spans="1:6" ht="28.5" x14ac:dyDescent="0.4">
      <c r="A106" s="3">
        <v>1223</v>
      </c>
      <c r="B106" s="3" t="str">
        <f t="shared" si="2"/>
        <v>1</v>
      </c>
      <c r="C106" s="5" t="s">
        <v>1180</v>
      </c>
      <c r="D106" s="8" t="s">
        <v>1151</v>
      </c>
      <c r="E106" s="4" t="s">
        <v>3</v>
      </c>
      <c r="F106" s="2" t="str">
        <f t="shared" si="3"/>
        <v>Non-routine cognitive</v>
      </c>
    </row>
    <row r="107" spans="1:6" ht="28.5" x14ac:dyDescent="0.4">
      <c r="A107" s="3">
        <v>1223</v>
      </c>
      <c r="B107" s="3" t="str">
        <f t="shared" si="2"/>
        <v>1</v>
      </c>
      <c r="C107" s="4" t="s">
        <v>42</v>
      </c>
      <c r="D107" s="8" t="s">
        <v>1181</v>
      </c>
      <c r="E107" s="4" t="s">
        <v>3</v>
      </c>
      <c r="F107" s="2" t="str">
        <f t="shared" si="3"/>
        <v>Non-routine cognitive</v>
      </c>
    </row>
    <row r="108" spans="1:6" ht="42.75" x14ac:dyDescent="0.4">
      <c r="A108" s="3">
        <v>1311</v>
      </c>
      <c r="B108" s="3" t="str">
        <f t="shared" si="2"/>
        <v>1</v>
      </c>
      <c r="C108" s="4" t="s">
        <v>44</v>
      </c>
      <c r="D108" s="8" t="s">
        <v>1182</v>
      </c>
      <c r="E108" s="4" t="s">
        <v>4</v>
      </c>
      <c r="F108" s="2" t="str">
        <f t="shared" si="3"/>
        <v>Non-routine cognitive</v>
      </c>
    </row>
    <row r="109" spans="1:6" ht="57" x14ac:dyDescent="0.4">
      <c r="A109" s="3">
        <v>1311</v>
      </c>
      <c r="B109" s="3" t="str">
        <f t="shared" si="2"/>
        <v>1</v>
      </c>
      <c r="C109" s="4" t="s">
        <v>44</v>
      </c>
      <c r="D109" s="5" t="s">
        <v>1183</v>
      </c>
      <c r="E109" s="4" t="s">
        <v>4</v>
      </c>
      <c r="F109" s="2" t="str">
        <f t="shared" si="3"/>
        <v>Non-routine cognitive</v>
      </c>
    </row>
    <row r="110" spans="1:6" ht="28.5" x14ac:dyDescent="0.4">
      <c r="A110" s="3">
        <v>1311</v>
      </c>
      <c r="B110" s="3" t="str">
        <f t="shared" si="2"/>
        <v>1</v>
      </c>
      <c r="C110" s="4" t="s">
        <v>44</v>
      </c>
      <c r="D110" s="4" t="s">
        <v>45</v>
      </c>
      <c r="E110" s="4" t="s">
        <v>3</v>
      </c>
      <c r="F110" s="2" t="str">
        <f t="shared" si="3"/>
        <v>Non-routine cognitive</v>
      </c>
    </row>
    <row r="111" spans="1:6" ht="28.5" x14ac:dyDescent="0.4">
      <c r="A111" s="3">
        <v>1311</v>
      </c>
      <c r="B111" s="3" t="str">
        <f t="shared" si="2"/>
        <v>1</v>
      </c>
      <c r="C111" s="4" t="s">
        <v>44</v>
      </c>
      <c r="D111" s="5" t="s">
        <v>1184</v>
      </c>
      <c r="E111" s="4" t="s">
        <v>3</v>
      </c>
      <c r="F111" s="2" t="str">
        <f t="shared" si="3"/>
        <v>Non-routine cognitive</v>
      </c>
    </row>
    <row r="112" spans="1:6" ht="42.75" x14ac:dyDescent="0.4">
      <c r="A112" s="3">
        <v>1311</v>
      </c>
      <c r="B112" s="3" t="str">
        <f t="shared" si="2"/>
        <v>1</v>
      </c>
      <c r="C112" s="4" t="s">
        <v>44</v>
      </c>
      <c r="D112" s="5" t="s">
        <v>1185</v>
      </c>
      <c r="E112" s="4" t="s">
        <v>4</v>
      </c>
      <c r="F112" s="2" t="str">
        <f t="shared" si="3"/>
        <v>Non-routine cognitive</v>
      </c>
    </row>
    <row r="113" spans="1:6" ht="28.5" x14ac:dyDescent="0.4">
      <c r="A113" s="3">
        <v>1311</v>
      </c>
      <c r="B113" s="3" t="str">
        <f t="shared" si="2"/>
        <v>1</v>
      </c>
      <c r="C113" s="4" t="s">
        <v>44</v>
      </c>
      <c r="D113" s="4" t="s">
        <v>46</v>
      </c>
      <c r="E113" s="4" t="s">
        <v>4</v>
      </c>
      <c r="F113" s="2" t="str">
        <f t="shared" si="3"/>
        <v>Non-routine cognitive</v>
      </c>
    </row>
    <row r="114" spans="1:6" ht="28.5" x14ac:dyDescent="0.4">
      <c r="A114" s="3">
        <v>1311</v>
      </c>
      <c r="B114" s="3" t="str">
        <f t="shared" si="2"/>
        <v>1</v>
      </c>
      <c r="C114" s="4" t="s">
        <v>44</v>
      </c>
      <c r="D114" s="4" t="s">
        <v>47</v>
      </c>
      <c r="E114" s="4" t="s">
        <v>3</v>
      </c>
      <c r="F114" s="2" t="str">
        <f t="shared" si="3"/>
        <v>Non-routine cognitive</v>
      </c>
    </row>
    <row r="115" spans="1:6" ht="28.5" x14ac:dyDescent="0.4">
      <c r="A115" s="3">
        <v>1311</v>
      </c>
      <c r="B115" s="3" t="str">
        <f t="shared" si="2"/>
        <v>1</v>
      </c>
      <c r="C115" s="4" t="s">
        <v>44</v>
      </c>
      <c r="D115" s="4" t="s">
        <v>48</v>
      </c>
      <c r="E115" s="4" t="s">
        <v>4</v>
      </c>
      <c r="F115" s="2" t="str">
        <f t="shared" si="3"/>
        <v>Non-routine cognitive</v>
      </c>
    </row>
    <row r="116" spans="1:6" ht="28.5" x14ac:dyDescent="0.4">
      <c r="A116" s="3">
        <v>1311</v>
      </c>
      <c r="B116" s="3" t="str">
        <f t="shared" si="2"/>
        <v>1</v>
      </c>
      <c r="C116" s="4" t="s">
        <v>44</v>
      </c>
      <c r="D116" s="4" t="s">
        <v>49</v>
      </c>
      <c r="E116" s="4" t="s">
        <v>3</v>
      </c>
      <c r="F116" s="2" t="str">
        <f t="shared" si="3"/>
        <v>Non-routine cognitive</v>
      </c>
    </row>
    <row r="117" spans="1:6" ht="28.5" x14ac:dyDescent="0.4">
      <c r="A117" s="3">
        <v>1311</v>
      </c>
      <c r="B117" s="3" t="str">
        <f t="shared" si="2"/>
        <v>1</v>
      </c>
      <c r="C117" s="4" t="s">
        <v>44</v>
      </c>
      <c r="D117" s="5" t="s">
        <v>1186</v>
      </c>
      <c r="E117" s="4" t="s">
        <v>3</v>
      </c>
      <c r="F117" s="2" t="str">
        <f t="shared" si="3"/>
        <v>Non-routine cognitive</v>
      </c>
    </row>
    <row r="118" spans="1:6" ht="42.75" x14ac:dyDescent="0.4">
      <c r="A118" s="3">
        <v>1311</v>
      </c>
      <c r="B118" s="3" t="str">
        <f t="shared" si="2"/>
        <v>1</v>
      </c>
      <c r="C118" s="4" t="s">
        <v>44</v>
      </c>
      <c r="D118" s="5" t="s">
        <v>1187</v>
      </c>
      <c r="E118" s="4" t="s">
        <v>50</v>
      </c>
      <c r="F118" s="2" t="str">
        <f t="shared" si="3"/>
        <v>Routine cognitive</v>
      </c>
    </row>
    <row r="119" spans="1:6" ht="28.5" x14ac:dyDescent="0.4">
      <c r="A119" s="3">
        <v>1311</v>
      </c>
      <c r="B119" s="3" t="str">
        <f t="shared" si="2"/>
        <v>1</v>
      </c>
      <c r="C119" s="4" t="s">
        <v>44</v>
      </c>
      <c r="D119" s="4" t="s">
        <v>51</v>
      </c>
      <c r="E119" s="4" t="s">
        <v>3</v>
      </c>
      <c r="F119" s="2" t="str">
        <f t="shared" si="3"/>
        <v>Non-routine cognitive</v>
      </c>
    </row>
    <row r="120" spans="1:6" ht="57" x14ac:dyDescent="0.4">
      <c r="A120" s="3">
        <v>1312</v>
      </c>
      <c r="B120" s="3" t="str">
        <f t="shared" si="2"/>
        <v>1</v>
      </c>
      <c r="C120" s="4" t="s">
        <v>52</v>
      </c>
      <c r="D120" s="5" t="s">
        <v>1188</v>
      </c>
      <c r="E120" s="4" t="s">
        <v>4</v>
      </c>
      <c r="F120" s="2" t="str">
        <f t="shared" si="3"/>
        <v>Non-routine cognitive</v>
      </c>
    </row>
    <row r="121" spans="1:6" ht="57" x14ac:dyDescent="0.4">
      <c r="A121" s="3">
        <v>1312</v>
      </c>
      <c r="B121" s="3" t="str">
        <f t="shared" si="2"/>
        <v>1</v>
      </c>
      <c r="C121" s="4" t="s">
        <v>52</v>
      </c>
      <c r="D121" s="5" t="s">
        <v>1189</v>
      </c>
      <c r="E121" s="4" t="s">
        <v>4</v>
      </c>
      <c r="F121" s="2" t="str">
        <f t="shared" si="3"/>
        <v>Non-routine cognitive</v>
      </c>
    </row>
    <row r="122" spans="1:6" ht="28.5" x14ac:dyDescent="0.4">
      <c r="A122" s="3">
        <v>1312</v>
      </c>
      <c r="B122" s="3" t="str">
        <f t="shared" si="2"/>
        <v>1</v>
      </c>
      <c r="C122" s="4" t="s">
        <v>52</v>
      </c>
      <c r="D122" s="8" t="s">
        <v>1190</v>
      </c>
      <c r="E122" s="4" t="s">
        <v>50</v>
      </c>
      <c r="F122" s="2" t="str">
        <f t="shared" si="3"/>
        <v>Routine cognitive</v>
      </c>
    </row>
    <row r="123" spans="1:6" ht="42.75" x14ac:dyDescent="0.4">
      <c r="A123" s="3">
        <v>1312</v>
      </c>
      <c r="B123" s="3" t="str">
        <f t="shared" si="2"/>
        <v>1</v>
      </c>
      <c r="C123" s="4" t="s">
        <v>52</v>
      </c>
      <c r="D123" s="5" t="s">
        <v>1191</v>
      </c>
      <c r="E123" s="4" t="s">
        <v>3</v>
      </c>
      <c r="F123" s="2" t="str">
        <f t="shared" si="3"/>
        <v>Non-routine cognitive</v>
      </c>
    </row>
    <row r="124" spans="1:6" ht="28.5" x14ac:dyDescent="0.4">
      <c r="A124" s="3">
        <v>1312</v>
      </c>
      <c r="B124" s="3" t="str">
        <f t="shared" si="2"/>
        <v>1</v>
      </c>
      <c r="C124" s="4" t="s">
        <v>52</v>
      </c>
      <c r="D124" s="5" t="s">
        <v>1192</v>
      </c>
      <c r="E124" s="4" t="s">
        <v>4</v>
      </c>
      <c r="F124" s="2" t="str">
        <f t="shared" si="3"/>
        <v>Non-routine cognitive</v>
      </c>
    </row>
    <row r="125" spans="1:6" ht="42.75" x14ac:dyDescent="0.4">
      <c r="A125" s="3">
        <v>1312</v>
      </c>
      <c r="B125" s="3" t="str">
        <f t="shared" si="2"/>
        <v>1</v>
      </c>
      <c r="C125" s="4" t="s">
        <v>52</v>
      </c>
      <c r="D125" s="5" t="s">
        <v>1193</v>
      </c>
      <c r="E125" s="4" t="s">
        <v>3</v>
      </c>
      <c r="F125" s="2" t="str">
        <f t="shared" si="3"/>
        <v>Non-routine cognitive</v>
      </c>
    </row>
    <row r="126" spans="1:6" ht="28.5" x14ac:dyDescent="0.4">
      <c r="A126" s="3">
        <v>1312</v>
      </c>
      <c r="B126" s="3" t="str">
        <f t="shared" si="2"/>
        <v>1</v>
      </c>
      <c r="C126" s="4" t="s">
        <v>52</v>
      </c>
      <c r="D126" s="8" t="s">
        <v>1194</v>
      </c>
      <c r="E126" s="4" t="s">
        <v>4</v>
      </c>
      <c r="F126" s="2" t="str">
        <f t="shared" si="3"/>
        <v>Non-routine cognitive</v>
      </c>
    </row>
    <row r="127" spans="1:6" ht="57" x14ac:dyDescent="0.4">
      <c r="A127" s="3">
        <v>1312</v>
      </c>
      <c r="B127" s="3" t="str">
        <f t="shared" si="2"/>
        <v>1</v>
      </c>
      <c r="C127" s="4" t="s">
        <v>52</v>
      </c>
      <c r="D127" s="5" t="s">
        <v>1195</v>
      </c>
      <c r="E127" s="4" t="s">
        <v>3</v>
      </c>
      <c r="F127" s="2" t="str">
        <f t="shared" si="3"/>
        <v>Non-routine cognitive</v>
      </c>
    </row>
    <row r="128" spans="1:6" ht="28.5" x14ac:dyDescent="0.4">
      <c r="A128" s="3">
        <v>1312</v>
      </c>
      <c r="B128" s="3" t="str">
        <f t="shared" si="2"/>
        <v>1</v>
      </c>
      <c r="C128" s="4" t="s">
        <v>52</v>
      </c>
      <c r="D128" s="8" t="s">
        <v>1196</v>
      </c>
      <c r="E128" s="4" t="s">
        <v>3</v>
      </c>
      <c r="F128" s="2" t="str">
        <f t="shared" si="3"/>
        <v>Non-routine cognitive</v>
      </c>
    </row>
    <row r="129" spans="1:6" ht="28.5" x14ac:dyDescent="0.4">
      <c r="A129" s="3">
        <v>1312</v>
      </c>
      <c r="B129" s="3" t="str">
        <f t="shared" si="2"/>
        <v>1</v>
      </c>
      <c r="C129" s="4" t="s">
        <v>52</v>
      </c>
      <c r="D129" s="8" t="s">
        <v>1197</v>
      </c>
      <c r="E129" s="4" t="s">
        <v>3</v>
      </c>
      <c r="F129" s="2" t="str">
        <f t="shared" si="3"/>
        <v>Non-routine cognitive</v>
      </c>
    </row>
    <row r="130" spans="1:6" ht="28.5" x14ac:dyDescent="0.4">
      <c r="A130" s="3">
        <v>1312</v>
      </c>
      <c r="B130" s="3" t="str">
        <f t="shared" si="2"/>
        <v>1</v>
      </c>
      <c r="C130" s="4" t="s">
        <v>52</v>
      </c>
      <c r="D130" s="4" t="s">
        <v>53</v>
      </c>
      <c r="E130" s="4" t="s">
        <v>3</v>
      </c>
      <c r="F130" s="2" t="str">
        <f t="shared" si="3"/>
        <v>Non-routine cognitive</v>
      </c>
    </row>
    <row r="131" spans="1:6" ht="28.5" x14ac:dyDescent="0.4">
      <c r="A131" s="3">
        <v>1312</v>
      </c>
      <c r="B131" s="3" t="str">
        <f t="shared" ref="B131:B194" si="4">LEFT(A131,1)</f>
        <v>1</v>
      </c>
      <c r="C131" s="4" t="s">
        <v>52</v>
      </c>
      <c r="D131" s="8" t="s">
        <v>1198</v>
      </c>
      <c r="E131" s="4" t="s">
        <v>3</v>
      </c>
      <c r="F131" s="2" t="str">
        <f t="shared" ref="F131:F194" si="5">IF(E131="Non-routine interpersonal","Non-routine cognitive",IF(E131="Non-routine analytical","Non-routine cognitive",IF(E131="Non-routine manual physical","Non-routine manual",E131)))</f>
        <v>Non-routine cognitive</v>
      </c>
    </row>
    <row r="132" spans="1:6" ht="42.75" x14ac:dyDescent="0.4">
      <c r="A132" s="3">
        <v>1312</v>
      </c>
      <c r="B132" s="3" t="str">
        <f t="shared" si="4"/>
        <v>1</v>
      </c>
      <c r="C132" s="4" t="s">
        <v>52</v>
      </c>
      <c r="D132" s="8" t="s">
        <v>1199</v>
      </c>
      <c r="E132" s="4" t="s">
        <v>3</v>
      </c>
      <c r="F132" s="2" t="str">
        <f t="shared" si="5"/>
        <v>Non-routine cognitive</v>
      </c>
    </row>
    <row r="133" spans="1:6" ht="42.75" x14ac:dyDescent="0.4">
      <c r="A133" s="3">
        <v>1322</v>
      </c>
      <c r="B133" s="3" t="str">
        <f t="shared" si="4"/>
        <v>1</v>
      </c>
      <c r="C133" s="4" t="s">
        <v>54</v>
      </c>
      <c r="D133" s="8" t="s">
        <v>1200</v>
      </c>
      <c r="E133" s="4" t="s">
        <v>4</v>
      </c>
      <c r="F133" s="2" t="str">
        <f t="shared" si="5"/>
        <v>Non-routine cognitive</v>
      </c>
    </row>
    <row r="134" spans="1:6" ht="42.75" x14ac:dyDescent="0.4">
      <c r="A134" s="3">
        <v>1322</v>
      </c>
      <c r="B134" s="3" t="str">
        <f t="shared" si="4"/>
        <v>1</v>
      </c>
      <c r="C134" s="4" t="s">
        <v>54</v>
      </c>
      <c r="D134" s="5" t="s">
        <v>1201</v>
      </c>
      <c r="E134" s="4" t="s">
        <v>4</v>
      </c>
      <c r="F134" s="2" t="str">
        <f t="shared" si="5"/>
        <v>Non-routine cognitive</v>
      </c>
    </row>
    <row r="135" spans="1:6" ht="42.75" x14ac:dyDescent="0.4">
      <c r="A135" s="3">
        <v>1322</v>
      </c>
      <c r="B135" s="3" t="str">
        <f t="shared" si="4"/>
        <v>1</v>
      </c>
      <c r="C135" s="4" t="s">
        <v>54</v>
      </c>
      <c r="D135" s="8" t="s">
        <v>1202</v>
      </c>
      <c r="E135" s="4" t="s">
        <v>4</v>
      </c>
      <c r="F135" s="2" t="str">
        <f t="shared" si="5"/>
        <v>Non-routine cognitive</v>
      </c>
    </row>
    <row r="136" spans="1:6" ht="57" x14ac:dyDescent="0.4">
      <c r="A136" s="3">
        <v>1322</v>
      </c>
      <c r="B136" s="3" t="str">
        <f t="shared" si="4"/>
        <v>1</v>
      </c>
      <c r="C136" s="4" t="s">
        <v>54</v>
      </c>
      <c r="D136" s="5" t="s">
        <v>1203</v>
      </c>
      <c r="E136" s="4" t="s">
        <v>4</v>
      </c>
      <c r="F136" s="2" t="str">
        <f t="shared" si="5"/>
        <v>Non-routine cognitive</v>
      </c>
    </row>
    <row r="137" spans="1:6" ht="42.75" x14ac:dyDescent="0.4">
      <c r="A137" s="3">
        <v>1322</v>
      </c>
      <c r="B137" s="3" t="str">
        <f t="shared" si="4"/>
        <v>1</v>
      </c>
      <c r="C137" s="4" t="s">
        <v>54</v>
      </c>
      <c r="D137" s="8" t="s">
        <v>1204</v>
      </c>
      <c r="E137" s="4" t="s">
        <v>4</v>
      </c>
      <c r="F137" s="2" t="str">
        <f t="shared" si="5"/>
        <v>Non-routine cognitive</v>
      </c>
    </row>
    <row r="138" spans="1:6" ht="28.5" x14ac:dyDescent="0.4">
      <c r="A138" s="3">
        <v>1322</v>
      </c>
      <c r="B138" s="3" t="str">
        <f t="shared" si="4"/>
        <v>1</v>
      </c>
      <c r="C138" s="4" t="s">
        <v>54</v>
      </c>
      <c r="D138" s="8" t="s">
        <v>1205</v>
      </c>
      <c r="E138" s="4" t="s">
        <v>3</v>
      </c>
      <c r="F138" s="2" t="str">
        <f t="shared" si="5"/>
        <v>Non-routine cognitive</v>
      </c>
    </row>
    <row r="139" spans="1:6" ht="28.5" x14ac:dyDescent="0.4">
      <c r="A139" s="3">
        <v>1322</v>
      </c>
      <c r="B139" s="3" t="str">
        <f t="shared" si="4"/>
        <v>1</v>
      </c>
      <c r="C139" s="4" t="s">
        <v>54</v>
      </c>
      <c r="D139" s="5" t="s">
        <v>1206</v>
      </c>
      <c r="E139" s="4" t="s">
        <v>3</v>
      </c>
      <c r="F139" s="2" t="str">
        <f t="shared" si="5"/>
        <v>Non-routine cognitive</v>
      </c>
    </row>
    <row r="140" spans="1:6" ht="28.5" x14ac:dyDescent="0.4">
      <c r="A140" s="3">
        <v>1322</v>
      </c>
      <c r="B140" s="3" t="str">
        <f t="shared" si="4"/>
        <v>1</v>
      </c>
      <c r="C140" s="4" t="s">
        <v>54</v>
      </c>
      <c r="D140" s="8" t="s">
        <v>1207</v>
      </c>
      <c r="E140" s="4" t="s">
        <v>3</v>
      </c>
      <c r="F140" s="2" t="str">
        <f t="shared" si="5"/>
        <v>Non-routine cognitive</v>
      </c>
    </row>
    <row r="141" spans="1:6" ht="42.75" x14ac:dyDescent="0.4">
      <c r="A141" s="3">
        <v>1322</v>
      </c>
      <c r="B141" s="3" t="str">
        <f t="shared" si="4"/>
        <v>1</v>
      </c>
      <c r="C141" s="4" t="s">
        <v>54</v>
      </c>
      <c r="D141" s="5" t="s">
        <v>1208</v>
      </c>
      <c r="E141" s="4" t="s">
        <v>4</v>
      </c>
      <c r="F141" s="2" t="str">
        <f t="shared" si="5"/>
        <v>Non-routine cognitive</v>
      </c>
    </row>
    <row r="142" spans="1:6" ht="28.5" x14ac:dyDescent="0.4">
      <c r="A142" s="3">
        <v>1322</v>
      </c>
      <c r="B142" s="3" t="str">
        <f t="shared" si="4"/>
        <v>1</v>
      </c>
      <c r="C142" s="4" t="s">
        <v>54</v>
      </c>
      <c r="D142" s="8" t="s">
        <v>1161</v>
      </c>
      <c r="E142" s="4" t="s">
        <v>3</v>
      </c>
      <c r="F142" s="2" t="str">
        <f t="shared" si="5"/>
        <v>Non-routine cognitive</v>
      </c>
    </row>
    <row r="143" spans="1:6" x14ac:dyDescent="0.4">
      <c r="A143" s="3">
        <v>1323</v>
      </c>
      <c r="B143" s="3" t="str">
        <f t="shared" si="4"/>
        <v>1</v>
      </c>
      <c r="C143" s="4" t="s">
        <v>55</v>
      </c>
      <c r="D143" s="6" t="s">
        <v>56</v>
      </c>
      <c r="E143" s="4" t="s">
        <v>4</v>
      </c>
      <c r="F143" s="2" t="str">
        <f t="shared" si="5"/>
        <v>Non-routine cognitive</v>
      </c>
    </row>
    <row r="144" spans="1:6" ht="28.5" x14ac:dyDescent="0.4">
      <c r="A144" s="3">
        <v>1323</v>
      </c>
      <c r="B144" s="3" t="str">
        <f t="shared" si="4"/>
        <v>1</v>
      </c>
      <c r="C144" s="4" t="s">
        <v>55</v>
      </c>
      <c r="D144" s="7" t="s">
        <v>3656</v>
      </c>
      <c r="E144" s="4" t="s">
        <v>3</v>
      </c>
      <c r="F144" s="2" t="str">
        <f t="shared" si="5"/>
        <v>Non-routine cognitive</v>
      </c>
    </row>
    <row r="145" spans="1:6" ht="57" x14ac:dyDescent="0.4">
      <c r="A145" s="3">
        <v>1323</v>
      </c>
      <c r="B145" s="3" t="str">
        <f t="shared" si="4"/>
        <v>1</v>
      </c>
      <c r="C145" s="4" t="s">
        <v>55</v>
      </c>
      <c r="D145" s="5" t="s">
        <v>1209</v>
      </c>
      <c r="E145" s="4" t="s">
        <v>3</v>
      </c>
      <c r="F145" s="2" t="str">
        <f t="shared" si="5"/>
        <v>Non-routine cognitive</v>
      </c>
    </row>
    <row r="146" spans="1:6" x14ac:dyDescent="0.4">
      <c r="A146" s="3">
        <v>1323</v>
      </c>
      <c r="B146" s="3" t="str">
        <f t="shared" si="4"/>
        <v>1</v>
      </c>
      <c r="C146" s="4" t="s">
        <v>55</v>
      </c>
      <c r="D146" s="7" t="s">
        <v>57</v>
      </c>
      <c r="E146" s="4" t="s">
        <v>50</v>
      </c>
      <c r="F146" s="2" t="str">
        <f t="shared" si="5"/>
        <v>Routine cognitive</v>
      </c>
    </row>
    <row r="147" spans="1:6" ht="28.5" x14ac:dyDescent="0.4">
      <c r="A147" s="3">
        <v>1323</v>
      </c>
      <c r="B147" s="3" t="str">
        <f t="shared" si="4"/>
        <v>1</v>
      </c>
      <c r="C147" s="4" t="s">
        <v>55</v>
      </c>
      <c r="D147" s="10" t="s">
        <v>1210</v>
      </c>
      <c r="E147" s="4" t="s">
        <v>4</v>
      </c>
      <c r="F147" s="2" t="str">
        <f t="shared" si="5"/>
        <v>Non-routine cognitive</v>
      </c>
    </row>
    <row r="148" spans="1:6" ht="28.5" x14ac:dyDescent="0.4">
      <c r="A148" s="3">
        <v>1323</v>
      </c>
      <c r="B148" s="3" t="str">
        <f t="shared" si="4"/>
        <v>1</v>
      </c>
      <c r="C148" s="4" t="s">
        <v>55</v>
      </c>
      <c r="D148" s="10" t="s">
        <v>1211</v>
      </c>
      <c r="E148" s="4" t="s">
        <v>50</v>
      </c>
      <c r="F148" s="2" t="str">
        <f t="shared" si="5"/>
        <v>Routine cognitive</v>
      </c>
    </row>
    <row r="149" spans="1:6" x14ac:dyDescent="0.4">
      <c r="A149" s="3">
        <v>1323</v>
      </c>
      <c r="B149" s="3" t="str">
        <f t="shared" si="4"/>
        <v>1</v>
      </c>
      <c r="C149" s="4" t="s">
        <v>55</v>
      </c>
      <c r="D149" s="6" t="s">
        <v>58</v>
      </c>
      <c r="E149" s="4" t="s">
        <v>3</v>
      </c>
      <c r="F149" s="2" t="str">
        <f t="shared" si="5"/>
        <v>Non-routine cognitive</v>
      </c>
    </row>
    <row r="150" spans="1:6" ht="28.5" x14ac:dyDescent="0.4">
      <c r="A150" s="3">
        <v>1323</v>
      </c>
      <c r="B150" s="3" t="str">
        <f t="shared" si="4"/>
        <v>1</v>
      </c>
      <c r="C150" s="4" t="s">
        <v>55</v>
      </c>
      <c r="D150" s="8" t="s">
        <v>1212</v>
      </c>
      <c r="E150" s="4" t="s">
        <v>3</v>
      </c>
      <c r="F150" s="2" t="str">
        <f t="shared" si="5"/>
        <v>Non-routine cognitive</v>
      </c>
    </row>
    <row r="151" spans="1:6" ht="28.5" x14ac:dyDescent="0.4">
      <c r="A151" s="3">
        <v>1323</v>
      </c>
      <c r="B151" s="3" t="str">
        <f t="shared" si="4"/>
        <v>1</v>
      </c>
      <c r="C151" s="4" t="s">
        <v>55</v>
      </c>
      <c r="D151" s="11" t="s">
        <v>1213</v>
      </c>
      <c r="E151" s="4" t="s">
        <v>3</v>
      </c>
      <c r="F151" s="2" t="str">
        <f t="shared" si="5"/>
        <v>Non-routine cognitive</v>
      </c>
    </row>
    <row r="152" spans="1:6" ht="42.75" x14ac:dyDescent="0.4">
      <c r="A152" s="3">
        <v>1323</v>
      </c>
      <c r="B152" s="3" t="str">
        <f t="shared" si="4"/>
        <v>1</v>
      </c>
      <c r="C152" s="4" t="s">
        <v>55</v>
      </c>
      <c r="D152" s="5" t="s">
        <v>1214</v>
      </c>
      <c r="E152" s="4" t="s">
        <v>4</v>
      </c>
      <c r="F152" s="2" t="str">
        <f t="shared" si="5"/>
        <v>Non-routine cognitive</v>
      </c>
    </row>
    <row r="153" spans="1:6" ht="28.5" x14ac:dyDescent="0.4">
      <c r="A153" s="3">
        <v>1323</v>
      </c>
      <c r="B153" s="3" t="str">
        <f t="shared" si="4"/>
        <v>1</v>
      </c>
      <c r="C153" s="4" t="s">
        <v>55</v>
      </c>
      <c r="D153" s="8" t="s">
        <v>1215</v>
      </c>
      <c r="E153" s="4" t="s">
        <v>3</v>
      </c>
      <c r="F153" s="2" t="str">
        <f t="shared" si="5"/>
        <v>Non-routine cognitive</v>
      </c>
    </row>
    <row r="154" spans="1:6" ht="42.75" x14ac:dyDescent="0.4">
      <c r="A154" s="3">
        <v>1324</v>
      </c>
      <c r="B154" s="3" t="str">
        <f t="shared" si="4"/>
        <v>1</v>
      </c>
      <c r="C154" s="4" t="s">
        <v>59</v>
      </c>
      <c r="D154" s="5" t="s">
        <v>1216</v>
      </c>
      <c r="E154" s="4" t="s">
        <v>4</v>
      </c>
      <c r="F154" s="2" t="str">
        <f t="shared" si="5"/>
        <v>Non-routine cognitive</v>
      </c>
    </row>
    <row r="155" spans="1:6" ht="28.5" x14ac:dyDescent="0.4">
      <c r="A155" s="3">
        <v>1324</v>
      </c>
      <c r="B155" s="3" t="str">
        <f t="shared" si="4"/>
        <v>1</v>
      </c>
      <c r="C155" s="4" t="s">
        <v>59</v>
      </c>
      <c r="D155" s="8" t="s">
        <v>1217</v>
      </c>
      <c r="E155" s="4" t="s">
        <v>4</v>
      </c>
      <c r="F155" s="2" t="str">
        <f t="shared" si="5"/>
        <v>Non-routine cognitive</v>
      </c>
    </row>
    <row r="156" spans="1:6" ht="28.5" x14ac:dyDescent="0.4">
      <c r="A156" s="3">
        <v>1324</v>
      </c>
      <c r="B156" s="3" t="str">
        <f t="shared" si="4"/>
        <v>1</v>
      </c>
      <c r="C156" s="4" t="s">
        <v>59</v>
      </c>
      <c r="D156" s="8" t="s">
        <v>1218</v>
      </c>
      <c r="E156" s="4" t="s">
        <v>3</v>
      </c>
      <c r="F156" s="2" t="str">
        <f t="shared" si="5"/>
        <v>Non-routine cognitive</v>
      </c>
    </row>
    <row r="157" spans="1:6" ht="42.75" x14ac:dyDescent="0.4">
      <c r="A157" s="3">
        <v>1324</v>
      </c>
      <c r="B157" s="3" t="str">
        <f t="shared" si="4"/>
        <v>1</v>
      </c>
      <c r="C157" s="4" t="s">
        <v>59</v>
      </c>
      <c r="D157" s="8" t="s">
        <v>1219</v>
      </c>
      <c r="E157" s="4" t="s">
        <v>4</v>
      </c>
      <c r="F157" s="2" t="str">
        <f t="shared" si="5"/>
        <v>Non-routine cognitive</v>
      </c>
    </row>
    <row r="158" spans="1:6" ht="28.5" x14ac:dyDescent="0.4">
      <c r="A158" s="3">
        <v>1324</v>
      </c>
      <c r="B158" s="3" t="str">
        <f t="shared" si="4"/>
        <v>1</v>
      </c>
      <c r="C158" s="4" t="s">
        <v>59</v>
      </c>
      <c r="D158" s="8" t="s">
        <v>1220</v>
      </c>
      <c r="E158" s="4" t="s">
        <v>3</v>
      </c>
      <c r="F158" s="2" t="str">
        <f t="shared" si="5"/>
        <v>Non-routine cognitive</v>
      </c>
    </row>
    <row r="159" spans="1:6" ht="42.75" x14ac:dyDescent="0.4">
      <c r="A159" s="3">
        <v>1324</v>
      </c>
      <c r="B159" s="3" t="str">
        <f t="shared" si="4"/>
        <v>1</v>
      </c>
      <c r="C159" s="4" t="s">
        <v>59</v>
      </c>
      <c r="D159" s="8" t="s">
        <v>1221</v>
      </c>
      <c r="E159" s="4" t="s">
        <v>4</v>
      </c>
      <c r="F159" s="2" t="str">
        <f t="shared" si="5"/>
        <v>Non-routine cognitive</v>
      </c>
    </row>
    <row r="160" spans="1:6" ht="42.75" x14ac:dyDescent="0.4">
      <c r="A160" s="3">
        <v>1324</v>
      </c>
      <c r="B160" s="3" t="str">
        <f t="shared" si="4"/>
        <v>1</v>
      </c>
      <c r="C160" s="4" t="s">
        <v>59</v>
      </c>
      <c r="D160" s="8" t="s">
        <v>1222</v>
      </c>
      <c r="E160" s="4" t="s">
        <v>3</v>
      </c>
      <c r="F160" s="2" t="str">
        <f t="shared" si="5"/>
        <v>Non-routine cognitive</v>
      </c>
    </row>
    <row r="161" spans="1:6" ht="28.5" x14ac:dyDescent="0.4">
      <c r="A161" s="3">
        <v>1324</v>
      </c>
      <c r="B161" s="3" t="str">
        <f t="shared" si="4"/>
        <v>1</v>
      </c>
      <c r="C161" s="4" t="s">
        <v>59</v>
      </c>
      <c r="D161" s="6" t="s">
        <v>60</v>
      </c>
      <c r="E161" s="4" t="s">
        <v>3</v>
      </c>
      <c r="F161" s="2" t="str">
        <f t="shared" si="5"/>
        <v>Non-routine cognitive</v>
      </c>
    </row>
    <row r="162" spans="1:6" ht="28.5" x14ac:dyDescent="0.4">
      <c r="A162" s="3">
        <v>1324</v>
      </c>
      <c r="B162" s="3" t="str">
        <f t="shared" si="4"/>
        <v>1</v>
      </c>
      <c r="C162" s="4" t="s">
        <v>59</v>
      </c>
      <c r="D162" s="8" t="s">
        <v>1223</v>
      </c>
      <c r="E162" s="4" t="s">
        <v>4</v>
      </c>
      <c r="F162" s="2" t="str">
        <f t="shared" si="5"/>
        <v>Non-routine cognitive</v>
      </c>
    </row>
    <row r="163" spans="1:6" ht="28.5" x14ac:dyDescent="0.4">
      <c r="A163" s="3">
        <v>1324</v>
      </c>
      <c r="B163" s="3" t="str">
        <f t="shared" si="4"/>
        <v>1</v>
      </c>
      <c r="C163" s="4" t="s">
        <v>59</v>
      </c>
      <c r="D163" s="8" t="s">
        <v>1224</v>
      </c>
      <c r="E163" s="4" t="s">
        <v>3</v>
      </c>
      <c r="F163" s="2" t="str">
        <f t="shared" si="5"/>
        <v>Non-routine cognitive</v>
      </c>
    </row>
    <row r="164" spans="1:6" ht="28.5" x14ac:dyDescent="0.4">
      <c r="A164" s="3">
        <v>1324</v>
      </c>
      <c r="B164" s="3" t="str">
        <f t="shared" si="4"/>
        <v>1</v>
      </c>
      <c r="C164" s="4" t="s">
        <v>59</v>
      </c>
      <c r="D164" s="7" t="s">
        <v>61</v>
      </c>
      <c r="E164" s="4" t="s">
        <v>3</v>
      </c>
      <c r="F164" s="2" t="str">
        <f t="shared" si="5"/>
        <v>Non-routine cognitive</v>
      </c>
    </row>
    <row r="165" spans="1:6" ht="28.5" x14ac:dyDescent="0.4">
      <c r="A165" s="3">
        <v>1324</v>
      </c>
      <c r="B165" s="3" t="str">
        <f t="shared" si="4"/>
        <v>1</v>
      </c>
      <c r="C165" s="4" t="s">
        <v>59</v>
      </c>
      <c r="D165" s="8" t="s">
        <v>1225</v>
      </c>
      <c r="E165" s="4" t="s">
        <v>3</v>
      </c>
      <c r="F165" s="2" t="str">
        <f t="shared" si="5"/>
        <v>Non-routine cognitive</v>
      </c>
    </row>
    <row r="166" spans="1:6" ht="42.75" x14ac:dyDescent="0.4">
      <c r="A166" s="3">
        <v>1330</v>
      </c>
      <c r="B166" s="3" t="str">
        <f t="shared" si="4"/>
        <v>1</v>
      </c>
      <c r="C166" s="4" t="s">
        <v>62</v>
      </c>
      <c r="D166" s="5" t="s">
        <v>1226</v>
      </c>
      <c r="E166" s="4" t="s">
        <v>3</v>
      </c>
      <c r="F166" s="2" t="str">
        <f t="shared" si="5"/>
        <v>Non-routine cognitive</v>
      </c>
    </row>
    <row r="167" spans="1:6" ht="28.5" x14ac:dyDescent="0.4">
      <c r="A167" s="3">
        <v>1330</v>
      </c>
      <c r="B167" s="3" t="str">
        <f t="shared" si="4"/>
        <v>1</v>
      </c>
      <c r="C167" s="4" t="s">
        <v>62</v>
      </c>
      <c r="D167" s="5" t="s">
        <v>1227</v>
      </c>
      <c r="E167" s="4" t="s">
        <v>3</v>
      </c>
      <c r="F167" s="2" t="str">
        <f t="shared" si="5"/>
        <v>Non-routine cognitive</v>
      </c>
    </row>
    <row r="168" spans="1:6" ht="28.5" x14ac:dyDescent="0.4">
      <c r="A168" s="3">
        <v>1330</v>
      </c>
      <c r="B168" s="3" t="str">
        <f t="shared" si="4"/>
        <v>1</v>
      </c>
      <c r="C168" s="4" t="s">
        <v>62</v>
      </c>
      <c r="D168" s="8" t="s">
        <v>1228</v>
      </c>
      <c r="E168" s="4" t="s">
        <v>3</v>
      </c>
      <c r="F168" s="2" t="str">
        <f t="shared" si="5"/>
        <v>Non-routine cognitive</v>
      </c>
    </row>
    <row r="169" spans="1:6" ht="28.5" x14ac:dyDescent="0.4">
      <c r="A169" s="3">
        <v>1330</v>
      </c>
      <c r="B169" s="3" t="str">
        <f t="shared" si="4"/>
        <v>1</v>
      </c>
      <c r="C169" s="4" t="s">
        <v>62</v>
      </c>
      <c r="D169" s="8" t="s">
        <v>1229</v>
      </c>
      <c r="E169" s="4" t="s">
        <v>3</v>
      </c>
      <c r="F169" s="2" t="str">
        <f t="shared" si="5"/>
        <v>Non-routine cognitive</v>
      </c>
    </row>
    <row r="170" spans="1:6" ht="28.5" x14ac:dyDescent="0.4">
      <c r="A170" s="3">
        <v>1330</v>
      </c>
      <c r="B170" s="3" t="str">
        <f t="shared" si="4"/>
        <v>1</v>
      </c>
      <c r="C170" s="4" t="s">
        <v>62</v>
      </c>
      <c r="D170" s="12" t="s">
        <v>63</v>
      </c>
      <c r="E170" s="4" t="s">
        <v>3</v>
      </c>
      <c r="F170" s="2" t="str">
        <f t="shared" si="5"/>
        <v>Non-routine cognitive</v>
      </c>
    </row>
    <row r="171" spans="1:6" ht="28.5" x14ac:dyDescent="0.4">
      <c r="A171" s="3">
        <v>1330</v>
      </c>
      <c r="B171" s="3" t="str">
        <f t="shared" si="4"/>
        <v>1</v>
      </c>
      <c r="C171" s="4" t="s">
        <v>62</v>
      </c>
      <c r="D171" s="7" t="s">
        <v>64</v>
      </c>
      <c r="E171" s="4" t="s">
        <v>3</v>
      </c>
      <c r="F171" s="2" t="str">
        <f t="shared" si="5"/>
        <v>Non-routine cognitive</v>
      </c>
    </row>
    <row r="172" spans="1:6" ht="42.75" x14ac:dyDescent="0.4">
      <c r="A172" s="3">
        <v>1330</v>
      </c>
      <c r="B172" s="3" t="str">
        <f t="shared" si="4"/>
        <v>1</v>
      </c>
      <c r="C172" s="4" t="s">
        <v>62</v>
      </c>
      <c r="D172" s="5" t="s">
        <v>1230</v>
      </c>
      <c r="E172" s="4" t="s">
        <v>4</v>
      </c>
      <c r="F172" s="2" t="str">
        <f t="shared" si="5"/>
        <v>Non-routine cognitive</v>
      </c>
    </row>
    <row r="173" spans="1:6" ht="28.5" x14ac:dyDescent="0.4">
      <c r="A173" s="3">
        <v>1330</v>
      </c>
      <c r="B173" s="3" t="str">
        <f t="shared" si="4"/>
        <v>1</v>
      </c>
      <c r="C173" s="4" t="s">
        <v>62</v>
      </c>
      <c r="D173" s="8" t="s">
        <v>1160</v>
      </c>
      <c r="E173" s="4" t="s">
        <v>4</v>
      </c>
      <c r="F173" s="2" t="str">
        <f t="shared" si="5"/>
        <v>Non-routine cognitive</v>
      </c>
    </row>
    <row r="174" spans="1:6" ht="28.5" x14ac:dyDescent="0.4">
      <c r="A174" s="3">
        <v>1330</v>
      </c>
      <c r="B174" s="3" t="str">
        <f t="shared" si="4"/>
        <v>1</v>
      </c>
      <c r="C174" s="4" t="s">
        <v>62</v>
      </c>
      <c r="D174" s="8" t="s">
        <v>1231</v>
      </c>
      <c r="E174" s="4" t="s">
        <v>3</v>
      </c>
      <c r="F174" s="2" t="str">
        <f t="shared" si="5"/>
        <v>Non-routine cognitive</v>
      </c>
    </row>
    <row r="175" spans="1:6" ht="28.5" x14ac:dyDescent="0.4">
      <c r="A175" s="3">
        <v>1330</v>
      </c>
      <c r="B175" s="3" t="str">
        <f t="shared" si="4"/>
        <v>1</v>
      </c>
      <c r="C175" s="4" t="s">
        <v>62</v>
      </c>
      <c r="D175" s="8" t="s">
        <v>1232</v>
      </c>
      <c r="E175" s="4" t="s">
        <v>3</v>
      </c>
      <c r="F175" s="2" t="str">
        <f t="shared" si="5"/>
        <v>Non-routine cognitive</v>
      </c>
    </row>
    <row r="176" spans="1:6" ht="28.5" x14ac:dyDescent="0.4">
      <c r="A176" s="3">
        <v>1330</v>
      </c>
      <c r="B176" s="3" t="str">
        <f t="shared" si="4"/>
        <v>1</v>
      </c>
      <c r="C176" s="4" t="s">
        <v>62</v>
      </c>
      <c r="D176" s="8" t="s">
        <v>1233</v>
      </c>
      <c r="E176" s="4" t="s">
        <v>3</v>
      </c>
      <c r="F176" s="2" t="str">
        <f t="shared" si="5"/>
        <v>Non-routine cognitive</v>
      </c>
    </row>
    <row r="177" spans="1:6" ht="42.75" x14ac:dyDescent="0.4">
      <c r="A177" s="3">
        <v>1341</v>
      </c>
      <c r="B177" s="3" t="str">
        <f t="shared" si="4"/>
        <v>1</v>
      </c>
      <c r="C177" s="4" t="s">
        <v>65</v>
      </c>
      <c r="D177" s="5" t="s">
        <v>1234</v>
      </c>
      <c r="E177" s="4" t="s">
        <v>4</v>
      </c>
      <c r="F177" s="2" t="str">
        <f t="shared" si="5"/>
        <v>Non-routine cognitive</v>
      </c>
    </row>
    <row r="178" spans="1:6" ht="42.75" x14ac:dyDescent="0.4">
      <c r="A178" s="3">
        <v>1341</v>
      </c>
      <c r="B178" s="3" t="str">
        <f t="shared" si="4"/>
        <v>1</v>
      </c>
      <c r="C178" s="4" t="s">
        <v>65</v>
      </c>
      <c r="D178" s="10" t="s">
        <v>1235</v>
      </c>
      <c r="E178" s="4" t="s">
        <v>4</v>
      </c>
      <c r="F178" s="2" t="str">
        <f t="shared" si="5"/>
        <v>Non-routine cognitive</v>
      </c>
    </row>
    <row r="179" spans="1:6" ht="42.75" x14ac:dyDescent="0.4">
      <c r="A179" s="3">
        <v>1341</v>
      </c>
      <c r="B179" s="3" t="str">
        <f t="shared" si="4"/>
        <v>1</v>
      </c>
      <c r="C179" s="4" t="s">
        <v>65</v>
      </c>
      <c r="D179" s="8" t="s">
        <v>1236</v>
      </c>
      <c r="E179" s="4" t="s">
        <v>3</v>
      </c>
      <c r="F179" s="2" t="str">
        <f t="shared" si="5"/>
        <v>Non-routine cognitive</v>
      </c>
    </row>
    <row r="180" spans="1:6" ht="42.75" x14ac:dyDescent="0.4">
      <c r="A180" s="3">
        <v>1341</v>
      </c>
      <c r="B180" s="3" t="str">
        <f t="shared" si="4"/>
        <v>1</v>
      </c>
      <c r="C180" s="4" t="s">
        <v>65</v>
      </c>
      <c r="D180" s="5" t="s">
        <v>1237</v>
      </c>
      <c r="E180" s="4" t="s">
        <v>3</v>
      </c>
      <c r="F180" s="2" t="str">
        <f t="shared" si="5"/>
        <v>Non-routine cognitive</v>
      </c>
    </row>
    <row r="181" spans="1:6" ht="57" x14ac:dyDescent="0.4">
      <c r="A181" s="3">
        <v>1341</v>
      </c>
      <c r="B181" s="3" t="str">
        <f t="shared" si="4"/>
        <v>1</v>
      </c>
      <c r="C181" s="4" t="s">
        <v>65</v>
      </c>
      <c r="D181" s="8" t="s">
        <v>1238</v>
      </c>
      <c r="E181" s="4" t="s">
        <v>50</v>
      </c>
      <c r="F181" s="2" t="str">
        <f t="shared" si="5"/>
        <v>Routine cognitive</v>
      </c>
    </row>
    <row r="182" spans="1:6" ht="42.75" x14ac:dyDescent="0.4">
      <c r="A182" s="3">
        <v>1341</v>
      </c>
      <c r="B182" s="3" t="str">
        <f t="shared" si="4"/>
        <v>1</v>
      </c>
      <c r="C182" s="4" t="s">
        <v>65</v>
      </c>
      <c r="D182" s="8" t="s">
        <v>1239</v>
      </c>
      <c r="E182" s="4" t="s">
        <v>4</v>
      </c>
      <c r="F182" s="2" t="str">
        <f t="shared" si="5"/>
        <v>Non-routine cognitive</v>
      </c>
    </row>
    <row r="183" spans="1:6" ht="28.5" x14ac:dyDescent="0.4">
      <c r="A183" s="3">
        <v>1341</v>
      </c>
      <c r="B183" s="3" t="str">
        <f t="shared" si="4"/>
        <v>1</v>
      </c>
      <c r="C183" s="4" t="s">
        <v>65</v>
      </c>
      <c r="D183" s="8" t="s">
        <v>1240</v>
      </c>
      <c r="E183" s="4" t="s">
        <v>4</v>
      </c>
      <c r="F183" s="2" t="str">
        <f t="shared" si="5"/>
        <v>Non-routine cognitive</v>
      </c>
    </row>
    <row r="184" spans="1:6" ht="28.5" x14ac:dyDescent="0.4">
      <c r="A184" s="3">
        <v>1341</v>
      </c>
      <c r="B184" s="3" t="str">
        <f t="shared" si="4"/>
        <v>1</v>
      </c>
      <c r="C184" s="4" t="s">
        <v>65</v>
      </c>
      <c r="D184" s="8" t="s">
        <v>1241</v>
      </c>
      <c r="E184" s="4" t="s">
        <v>50</v>
      </c>
      <c r="F184" s="2" t="str">
        <f t="shared" si="5"/>
        <v>Routine cognitive</v>
      </c>
    </row>
    <row r="185" spans="1:6" ht="28.5" x14ac:dyDescent="0.4">
      <c r="A185" s="3">
        <v>1341</v>
      </c>
      <c r="B185" s="3" t="str">
        <f t="shared" si="4"/>
        <v>1</v>
      </c>
      <c r="C185" s="4" t="s">
        <v>65</v>
      </c>
      <c r="D185" s="8" t="s">
        <v>1242</v>
      </c>
      <c r="E185" s="4" t="s">
        <v>3</v>
      </c>
      <c r="F185" s="2" t="str">
        <f t="shared" si="5"/>
        <v>Non-routine cognitive</v>
      </c>
    </row>
    <row r="186" spans="1:6" ht="42.75" x14ac:dyDescent="0.4">
      <c r="A186" s="3">
        <v>1345</v>
      </c>
      <c r="B186" s="3" t="str">
        <f t="shared" si="4"/>
        <v>1</v>
      </c>
      <c r="C186" s="4" t="s">
        <v>66</v>
      </c>
      <c r="D186" s="5" t="s">
        <v>1243</v>
      </c>
      <c r="E186" s="4" t="s">
        <v>4</v>
      </c>
      <c r="F186" s="2" t="str">
        <f t="shared" si="5"/>
        <v>Non-routine cognitive</v>
      </c>
    </row>
    <row r="187" spans="1:6" ht="28.5" x14ac:dyDescent="0.4">
      <c r="A187" s="3">
        <v>1345</v>
      </c>
      <c r="B187" s="3" t="str">
        <f t="shared" si="4"/>
        <v>1</v>
      </c>
      <c r="C187" s="4" t="s">
        <v>66</v>
      </c>
      <c r="D187" s="8" t="s">
        <v>1244</v>
      </c>
      <c r="E187" s="4" t="s">
        <v>4</v>
      </c>
      <c r="F187" s="2" t="str">
        <f t="shared" si="5"/>
        <v>Non-routine cognitive</v>
      </c>
    </row>
    <row r="188" spans="1:6" ht="28.5" x14ac:dyDescent="0.4">
      <c r="A188" s="3">
        <v>1345</v>
      </c>
      <c r="B188" s="3" t="str">
        <f t="shared" si="4"/>
        <v>1</v>
      </c>
      <c r="C188" s="4" t="s">
        <v>66</v>
      </c>
      <c r="D188" s="8" t="s">
        <v>1245</v>
      </c>
      <c r="E188" s="4" t="s">
        <v>3</v>
      </c>
      <c r="F188" s="2" t="str">
        <f t="shared" si="5"/>
        <v>Non-routine cognitive</v>
      </c>
    </row>
    <row r="189" spans="1:6" ht="42.75" x14ac:dyDescent="0.4">
      <c r="A189" s="3">
        <v>1345</v>
      </c>
      <c r="B189" s="3" t="str">
        <f t="shared" si="4"/>
        <v>1</v>
      </c>
      <c r="C189" s="4" t="s">
        <v>66</v>
      </c>
      <c r="D189" s="5" t="s">
        <v>1246</v>
      </c>
      <c r="E189" s="4" t="s">
        <v>3</v>
      </c>
      <c r="F189" s="2" t="str">
        <f t="shared" si="5"/>
        <v>Non-routine cognitive</v>
      </c>
    </row>
    <row r="190" spans="1:6" ht="28.5" x14ac:dyDescent="0.4">
      <c r="A190" s="3">
        <v>1345</v>
      </c>
      <c r="B190" s="3" t="str">
        <f t="shared" si="4"/>
        <v>1</v>
      </c>
      <c r="C190" s="4" t="s">
        <v>66</v>
      </c>
      <c r="D190" s="8" t="s">
        <v>1247</v>
      </c>
      <c r="E190" s="4" t="s">
        <v>3</v>
      </c>
      <c r="F190" s="2" t="str">
        <f t="shared" si="5"/>
        <v>Non-routine cognitive</v>
      </c>
    </row>
    <row r="191" spans="1:6" ht="57" x14ac:dyDescent="0.4">
      <c r="A191" s="3">
        <v>1345</v>
      </c>
      <c r="B191" s="3" t="str">
        <f t="shared" si="4"/>
        <v>1</v>
      </c>
      <c r="C191" s="4" t="s">
        <v>66</v>
      </c>
      <c r="D191" s="5" t="s">
        <v>1248</v>
      </c>
      <c r="E191" s="4" t="s">
        <v>4</v>
      </c>
      <c r="F191" s="2" t="str">
        <f t="shared" si="5"/>
        <v>Non-routine cognitive</v>
      </c>
    </row>
    <row r="192" spans="1:6" ht="42.75" x14ac:dyDescent="0.4">
      <c r="A192" s="3">
        <v>1345</v>
      </c>
      <c r="B192" s="3" t="str">
        <f t="shared" si="4"/>
        <v>1</v>
      </c>
      <c r="C192" s="4" t="s">
        <v>66</v>
      </c>
      <c r="D192" s="8" t="s">
        <v>1249</v>
      </c>
      <c r="E192" s="4" t="s">
        <v>3</v>
      </c>
      <c r="F192" s="2" t="str">
        <f t="shared" si="5"/>
        <v>Non-routine cognitive</v>
      </c>
    </row>
    <row r="193" spans="1:6" ht="28.5" x14ac:dyDescent="0.4">
      <c r="A193" s="3">
        <v>1345</v>
      </c>
      <c r="B193" s="3" t="str">
        <f t="shared" si="4"/>
        <v>1</v>
      </c>
      <c r="C193" s="4" t="s">
        <v>66</v>
      </c>
      <c r="D193" s="10" t="s">
        <v>1250</v>
      </c>
      <c r="E193" s="4" t="s">
        <v>3</v>
      </c>
      <c r="F193" s="2" t="str">
        <f t="shared" si="5"/>
        <v>Non-routine cognitive</v>
      </c>
    </row>
    <row r="194" spans="1:6" ht="42.75" x14ac:dyDescent="0.4">
      <c r="A194" s="3">
        <v>1345</v>
      </c>
      <c r="B194" s="3" t="str">
        <f t="shared" si="4"/>
        <v>1</v>
      </c>
      <c r="C194" s="4" t="s">
        <v>66</v>
      </c>
      <c r="D194" s="5" t="s">
        <v>1251</v>
      </c>
      <c r="E194" s="4" t="s">
        <v>4</v>
      </c>
      <c r="F194" s="2" t="str">
        <f t="shared" si="5"/>
        <v>Non-routine cognitive</v>
      </c>
    </row>
    <row r="195" spans="1:6" ht="42.75" x14ac:dyDescent="0.4">
      <c r="A195" s="3">
        <v>1345</v>
      </c>
      <c r="B195" s="3" t="str">
        <f t="shared" ref="B195:B258" si="6">LEFT(A195,1)</f>
        <v>1</v>
      </c>
      <c r="C195" s="4" t="s">
        <v>66</v>
      </c>
      <c r="D195" s="8" t="s">
        <v>1252</v>
      </c>
      <c r="E195" s="4" t="s">
        <v>3</v>
      </c>
      <c r="F195" s="2" t="str">
        <f t="shared" ref="F195:F258" si="7">IF(E195="Non-routine interpersonal","Non-routine cognitive",IF(E195="Non-routine analytical","Non-routine cognitive",IF(E195="Non-routine manual physical","Non-routine manual",E195)))</f>
        <v>Non-routine cognitive</v>
      </c>
    </row>
    <row r="196" spans="1:6" ht="28.5" x14ac:dyDescent="0.4">
      <c r="A196" s="3">
        <v>1345</v>
      </c>
      <c r="B196" s="3" t="str">
        <f t="shared" si="6"/>
        <v>1</v>
      </c>
      <c r="C196" s="4" t="s">
        <v>66</v>
      </c>
      <c r="D196" s="10" t="s">
        <v>1253</v>
      </c>
      <c r="E196" s="4" t="s">
        <v>3</v>
      </c>
      <c r="F196" s="2" t="str">
        <f t="shared" si="7"/>
        <v>Non-routine cognitive</v>
      </c>
    </row>
    <row r="197" spans="1:6" ht="28.5" x14ac:dyDescent="0.4">
      <c r="A197" s="3">
        <v>1346</v>
      </c>
      <c r="B197" s="3" t="str">
        <f t="shared" si="6"/>
        <v>1</v>
      </c>
      <c r="C197" s="4" t="s">
        <v>67</v>
      </c>
      <c r="D197" s="8" t="s">
        <v>1254</v>
      </c>
      <c r="E197" s="4" t="s">
        <v>3</v>
      </c>
      <c r="F197" s="2" t="str">
        <f t="shared" si="7"/>
        <v>Non-routine cognitive</v>
      </c>
    </row>
    <row r="198" spans="1:6" ht="28.5" x14ac:dyDescent="0.4">
      <c r="A198" s="3">
        <v>1346</v>
      </c>
      <c r="B198" s="3" t="str">
        <f t="shared" si="6"/>
        <v>1</v>
      </c>
      <c r="C198" s="4" t="s">
        <v>67</v>
      </c>
      <c r="D198" s="8" t="s">
        <v>1255</v>
      </c>
      <c r="E198" s="4" t="s">
        <v>3</v>
      </c>
      <c r="F198" s="2" t="str">
        <f t="shared" si="7"/>
        <v>Non-routine cognitive</v>
      </c>
    </row>
    <row r="199" spans="1:6" ht="42.75" x14ac:dyDescent="0.4">
      <c r="A199" s="3">
        <v>1346</v>
      </c>
      <c r="B199" s="3" t="str">
        <f t="shared" si="6"/>
        <v>1</v>
      </c>
      <c r="C199" s="4" t="s">
        <v>67</v>
      </c>
      <c r="D199" s="8" t="s">
        <v>1256</v>
      </c>
      <c r="E199" s="4" t="s">
        <v>4</v>
      </c>
      <c r="F199" s="2" t="str">
        <f t="shared" si="7"/>
        <v>Non-routine cognitive</v>
      </c>
    </row>
    <row r="200" spans="1:6" ht="28.5" x14ac:dyDescent="0.4">
      <c r="A200" s="3">
        <v>1346</v>
      </c>
      <c r="B200" s="3" t="str">
        <f t="shared" si="6"/>
        <v>1</v>
      </c>
      <c r="C200" s="4" t="s">
        <v>67</v>
      </c>
      <c r="D200" s="8" t="s">
        <v>1257</v>
      </c>
      <c r="E200" s="4" t="s">
        <v>4</v>
      </c>
      <c r="F200" s="2" t="str">
        <f t="shared" si="7"/>
        <v>Non-routine cognitive</v>
      </c>
    </row>
    <row r="201" spans="1:6" ht="28.5" x14ac:dyDescent="0.4">
      <c r="A201" s="3">
        <v>1346</v>
      </c>
      <c r="B201" s="3" t="str">
        <f t="shared" si="6"/>
        <v>1</v>
      </c>
      <c r="C201" s="4" t="s">
        <v>67</v>
      </c>
      <c r="D201" s="13" t="s">
        <v>68</v>
      </c>
      <c r="E201" s="4" t="s">
        <v>4</v>
      </c>
      <c r="F201" s="2" t="str">
        <f t="shared" si="7"/>
        <v>Non-routine cognitive</v>
      </c>
    </row>
    <row r="202" spans="1:6" ht="28.5" x14ac:dyDescent="0.4">
      <c r="A202" s="3">
        <v>1346</v>
      </c>
      <c r="B202" s="3" t="str">
        <f t="shared" si="6"/>
        <v>1</v>
      </c>
      <c r="C202" s="4" t="s">
        <v>67</v>
      </c>
      <c r="D202" s="14" t="s">
        <v>69</v>
      </c>
      <c r="E202" s="4" t="s">
        <v>4</v>
      </c>
      <c r="F202" s="2" t="str">
        <f t="shared" si="7"/>
        <v>Non-routine cognitive</v>
      </c>
    </row>
    <row r="203" spans="1:6" ht="42.75" x14ac:dyDescent="0.4">
      <c r="A203" s="3">
        <v>1346</v>
      </c>
      <c r="B203" s="3" t="str">
        <f t="shared" si="6"/>
        <v>1</v>
      </c>
      <c r="C203" s="4" t="s">
        <v>67</v>
      </c>
      <c r="D203" s="5" t="s">
        <v>1258</v>
      </c>
      <c r="E203" s="4" t="s">
        <v>3</v>
      </c>
      <c r="F203" s="2" t="str">
        <f t="shared" si="7"/>
        <v>Non-routine cognitive</v>
      </c>
    </row>
    <row r="204" spans="1:6" ht="42.75" x14ac:dyDescent="0.4">
      <c r="A204" s="3">
        <v>1346</v>
      </c>
      <c r="B204" s="3" t="str">
        <f t="shared" si="6"/>
        <v>1</v>
      </c>
      <c r="C204" s="4" t="s">
        <v>67</v>
      </c>
      <c r="D204" s="8" t="s">
        <v>1259</v>
      </c>
      <c r="E204" s="4" t="s">
        <v>3</v>
      </c>
      <c r="F204" s="2" t="str">
        <f t="shared" si="7"/>
        <v>Non-routine cognitive</v>
      </c>
    </row>
    <row r="205" spans="1:6" ht="28.5" x14ac:dyDescent="0.4">
      <c r="A205" s="3">
        <v>1346</v>
      </c>
      <c r="B205" s="3" t="str">
        <f t="shared" si="6"/>
        <v>1</v>
      </c>
      <c r="C205" s="4" t="s">
        <v>67</v>
      </c>
      <c r="D205" s="8" t="s">
        <v>1260</v>
      </c>
      <c r="E205" s="4" t="s">
        <v>3</v>
      </c>
      <c r="F205" s="2" t="str">
        <f t="shared" si="7"/>
        <v>Non-routine cognitive</v>
      </c>
    </row>
    <row r="206" spans="1:6" ht="42.75" x14ac:dyDescent="0.4">
      <c r="A206" s="3">
        <v>1346</v>
      </c>
      <c r="B206" s="3" t="str">
        <f t="shared" si="6"/>
        <v>1</v>
      </c>
      <c r="C206" s="4" t="s">
        <v>67</v>
      </c>
      <c r="D206" s="8" t="s">
        <v>1261</v>
      </c>
      <c r="E206" s="4" t="s">
        <v>4</v>
      </c>
      <c r="F206" s="2" t="str">
        <f t="shared" si="7"/>
        <v>Non-routine cognitive</v>
      </c>
    </row>
    <row r="207" spans="1:6" ht="28.5" x14ac:dyDescent="0.4">
      <c r="A207" s="3">
        <v>1346</v>
      </c>
      <c r="B207" s="3" t="str">
        <f t="shared" si="6"/>
        <v>1</v>
      </c>
      <c r="C207" s="4" t="s">
        <v>67</v>
      </c>
      <c r="D207" s="8" t="s">
        <v>1262</v>
      </c>
      <c r="E207" s="4" t="s">
        <v>3</v>
      </c>
      <c r="F207" s="2" t="str">
        <f t="shared" si="7"/>
        <v>Non-routine cognitive</v>
      </c>
    </row>
    <row r="208" spans="1:6" ht="28.5" x14ac:dyDescent="0.4">
      <c r="A208" s="3">
        <v>1349</v>
      </c>
      <c r="B208" s="3" t="str">
        <f t="shared" si="6"/>
        <v>1</v>
      </c>
      <c r="C208" s="4" t="s">
        <v>70</v>
      </c>
      <c r="D208" s="4" t="s">
        <v>71</v>
      </c>
      <c r="E208" s="4" t="s">
        <v>3</v>
      </c>
      <c r="F208" s="2" t="str">
        <f t="shared" si="7"/>
        <v>Non-routine cognitive</v>
      </c>
    </row>
    <row r="209" spans="1:6" ht="42.75" x14ac:dyDescent="0.4">
      <c r="A209" s="3">
        <v>1349</v>
      </c>
      <c r="B209" s="3" t="str">
        <f t="shared" si="6"/>
        <v>1</v>
      </c>
      <c r="C209" s="4" t="s">
        <v>70</v>
      </c>
      <c r="D209" s="8" t="s">
        <v>1263</v>
      </c>
      <c r="E209" s="4" t="s">
        <v>4</v>
      </c>
      <c r="F209" s="2" t="str">
        <f t="shared" si="7"/>
        <v>Non-routine cognitive</v>
      </c>
    </row>
    <row r="210" spans="1:6" ht="28.5" x14ac:dyDescent="0.4">
      <c r="A210" s="3">
        <v>1349</v>
      </c>
      <c r="B210" s="3" t="str">
        <f t="shared" si="6"/>
        <v>1</v>
      </c>
      <c r="C210" s="4" t="s">
        <v>70</v>
      </c>
      <c r="D210" s="5" t="s">
        <v>1264</v>
      </c>
      <c r="E210" s="4" t="s">
        <v>3</v>
      </c>
      <c r="F210" s="2" t="str">
        <f t="shared" si="7"/>
        <v>Non-routine cognitive</v>
      </c>
    </row>
    <row r="211" spans="1:6" ht="28.5" x14ac:dyDescent="0.4">
      <c r="A211" s="3">
        <v>1349</v>
      </c>
      <c r="B211" s="3" t="str">
        <f t="shared" si="6"/>
        <v>1</v>
      </c>
      <c r="C211" s="4" t="s">
        <v>70</v>
      </c>
      <c r="D211" s="6" t="s">
        <v>72</v>
      </c>
      <c r="E211" s="4" t="s">
        <v>4</v>
      </c>
      <c r="F211" s="2" t="str">
        <f t="shared" si="7"/>
        <v>Non-routine cognitive</v>
      </c>
    </row>
    <row r="212" spans="1:6" ht="42.75" x14ac:dyDescent="0.4">
      <c r="A212" s="3">
        <v>1349</v>
      </c>
      <c r="B212" s="3" t="str">
        <f t="shared" si="6"/>
        <v>1</v>
      </c>
      <c r="C212" s="4" t="s">
        <v>70</v>
      </c>
      <c r="D212" s="5" t="s">
        <v>1265</v>
      </c>
      <c r="E212" s="4" t="s">
        <v>3</v>
      </c>
      <c r="F212" s="2" t="str">
        <f t="shared" si="7"/>
        <v>Non-routine cognitive</v>
      </c>
    </row>
    <row r="213" spans="1:6" ht="28.5" x14ac:dyDescent="0.4">
      <c r="A213" s="3">
        <v>1349</v>
      </c>
      <c r="B213" s="3" t="str">
        <f t="shared" si="6"/>
        <v>1</v>
      </c>
      <c r="C213" s="4" t="s">
        <v>70</v>
      </c>
      <c r="D213" s="8" t="s">
        <v>1266</v>
      </c>
      <c r="E213" s="4" t="s">
        <v>3</v>
      </c>
      <c r="F213" s="2" t="str">
        <f t="shared" si="7"/>
        <v>Non-routine cognitive</v>
      </c>
    </row>
    <row r="214" spans="1:6" ht="42.75" x14ac:dyDescent="0.4">
      <c r="A214" s="3">
        <v>1349</v>
      </c>
      <c r="B214" s="3" t="str">
        <f t="shared" si="6"/>
        <v>1</v>
      </c>
      <c r="C214" s="4" t="s">
        <v>70</v>
      </c>
      <c r="D214" s="5" t="s">
        <v>1267</v>
      </c>
      <c r="E214" s="4" t="s">
        <v>3</v>
      </c>
      <c r="F214" s="2" t="str">
        <f t="shared" si="7"/>
        <v>Non-routine cognitive</v>
      </c>
    </row>
    <row r="215" spans="1:6" ht="42.75" x14ac:dyDescent="0.4">
      <c r="A215" s="3">
        <v>1349</v>
      </c>
      <c r="B215" s="3" t="str">
        <f t="shared" si="6"/>
        <v>1</v>
      </c>
      <c r="C215" s="4" t="s">
        <v>70</v>
      </c>
      <c r="D215" s="8" t="s">
        <v>1268</v>
      </c>
      <c r="E215" s="4" t="s">
        <v>4</v>
      </c>
      <c r="F215" s="2" t="str">
        <f t="shared" si="7"/>
        <v>Non-routine cognitive</v>
      </c>
    </row>
    <row r="216" spans="1:6" ht="28.5" x14ac:dyDescent="0.4">
      <c r="A216" s="3">
        <v>1349</v>
      </c>
      <c r="B216" s="3" t="str">
        <f t="shared" si="6"/>
        <v>1</v>
      </c>
      <c r="C216" s="4" t="s">
        <v>70</v>
      </c>
      <c r="D216" s="8" t="s">
        <v>1269</v>
      </c>
      <c r="E216" s="4" t="s">
        <v>3</v>
      </c>
      <c r="F216" s="2" t="str">
        <f t="shared" si="7"/>
        <v>Non-routine cognitive</v>
      </c>
    </row>
    <row r="217" spans="1:6" ht="28.5" x14ac:dyDescent="0.4">
      <c r="A217" s="3">
        <v>1412</v>
      </c>
      <c r="B217" s="3" t="str">
        <f t="shared" si="6"/>
        <v>1</v>
      </c>
      <c r="C217" s="4" t="s">
        <v>73</v>
      </c>
      <c r="D217" s="5" t="s">
        <v>1270</v>
      </c>
      <c r="E217" s="4" t="s">
        <v>4</v>
      </c>
      <c r="F217" s="2" t="str">
        <f t="shared" si="7"/>
        <v>Non-routine cognitive</v>
      </c>
    </row>
    <row r="218" spans="1:6" x14ac:dyDescent="0.4">
      <c r="A218" s="3">
        <v>1412</v>
      </c>
      <c r="B218" s="3" t="str">
        <f t="shared" si="6"/>
        <v>1</v>
      </c>
      <c r="C218" s="4" t="s">
        <v>73</v>
      </c>
      <c r="D218" s="14" t="s">
        <v>74</v>
      </c>
      <c r="E218" s="4" t="s">
        <v>3</v>
      </c>
      <c r="F218" s="2" t="str">
        <f t="shared" si="7"/>
        <v>Non-routine cognitive</v>
      </c>
    </row>
    <row r="219" spans="1:6" ht="28.5" x14ac:dyDescent="0.4">
      <c r="A219" s="3">
        <v>1412</v>
      </c>
      <c r="B219" s="3" t="str">
        <f t="shared" si="6"/>
        <v>1</v>
      </c>
      <c r="C219" s="4" t="s">
        <v>73</v>
      </c>
      <c r="D219" s="8" t="s">
        <v>1271</v>
      </c>
      <c r="E219" s="4" t="s">
        <v>50</v>
      </c>
      <c r="F219" s="2" t="str">
        <f t="shared" si="7"/>
        <v>Routine cognitive</v>
      </c>
    </row>
    <row r="220" spans="1:6" ht="28.5" x14ac:dyDescent="0.4">
      <c r="A220" s="3">
        <v>1412</v>
      </c>
      <c r="B220" s="3" t="str">
        <f t="shared" si="6"/>
        <v>1</v>
      </c>
      <c r="C220" s="4" t="s">
        <v>73</v>
      </c>
      <c r="D220" s="5" t="s">
        <v>1272</v>
      </c>
      <c r="E220" s="4" t="s">
        <v>50</v>
      </c>
      <c r="F220" s="2" t="str">
        <f t="shared" si="7"/>
        <v>Routine cognitive</v>
      </c>
    </row>
    <row r="221" spans="1:6" ht="42.75" x14ac:dyDescent="0.4">
      <c r="A221" s="3">
        <v>1412</v>
      </c>
      <c r="B221" s="3" t="str">
        <f t="shared" si="6"/>
        <v>1</v>
      </c>
      <c r="C221" s="4" t="s">
        <v>73</v>
      </c>
      <c r="D221" s="5" t="s">
        <v>1273</v>
      </c>
      <c r="E221" s="4" t="s">
        <v>50</v>
      </c>
      <c r="F221" s="2" t="str">
        <f t="shared" si="7"/>
        <v>Routine cognitive</v>
      </c>
    </row>
    <row r="222" spans="1:6" x14ac:dyDescent="0.4">
      <c r="A222" s="3">
        <v>1412</v>
      </c>
      <c r="B222" s="3" t="str">
        <f t="shared" si="6"/>
        <v>1</v>
      </c>
      <c r="C222" s="4" t="s">
        <v>73</v>
      </c>
      <c r="D222" s="4" t="s">
        <v>75</v>
      </c>
      <c r="E222" s="4" t="s">
        <v>3</v>
      </c>
      <c r="F222" s="2" t="str">
        <f t="shared" si="7"/>
        <v>Non-routine cognitive</v>
      </c>
    </row>
    <row r="223" spans="1:6" ht="28.5" x14ac:dyDescent="0.4">
      <c r="A223" s="3">
        <v>1412</v>
      </c>
      <c r="B223" s="3" t="str">
        <f t="shared" si="6"/>
        <v>1</v>
      </c>
      <c r="C223" s="4" t="s">
        <v>73</v>
      </c>
      <c r="D223" s="5" t="s">
        <v>1274</v>
      </c>
      <c r="E223" s="4" t="s">
        <v>3</v>
      </c>
      <c r="F223" s="2" t="str">
        <f t="shared" si="7"/>
        <v>Non-routine cognitive</v>
      </c>
    </row>
    <row r="224" spans="1:6" ht="28.5" x14ac:dyDescent="0.4">
      <c r="A224" s="3">
        <v>1412</v>
      </c>
      <c r="B224" s="3" t="str">
        <f t="shared" si="6"/>
        <v>1</v>
      </c>
      <c r="C224" s="4" t="s">
        <v>73</v>
      </c>
      <c r="D224" s="5" t="s">
        <v>1275</v>
      </c>
      <c r="E224" s="4" t="s">
        <v>3</v>
      </c>
      <c r="F224" s="2" t="str">
        <f t="shared" si="7"/>
        <v>Non-routine cognitive</v>
      </c>
    </row>
    <row r="225" spans="1:6" x14ac:dyDescent="0.4">
      <c r="A225" s="3">
        <v>1412</v>
      </c>
      <c r="B225" s="3" t="str">
        <f t="shared" si="6"/>
        <v>1</v>
      </c>
      <c r="C225" s="4" t="s">
        <v>73</v>
      </c>
      <c r="D225" s="6" t="s">
        <v>76</v>
      </c>
      <c r="E225" s="4" t="s">
        <v>3</v>
      </c>
      <c r="F225" s="2" t="str">
        <f t="shared" si="7"/>
        <v>Non-routine cognitive</v>
      </c>
    </row>
    <row r="226" spans="1:6" ht="28.5" x14ac:dyDescent="0.4">
      <c r="A226" s="3">
        <v>1412</v>
      </c>
      <c r="B226" s="3" t="str">
        <f t="shared" si="6"/>
        <v>1</v>
      </c>
      <c r="C226" s="4" t="s">
        <v>73</v>
      </c>
      <c r="D226" s="5" t="s">
        <v>1276</v>
      </c>
      <c r="E226" s="4" t="s">
        <v>50</v>
      </c>
      <c r="F226" s="2" t="str">
        <f t="shared" si="7"/>
        <v>Routine cognitive</v>
      </c>
    </row>
    <row r="227" spans="1:6" ht="28.5" x14ac:dyDescent="0.4">
      <c r="A227" s="3">
        <v>1420</v>
      </c>
      <c r="B227" s="3" t="str">
        <f t="shared" si="6"/>
        <v>1</v>
      </c>
      <c r="C227" s="4" t="s">
        <v>77</v>
      </c>
      <c r="D227" s="8" t="s">
        <v>1277</v>
      </c>
      <c r="E227" s="4" t="s">
        <v>4</v>
      </c>
      <c r="F227" s="2" t="str">
        <f t="shared" si="7"/>
        <v>Non-routine cognitive</v>
      </c>
    </row>
    <row r="228" spans="1:6" ht="42.75" x14ac:dyDescent="0.4">
      <c r="A228" s="3">
        <v>1420</v>
      </c>
      <c r="B228" s="3" t="str">
        <f t="shared" si="6"/>
        <v>1</v>
      </c>
      <c r="C228" s="4" t="s">
        <v>77</v>
      </c>
      <c r="D228" s="5" t="s">
        <v>1278</v>
      </c>
      <c r="E228" s="4" t="s">
        <v>4</v>
      </c>
      <c r="F228" s="2" t="str">
        <f t="shared" si="7"/>
        <v>Non-routine cognitive</v>
      </c>
    </row>
    <row r="229" spans="1:6" ht="28.5" x14ac:dyDescent="0.4">
      <c r="A229" s="3">
        <v>1420</v>
      </c>
      <c r="B229" s="3" t="str">
        <f t="shared" si="6"/>
        <v>1</v>
      </c>
      <c r="C229" s="4" t="s">
        <v>77</v>
      </c>
      <c r="D229" s="8" t="s">
        <v>1279</v>
      </c>
      <c r="E229" s="4" t="s">
        <v>3</v>
      </c>
      <c r="F229" s="2" t="str">
        <f t="shared" si="7"/>
        <v>Non-routine cognitive</v>
      </c>
    </row>
    <row r="230" spans="1:6" ht="28.5" x14ac:dyDescent="0.4">
      <c r="A230" s="3">
        <v>1420</v>
      </c>
      <c r="B230" s="3" t="str">
        <f t="shared" si="6"/>
        <v>1</v>
      </c>
      <c r="C230" s="4" t="s">
        <v>77</v>
      </c>
      <c r="D230" s="10" t="s">
        <v>1280</v>
      </c>
      <c r="E230" s="4" t="s">
        <v>50</v>
      </c>
      <c r="F230" s="2" t="str">
        <f t="shared" si="7"/>
        <v>Routine cognitive</v>
      </c>
    </row>
    <row r="231" spans="1:6" x14ac:dyDescent="0.4">
      <c r="A231" s="3">
        <v>1420</v>
      </c>
      <c r="B231" s="3" t="str">
        <f t="shared" si="6"/>
        <v>1</v>
      </c>
      <c r="C231" s="4" t="s">
        <v>77</v>
      </c>
      <c r="D231" s="6" t="s">
        <v>78</v>
      </c>
      <c r="E231" s="4" t="s">
        <v>4</v>
      </c>
      <c r="F231" s="2" t="str">
        <f t="shared" si="7"/>
        <v>Non-routine cognitive</v>
      </c>
    </row>
    <row r="232" spans="1:6" ht="28.5" x14ac:dyDescent="0.4">
      <c r="A232" s="3">
        <v>1420</v>
      </c>
      <c r="B232" s="3" t="str">
        <f t="shared" si="6"/>
        <v>1</v>
      </c>
      <c r="C232" s="4" t="s">
        <v>77</v>
      </c>
      <c r="D232" s="10" t="s">
        <v>1281</v>
      </c>
      <c r="E232" s="4" t="s">
        <v>3</v>
      </c>
      <c r="F232" s="2" t="str">
        <f t="shared" si="7"/>
        <v>Non-routine cognitive</v>
      </c>
    </row>
    <row r="233" spans="1:6" ht="28.5" x14ac:dyDescent="0.4">
      <c r="A233" s="3">
        <v>1420</v>
      </c>
      <c r="B233" s="3" t="str">
        <f t="shared" si="6"/>
        <v>1</v>
      </c>
      <c r="C233" s="4" t="s">
        <v>77</v>
      </c>
      <c r="D233" s="8" t="s">
        <v>1282</v>
      </c>
      <c r="E233" s="4" t="s">
        <v>50</v>
      </c>
      <c r="F233" s="2" t="str">
        <f t="shared" si="7"/>
        <v>Routine cognitive</v>
      </c>
    </row>
    <row r="234" spans="1:6" ht="57" x14ac:dyDescent="0.4">
      <c r="A234" s="3">
        <v>1431</v>
      </c>
      <c r="B234" s="3" t="str">
        <f t="shared" si="6"/>
        <v>1</v>
      </c>
      <c r="C234" s="4" t="s">
        <v>79</v>
      </c>
      <c r="D234" s="5" t="s">
        <v>1283</v>
      </c>
      <c r="E234" s="4" t="s">
        <v>50</v>
      </c>
      <c r="F234" s="2" t="str">
        <f t="shared" si="7"/>
        <v>Routine cognitive</v>
      </c>
    </row>
    <row r="235" spans="1:6" ht="28.5" x14ac:dyDescent="0.4">
      <c r="A235" s="3">
        <v>1431</v>
      </c>
      <c r="B235" s="3" t="str">
        <f t="shared" si="6"/>
        <v>1</v>
      </c>
      <c r="C235" s="4" t="s">
        <v>79</v>
      </c>
      <c r="D235" s="8" t="s">
        <v>1284</v>
      </c>
      <c r="E235" s="4" t="s">
        <v>50</v>
      </c>
      <c r="F235" s="2" t="str">
        <f t="shared" si="7"/>
        <v>Routine cognitive</v>
      </c>
    </row>
    <row r="236" spans="1:6" ht="57" x14ac:dyDescent="0.4">
      <c r="A236" s="3">
        <v>1431</v>
      </c>
      <c r="B236" s="3" t="str">
        <f t="shared" si="6"/>
        <v>1</v>
      </c>
      <c r="C236" s="4" t="s">
        <v>79</v>
      </c>
      <c r="D236" s="5" t="s">
        <v>1285</v>
      </c>
      <c r="E236" s="4" t="s">
        <v>4</v>
      </c>
      <c r="F236" s="2" t="str">
        <f t="shared" si="7"/>
        <v>Non-routine cognitive</v>
      </c>
    </row>
    <row r="237" spans="1:6" ht="28.5" x14ac:dyDescent="0.4">
      <c r="A237" s="3">
        <v>1431</v>
      </c>
      <c r="B237" s="3" t="str">
        <f t="shared" si="6"/>
        <v>1</v>
      </c>
      <c r="C237" s="4" t="s">
        <v>79</v>
      </c>
      <c r="D237" s="8" t="s">
        <v>1286</v>
      </c>
      <c r="E237" s="4" t="s">
        <v>4</v>
      </c>
      <c r="F237" s="2" t="str">
        <f t="shared" si="7"/>
        <v>Non-routine cognitive</v>
      </c>
    </row>
    <row r="238" spans="1:6" ht="28.5" x14ac:dyDescent="0.4">
      <c r="A238" s="3">
        <v>1431</v>
      </c>
      <c r="B238" s="3" t="str">
        <f t="shared" si="6"/>
        <v>1</v>
      </c>
      <c r="C238" s="4" t="s">
        <v>79</v>
      </c>
      <c r="D238" s="5" t="s">
        <v>1287</v>
      </c>
      <c r="E238" s="4" t="s">
        <v>50</v>
      </c>
      <c r="F238" s="2" t="str">
        <f t="shared" si="7"/>
        <v>Routine cognitive</v>
      </c>
    </row>
    <row r="239" spans="1:6" ht="28.5" x14ac:dyDescent="0.4">
      <c r="A239" s="3">
        <v>1431</v>
      </c>
      <c r="B239" s="3" t="str">
        <f t="shared" si="6"/>
        <v>1</v>
      </c>
      <c r="C239" s="4" t="s">
        <v>79</v>
      </c>
      <c r="D239" s="8" t="s">
        <v>1288</v>
      </c>
      <c r="E239" s="4" t="s">
        <v>4</v>
      </c>
      <c r="F239" s="2" t="str">
        <f t="shared" si="7"/>
        <v>Non-routine cognitive</v>
      </c>
    </row>
    <row r="240" spans="1:6" ht="28.5" x14ac:dyDescent="0.4">
      <c r="A240" s="3">
        <v>1431</v>
      </c>
      <c r="B240" s="3" t="str">
        <f t="shared" si="6"/>
        <v>1</v>
      </c>
      <c r="C240" s="4" t="s">
        <v>79</v>
      </c>
      <c r="D240" s="7" t="s">
        <v>41</v>
      </c>
      <c r="E240" s="4" t="s">
        <v>3</v>
      </c>
      <c r="F240" s="2" t="str">
        <f t="shared" si="7"/>
        <v>Non-routine cognitive</v>
      </c>
    </row>
    <row r="241" spans="1:6" ht="28.5" x14ac:dyDescent="0.4">
      <c r="A241" s="3">
        <v>1431</v>
      </c>
      <c r="B241" s="3" t="str">
        <f t="shared" si="6"/>
        <v>1</v>
      </c>
      <c r="C241" s="4" t="s">
        <v>79</v>
      </c>
      <c r="D241" s="8" t="s">
        <v>1289</v>
      </c>
      <c r="E241" s="4" t="s">
        <v>3</v>
      </c>
      <c r="F241" s="2" t="str">
        <f t="shared" si="7"/>
        <v>Non-routine cognitive</v>
      </c>
    </row>
    <row r="242" spans="1:6" ht="28.5" x14ac:dyDescent="0.4">
      <c r="A242" s="3">
        <v>1431</v>
      </c>
      <c r="B242" s="3" t="str">
        <f t="shared" si="6"/>
        <v>1</v>
      </c>
      <c r="C242" s="4" t="s">
        <v>79</v>
      </c>
      <c r="D242" s="6" t="s">
        <v>80</v>
      </c>
      <c r="E242" s="4" t="s">
        <v>50</v>
      </c>
      <c r="F242" s="2" t="str">
        <f t="shared" si="7"/>
        <v>Routine cognitive</v>
      </c>
    </row>
    <row r="243" spans="1:6" ht="28.5" x14ac:dyDescent="0.4">
      <c r="A243" s="3">
        <v>1439</v>
      </c>
      <c r="B243" s="3" t="str">
        <f t="shared" si="6"/>
        <v>1</v>
      </c>
      <c r="C243" s="4" t="s">
        <v>81</v>
      </c>
      <c r="D243" s="13" t="s">
        <v>82</v>
      </c>
      <c r="E243" s="4" t="s">
        <v>3652</v>
      </c>
      <c r="F243" s="2" t="str">
        <f t="shared" si="7"/>
        <v>NA</v>
      </c>
    </row>
    <row r="244" spans="1:6" ht="42.75" x14ac:dyDescent="0.4">
      <c r="A244" s="3">
        <v>2132</v>
      </c>
      <c r="B244" s="3" t="str">
        <f t="shared" si="6"/>
        <v>2</v>
      </c>
      <c r="C244" s="4" t="s">
        <v>83</v>
      </c>
      <c r="D244" s="8" t="s">
        <v>1290</v>
      </c>
      <c r="E244" s="4" t="s">
        <v>4</v>
      </c>
      <c r="F244" s="2" t="str">
        <f t="shared" si="7"/>
        <v>Non-routine cognitive</v>
      </c>
    </row>
    <row r="245" spans="1:6" ht="28.5" x14ac:dyDescent="0.4">
      <c r="A245" s="3">
        <v>2132</v>
      </c>
      <c r="B245" s="3" t="str">
        <f t="shared" si="6"/>
        <v>2</v>
      </c>
      <c r="C245" s="4" t="s">
        <v>83</v>
      </c>
      <c r="D245" s="4" t="s">
        <v>84</v>
      </c>
      <c r="E245" s="4" t="s">
        <v>4</v>
      </c>
      <c r="F245" s="2" t="str">
        <f t="shared" si="7"/>
        <v>Non-routine cognitive</v>
      </c>
    </row>
    <row r="246" spans="1:6" ht="42.75" x14ac:dyDescent="0.4">
      <c r="A246" s="3">
        <v>2132</v>
      </c>
      <c r="B246" s="3" t="str">
        <f t="shared" si="6"/>
        <v>2</v>
      </c>
      <c r="C246" s="4" t="s">
        <v>83</v>
      </c>
      <c r="D246" s="8" t="s">
        <v>1291</v>
      </c>
      <c r="E246" s="4" t="s">
        <v>4</v>
      </c>
      <c r="F246" s="2" t="str">
        <f t="shared" si="7"/>
        <v>Non-routine cognitive</v>
      </c>
    </row>
    <row r="247" spans="1:6" ht="57" x14ac:dyDescent="0.4">
      <c r="A247" s="3">
        <v>2132</v>
      </c>
      <c r="B247" s="3" t="str">
        <f t="shared" si="6"/>
        <v>2</v>
      </c>
      <c r="C247" s="4" t="s">
        <v>83</v>
      </c>
      <c r="D247" s="8" t="s">
        <v>1292</v>
      </c>
      <c r="E247" s="4" t="s">
        <v>4</v>
      </c>
      <c r="F247" s="2" t="str">
        <f t="shared" si="7"/>
        <v>Non-routine cognitive</v>
      </c>
    </row>
    <row r="248" spans="1:6" ht="42.75" x14ac:dyDescent="0.4">
      <c r="A248" s="3">
        <v>2132</v>
      </c>
      <c r="B248" s="3" t="str">
        <f t="shared" si="6"/>
        <v>2</v>
      </c>
      <c r="C248" s="4" t="s">
        <v>83</v>
      </c>
      <c r="D248" s="8" t="s">
        <v>1293</v>
      </c>
      <c r="E248" s="4" t="s">
        <v>4</v>
      </c>
      <c r="F248" s="2" t="str">
        <f t="shared" si="7"/>
        <v>Non-routine cognitive</v>
      </c>
    </row>
    <row r="249" spans="1:6" ht="42.75" x14ac:dyDescent="0.4">
      <c r="A249" s="3">
        <v>2132</v>
      </c>
      <c r="B249" s="3" t="str">
        <f t="shared" si="6"/>
        <v>2</v>
      </c>
      <c r="C249" s="4" t="s">
        <v>83</v>
      </c>
      <c r="D249" s="5" t="s">
        <v>1294</v>
      </c>
      <c r="E249" s="4" t="s">
        <v>4</v>
      </c>
      <c r="F249" s="2" t="str">
        <f t="shared" si="7"/>
        <v>Non-routine cognitive</v>
      </c>
    </row>
    <row r="250" spans="1:6" ht="42.75" x14ac:dyDescent="0.4">
      <c r="A250" s="3">
        <v>2132</v>
      </c>
      <c r="B250" s="3" t="str">
        <f t="shared" si="6"/>
        <v>2</v>
      </c>
      <c r="C250" s="4" t="s">
        <v>83</v>
      </c>
      <c r="D250" s="5" t="s">
        <v>1295</v>
      </c>
      <c r="E250" s="4" t="s">
        <v>4</v>
      </c>
      <c r="F250" s="2" t="str">
        <f t="shared" si="7"/>
        <v>Non-routine cognitive</v>
      </c>
    </row>
    <row r="251" spans="1:6" ht="42.75" x14ac:dyDescent="0.4">
      <c r="A251" s="3">
        <v>2132</v>
      </c>
      <c r="B251" s="3" t="str">
        <f t="shared" si="6"/>
        <v>2</v>
      </c>
      <c r="C251" s="4" t="s">
        <v>83</v>
      </c>
      <c r="D251" s="10" t="s">
        <v>1296</v>
      </c>
      <c r="E251" s="4" t="s">
        <v>4</v>
      </c>
      <c r="F251" s="2" t="str">
        <f t="shared" si="7"/>
        <v>Non-routine cognitive</v>
      </c>
    </row>
    <row r="252" spans="1:6" ht="42.75" x14ac:dyDescent="0.4">
      <c r="A252" s="3">
        <v>2132</v>
      </c>
      <c r="B252" s="3" t="str">
        <f t="shared" si="6"/>
        <v>2</v>
      </c>
      <c r="C252" s="4" t="s">
        <v>83</v>
      </c>
      <c r="D252" s="8" t="s">
        <v>1297</v>
      </c>
      <c r="E252" s="4" t="s">
        <v>3</v>
      </c>
      <c r="F252" s="2" t="str">
        <f t="shared" si="7"/>
        <v>Non-routine cognitive</v>
      </c>
    </row>
    <row r="253" spans="1:6" ht="42.75" x14ac:dyDescent="0.4">
      <c r="A253" s="3">
        <v>2132</v>
      </c>
      <c r="B253" s="3" t="str">
        <f t="shared" si="6"/>
        <v>2</v>
      </c>
      <c r="C253" s="4" t="s">
        <v>83</v>
      </c>
      <c r="D253" s="8" t="s">
        <v>1298</v>
      </c>
      <c r="E253" s="4" t="s">
        <v>4</v>
      </c>
      <c r="F253" s="2" t="str">
        <f t="shared" si="7"/>
        <v>Non-routine cognitive</v>
      </c>
    </row>
    <row r="254" spans="1:6" ht="57" x14ac:dyDescent="0.4">
      <c r="A254" s="3">
        <v>2132</v>
      </c>
      <c r="B254" s="3" t="str">
        <f t="shared" si="6"/>
        <v>2</v>
      </c>
      <c r="C254" s="4" t="s">
        <v>83</v>
      </c>
      <c r="D254" s="5" t="s">
        <v>1299</v>
      </c>
      <c r="E254" s="4" t="s">
        <v>3</v>
      </c>
      <c r="F254" s="2" t="str">
        <f t="shared" si="7"/>
        <v>Non-routine cognitive</v>
      </c>
    </row>
    <row r="255" spans="1:6" ht="42.75" x14ac:dyDescent="0.4">
      <c r="A255" s="3">
        <v>2132</v>
      </c>
      <c r="B255" s="3" t="str">
        <f t="shared" si="6"/>
        <v>2</v>
      </c>
      <c r="C255" s="4" t="s">
        <v>83</v>
      </c>
      <c r="D255" s="5" t="s">
        <v>1300</v>
      </c>
      <c r="E255" s="4" t="s">
        <v>3</v>
      </c>
      <c r="F255" s="2" t="str">
        <f t="shared" si="7"/>
        <v>Non-routine cognitive</v>
      </c>
    </row>
    <row r="256" spans="1:6" ht="57" x14ac:dyDescent="0.4">
      <c r="A256" s="3">
        <v>2141</v>
      </c>
      <c r="B256" s="3" t="str">
        <f t="shared" si="6"/>
        <v>2</v>
      </c>
      <c r="C256" s="4" t="s">
        <v>85</v>
      </c>
      <c r="D256" s="5" t="s">
        <v>1301</v>
      </c>
      <c r="E256" s="4" t="s">
        <v>4</v>
      </c>
      <c r="F256" s="2" t="str">
        <f t="shared" si="7"/>
        <v>Non-routine cognitive</v>
      </c>
    </row>
    <row r="257" spans="1:6" ht="42.75" x14ac:dyDescent="0.4">
      <c r="A257" s="3">
        <v>2141</v>
      </c>
      <c r="B257" s="3" t="str">
        <f t="shared" si="6"/>
        <v>2</v>
      </c>
      <c r="C257" s="4" t="s">
        <v>85</v>
      </c>
      <c r="D257" s="5" t="s">
        <v>1302</v>
      </c>
      <c r="E257" s="4" t="s">
        <v>4</v>
      </c>
      <c r="F257" s="2" t="str">
        <f t="shared" si="7"/>
        <v>Non-routine cognitive</v>
      </c>
    </row>
    <row r="258" spans="1:6" ht="57" x14ac:dyDescent="0.4">
      <c r="A258" s="3">
        <v>2141</v>
      </c>
      <c r="B258" s="3" t="str">
        <f t="shared" si="6"/>
        <v>2</v>
      </c>
      <c r="C258" s="4" t="s">
        <v>85</v>
      </c>
      <c r="D258" s="5" t="s">
        <v>1303</v>
      </c>
      <c r="E258" s="4" t="s">
        <v>4</v>
      </c>
      <c r="F258" s="2" t="str">
        <f t="shared" si="7"/>
        <v>Non-routine cognitive</v>
      </c>
    </row>
    <row r="259" spans="1:6" ht="42.75" x14ac:dyDescent="0.4">
      <c r="A259" s="3">
        <v>2141</v>
      </c>
      <c r="B259" s="3" t="str">
        <f t="shared" ref="B259:B322" si="8">LEFT(A259,1)</f>
        <v>2</v>
      </c>
      <c r="C259" s="4" t="s">
        <v>85</v>
      </c>
      <c r="D259" s="5" t="s">
        <v>1304</v>
      </c>
      <c r="E259" s="4" t="s">
        <v>4</v>
      </c>
      <c r="F259" s="2" t="str">
        <f t="shared" ref="F259:F322" si="9">IF(E259="Non-routine interpersonal","Non-routine cognitive",IF(E259="Non-routine analytical","Non-routine cognitive",IF(E259="Non-routine manual physical","Non-routine manual",E259)))</f>
        <v>Non-routine cognitive</v>
      </c>
    </row>
    <row r="260" spans="1:6" ht="42.75" x14ac:dyDescent="0.4">
      <c r="A260" s="3">
        <v>2141</v>
      </c>
      <c r="B260" s="3" t="str">
        <f t="shared" si="8"/>
        <v>2</v>
      </c>
      <c r="C260" s="4" t="s">
        <v>85</v>
      </c>
      <c r="D260" s="5" t="s">
        <v>1305</v>
      </c>
      <c r="E260" s="4" t="s">
        <v>3</v>
      </c>
      <c r="F260" s="2" t="str">
        <f t="shared" si="9"/>
        <v>Non-routine cognitive</v>
      </c>
    </row>
    <row r="261" spans="1:6" ht="42.75" x14ac:dyDescent="0.4">
      <c r="A261" s="3">
        <v>2141</v>
      </c>
      <c r="B261" s="3" t="str">
        <f t="shared" si="8"/>
        <v>2</v>
      </c>
      <c r="C261" s="4" t="s">
        <v>85</v>
      </c>
      <c r="D261" s="5" t="s">
        <v>1306</v>
      </c>
      <c r="E261" s="4" t="s">
        <v>4</v>
      </c>
      <c r="F261" s="2" t="str">
        <f t="shared" si="9"/>
        <v>Non-routine cognitive</v>
      </c>
    </row>
    <row r="262" spans="1:6" ht="28.5" x14ac:dyDescent="0.4">
      <c r="A262" s="3">
        <v>2141</v>
      </c>
      <c r="B262" s="3" t="str">
        <f t="shared" si="8"/>
        <v>2</v>
      </c>
      <c r="C262" s="4" t="s">
        <v>85</v>
      </c>
      <c r="D262" s="11" t="s">
        <v>1307</v>
      </c>
      <c r="E262" s="4" t="s">
        <v>50</v>
      </c>
      <c r="F262" s="2" t="str">
        <f t="shared" si="9"/>
        <v>Routine cognitive</v>
      </c>
    </row>
    <row r="263" spans="1:6" ht="42.75" x14ac:dyDescent="0.4">
      <c r="A263" s="3">
        <v>2141</v>
      </c>
      <c r="B263" s="3" t="str">
        <f t="shared" si="8"/>
        <v>2</v>
      </c>
      <c r="C263" s="4" t="s">
        <v>85</v>
      </c>
      <c r="D263" s="5" t="s">
        <v>1308</v>
      </c>
      <c r="E263" s="4" t="s">
        <v>3</v>
      </c>
      <c r="F263" s="2" t="str">
        <f t="shared" si="9"/>
        <v>Non-routine cognitive</v>
      </c>
    </row>
    <row r="264" spans="1:6" ht="28.5" x14ac:dyDescent="0.4">
      <c r="A264" s="3">
        <v>2141</v>
      </c>
      <c r="B264" s="3" t="str">
        <f t="shared" si="8"/>
        <v>2</v>
      </c>
      <c r="C264" s="4" t="s">
        <v>85</v>
      </c>
      <c r="D264" s="6" t="s">
        <v>86</v>
      </c>
      <c r="E264" s="4" t="s">
        <v>4</v>
      </c>
      <c r="F264" s="2" t="str">
        <f t="shared" si="9"/>
        <v>Non-routine cognitive</v>
      </c>
    </row>
    <row r="265" spans="1:6" ht="42.75" x14ac:dyDescent="0.4">
      <c r="A265" s="3">
        <v>2141</v>
      </c>
      <c r="B265" s="3" t="str">
        <f t="shared" si="8"/>
        <v>2</v>
      </c>
      <c r="C265" s="4" t="s">
        <v>85</v>
      </c>
      <c r="D265" s="5" t="s">
        <v>1309</v>
      </c>
      <c r="E265" s="4" t="s">
        <v>50</v>
      </c>
      <c r="F265" s="2" t="str">
        <f t="shared" si="9"/>
        <v>Routine cognitive</v>
      </c>
    </row>
    <row r="266" spans="1:6" ht="42.75" x14ac:dyDescent="0.4">
      <c r="A266" s="3">
        <v>2142</v>
      </c>
      <c r="B266" s="3" t="str">
        <f t="shared" si="8"/>
        <v>2</v>
      </c>
      <c r="C266" s="4" t="s">
        <v>87</v>
      </c>
      <c r="D266" s="8" t="s">
        <v>1310</v>
      </c>
      <c r="E266" s="4" t="s">
        <v>4</v>
      </c>
      <c r="F266" s="2" t="str">
        <f t="shared" si="9"/>
        <v>Non-routine cognitive</v>
      </c>
    </row>
    <row r="267" spans="1:6" ht="57" x14ac:dyDescent="0.4">
      <c r="A267" s="3">
        <v>2142</v>
      </c>
      <c r="B267" s="3" t="str">
        <f t="shared" si="8"/>
        <v>2</v>
      </c>
      <c r="C267" s="4" t="s">
        <v>87</v>
      </c>
      <c r="D267" s="8" t="s">
        <v>1311</v>
      </c>
      <c r="E267" s="4" t="s">
        <v>4</v>
      </c>
      <c r="F267" s="2" t="str">
        <f t="shared" si="9"/>
        <v>Non-routine cognitive</v>
      </c>
    </row>
    <row r="268" spans="1:6" ht="42.75" x14ac:dyDescent="0.4">
      <c r="A268" s="3">
        <v>2142</v>
      </c>
      <c r="B268" s="3" t="str">
        <f t="shared" si="8"/>
        <v>2</v>
      </c>
      <c r="C268" s="4" t="s">
        <v>87</v>
      </c>
      <c r="D268" s="5" t="s">
        <v>1312</v>
      </c>
      <c r="E268" s="4" t="s">
        <v>4</v>
      </c>
      <c r="F268" s="2" t="str">
        <f t="shared" si="9"/>
        <v>Non-routine cognitive</v>
      </c>
    </row>
    <row r="269" spans="1:6" ht="42.75" x14ac:dyDescent="0.4">
      <c r="A269" s="3">
        <v>2142</v>
      </c>
      <c r="B269" s="3" t="str">
        <f t="shared" si="8"/>
        <v>2</v>
      </c>
      <c r="C269" s="4" t="s">
        <v>87</v>
      </c>
      <c r="D269" s="5" t="s">
        <v>1313</v>
      </c>
      <c r="E269" s="4" t="s">
        <v>4</v>
      </c>
      <c r="F269" s="2" t="str">
        <f t="shared" si="9"/>
        <v>Non-routine cognitive</v>
      </c>
    </row>
    <row r="270" spans="1:6" ht="42.75" x14ac:dyDescent="0.4">
      <c r="A270" s="3">
        <v>2142</v>
      </c>
      <c r="B270" s="3" t="str">
        <f t="shared" si="8"/>
        <v>2</v>
      </c>
      <c r="C270" s="4" t="s">
        <v>87</v>
      </c>
      <c r="D270" s="8" t="s">
        <v>1314</v>
      </c>
      <c r="E270" s="4" t="s">
        <v>3</v>
      </c>
      <c r="F270" s="2" t="str">
        <f t="shared" si="9"/>
        <v>Non-routine cognitive</v>
      </c>
    </row>
    <row r="271" spans="1:6" ht="42.75" x14ac:dyDescent="0.4">
      <c r="A271" s="3">
        <v>2142</v>
      </c>
      <c r="B271" s="3" t="str">
        <f t="shared" si="8"/>
        <v>2</v>
      </c>
      <c r="C271" s="4" t="s">
        <v>87</v>
      </c>
      <c r="D271" s="8" t="s">
        <v>1315</v>
      </c>
      <c r="E271" s="4" t="s">
        <v>4</v>
      </c>
      <c r="F271" s="2" t="str">
        <f t="shared" si="9"/>
        <v>Non-routine cognitive</v>
      </c>
    </row>
    <row r="272" spans="1:6" ht="57" x14ac:dyDescent="0.4">
      <c r="A272" s="3">
        <v>2142</v>
      </c>
      <c r="B272" s="3" t="str">
        <f t="shared" si="8"/>
        <v>2</v>
      </c>
      <c r="C272" s="4" t="s">
        <v>87</v>
      </c>
      <c r="D272" s="5" t="s">
        <v>1316</v>
      </c>
      <c r="E272" s="4" t="s">
        <v>4</v>
      </c>
      <c r="F272" s="2" t="str">
        <f t="shared" si="9"/>
        <v>Non-routine cognitive</v>
      </c>
    </row>
    <row r="273" spans="1:6" ht="28.5" x14ac:dyDescent="0.4">
      <c r="A273" s="3">
        <v>2144</v>
      </c>
      <c r="B273" s="3" t="str">
        <f t="shared" si="8"/>
        <v>2</v>
      </c>
      <c r="C273" s="4" t="s">
        <v>88</v>
      </c>
      <c r="D273" s="8" t="s">
        <v>1317</v>
      </c>
      <c r="E273" s="4" t="s">
        <v>4</v>
      </c>
      <c r="F273" s="2" t="str">
        <f t="shared" si="9"/>
        <v>Non-routine cognitive</v>
      </c>
    </row>
    <row r="274" spans="1:6" ht="57" x14ac:dyDescent="0.4">
      <c r="A274" s="3">
        <v>2144</v>
      </c>
      <c r="B274" s="3" t="str">
        <f t="shared" si="8"/>
        <v>2</v>
      </c>
      <c r="C274" s="4" t="s">
        <v>88</v>
      </c>
      <c r="D274" s="5" t="s">
        <v>1318</v>
      </c>
      <c r="E274" s="4" t="s">
        <v>4</v>
      </c>
      <c r="F274" s="2" t="str">
        <f t="shared" si="9"/>
        <v>Non-routine cognitive</v>
      </c>
    </row>
    <row r="275" spans="1:6" ht="57" x14ac:dyDescent="0.4">
      <c r="A275" s="3">
        <v>2144</v>
      </c>
      <c r="B275" s="3" t="str">
        <f t="shared" si="8"/>
        <v>2</v>
      </c>
      <c r="C275" s="4" t="s">
        <v>88</v>
      </c>
      <c r="D275" s="5" t="s">
        <v>3657</v>
      </c>
      <c r="E275" s="4" t="s">
        <v>4</v>
      </c>
      <c r="F275" s="2" t="str">
        <f t="shared" si="9"/>
        <v>Non-routine cognitive</v>
      </c>
    </row>
    <row r="276" spans="1:6" ht="57" x14ac:dyDescent="0.4">
      <c r="A276" s="3">
        <v>2144</v>
      </c>
      <c r="B276" s="3" t="str">
        <f t="shared" si="8"/>
        <v>2</v>
      </c>
      <c r="C276" s="4" t="s">
        <v>88</v>
      </c>
      <c r="D276" s="8" t="s">
        <v>1319</v>
      </c>
      <c r="E276" s="4" t="s">
        <v>4</v>
      </c>
      <c r="F276" s="2" t="str">
        <f t="shared" si="9"/>
        <v>Non-routine cognitive</v>
      </c>
    </row>
    <row r="277" spans="1:6" ht="57" x14ac:dyDescent="0.4">
      <c r="A277" s="3">
        <v>2144</v>
      </c>
      <c r="B277" s="3" t="str">
        <f t="shared" si="8"/>
        <v>2</v>
      </c>
      <c r="C277" s="4" t="s">
        <v>88</v>
      </c>
      <c r="D277" s="5" t="s">
        <v>1320</v>
      </c>
      <c r="E277" s="4" t="s">
        <v>4</v>
      </c>
      <c r="F277" s="2" t="str">
        <f t="shared" si="9"/>
        <v>Non-routine cognitive</v>
      </c>
    </row>
    <row r="278" spans="1:6" ht="42.75" x14ac:dyDescent="0.4">
      <c r="A278" s="3">
        <v>2144</v>
      </c>
      <c r="B278" s="3" t="str">
        <f t="shared" si="8"/>
        <v>2</v>
      </c>
      <c r="C278" s="4" t="s">
        <v>88</v>
      </c>
      <c r="D278" s="5" t="s">
        <v>1321</v>
      </c>
      <c r="E278" s="4" t="s">
        <v>4</v>
      </c>
      <c r="F278" s="2" t="str">
        <f t="shared" si="9"/>
        <v>Non-routine cognitive</v>
      </c>
    </row>
    <row r="279" spans="1:6" ht="42.75" x14ac:dyDescent="0.4">
      <c r="A279" s="3">
        <v>2144</v>
      </c>
      <c r="B279" s="3" t="str">
        <f t="shared" si="8"/>
        <v>2</v>
      </c>
      <c r="C279" s="4" t="s">
        <v>88</v>
      </c>
      <c r="D279" s="5" t="s">
        <v>1322</v>
      </c>
      <c r="E279" s="4" t="s">
        <v>50</v>
      </c>
      <c r="F279" s="2" t="str">
        <f t="shared" si="9"/>
        <v>Routine cognitive</v>
      </c>
    </row>
    <row r="280" spans="1:6" ht="57" x14ac:dyDescent="0.4">
      <c r="A280" s="3">
        <v>2149</v>
      </c>
      <c r="B280" s="3" t="str">
        <f t="shared" si="8"/>
        <v>2</v>
      </c>
      <c r="C280" s="4" t="s">
        <v>89</v>
      </c>
      <c r="D280" s="5" t="s">
        <v>1323</v>
      </c>
      <c r="E280" s="4" t="s">
        <v>4</v>
      </c>
      <c r="F280" s="2" t="str">
        <f t="shared" si="9"/>
        <v>Non-routine cognitive</v>
      </c>
    </row>
    <row r="281" spans="1:6" ht="42.75" x14ac:dyDescent="0.4">
      <c r="A281" s="3">
        <v>2149</v>
      </c>
      <c r="B281" s="3" t="str">
        <f t="shared" si="8"/>
        <v>2</v>
      </c>
      <c r="C281" s="4" t="s">
        <v>89</v>
      </c>
      <c r="D281" s="6" t="s">
        <v>3645</v>
      </c>
      <c r="E281" s="4" t="s">
        <v>4</v>
      </c>
      <c r="F281" s="2" t="str">
        <f t="shared" si="9"/>
        <v>Non-routine cognitive</v>
      </c>
    </row>
    <row r="282" spans="1:6" ht="42.75" x14ac:dyDescent="0.4">
      <c r="A282" s="3">
        <v>2149</v>
      </c>
      <c r="B282" s="3" t="str">
        <f t="shared" si="8"/>
        <v>2</v>
      </c>
      <c r="C282" s="4" t="s">
        <v>89</v>
      </c>
      <c r="D282" s="5" t="s">
        <v>1324</v>
      </c>
      <c r="E282" s="4" t="s">
        <v>4</v>
      </c>
      <c r="F282" s="2" t="str">
        <f t="shared" si="9"/>
        <v>Non-routine cognitive</v>
      </c>
    </row>
    <row r="283" spans="1:6" ht="42.75" x14ac:dyDescent="0.4">
      <c r="A283" s="3">
        <v>2149</v>
      </c>
      <c r="B283" s="3" t="str">
        <f t="shared" si="8"/>
        <v>2</v>
      </c>
      <c r="C283" s="4" t="s">
        <v>89</v>
      </c>
      <c r="D283" s="5" t="s">
        <v>1325</v>
      </c>
      <c r="E283" s="4" t="s">
        <v>4</v>
      </c>
      <c r="F283" s="2" t="str">
        <f t="shared" si="9"/>
        <v>Non-routine cognitive</v>
      </c>
    </row>
    <row r="284" spans="1:6" ht="57" x14ac:dyDescent="0.4">
      <c r="A284" s="3">
        <v>2149</v>
      </c>
      <c r="B284" s="3" t="str">
        <f t="shared" si="8"/>
        <v>2</v>
      </c>
      <c r="C284" s="4" t="s">
        <v>89</v>
      </c>
      <c r="D284" s="5" t="s">
        <v>1326</v>
      </c>
      <c r="E284" s="4" t="s">
        <v>3</v>
      </c>
      <c r="F284" s="2" t="str">
        <f t="shared" si="9"/>
        <v>Non-routine cognitive</v>
      </c>
    </row>
    <row r="285" spans="1:6" ht="42.75" x14ac:dyDescent="0.4">
      <c r="A285" s="3">
        <v>2149</v>
      </c>
      <c r="B285" s="3" t="str">
        <f t="shared" si="8"/>
        <v>2</v>
      </c>
      <c r="C285" s="4" t="s">
        <v>89</v>
      </c>
      <c r="D285" s="5" t="s">
        <v>1327</v>
      </c>
      <c r="E285" s="4" t="s">
        <v>4</v>
      </c>
      <c r="F285" s="2" t="str">
        <f t="shared" si="9"/>
        <v>Non-routine cognitive</v>
      </c>
    </row>
    <row r="286" spans="1:6" ht="28.5" x14ac:dyDescent="0.4">
      <c r="A286" s="3">
        <v>2149</v>
      </c>
      <c r="B286" s="3" t="str">
        <f t="shared" si="8"/>
        <v>2</v>
      </c>
      <c r="C286" s="4" t="s">
        <v>89</v>
      </c>
      <c r="D286" s="7" t="s">
        <v>90</v>
      </c>
      <c r="E286" s="4" t="s">
        <v>4</v>
      </c>
      <c r="F286" s="2" t="str">
        <f t="shared" si="9"/>
        <v>Non-routine cognitive</v>
      </c>
    </row>
    <row r="287" spans="1:6" ht="42.75" x14ac:dyDescent="0.4">
      <c r="A287" s="3">
        <v>2149</v>
      </c>
      <c r="B287" s="3" t="str">
        <f t="shared" si="8"/>
        <v>2</v>
      </c>
      <c r="C287" s="4" t="s">
        <v>89</v>
      </c>
      <c r="D287" s="8" t="s">
        <v>1328</v>
      </c>
      <c r="E287" s="4" t="s">
        <v>4</v>
      </c>
      <c r="F287" s="2" t="str">
        <f t="shared" si="9"/>
        <v>Non-routine cognitive</v>
      </c>
    </row>
    <row r="288" spans="1:6" ht="28.5" x14ac:dyDescent="0.4">
      <c r="A288" s="3">
        <v>2149</v>
      </c>
      <c r="B288" s="3" t="str">
        <f t="shared" si="8"/>
        <v>2</v>
      </c>
      <c r="C288" s="4" t="s">
        <v>89</v>
      </c>
      <c r="D288" s="8" t="s">
        <v>1329</v>
      </c>
      <c r="E288" s="4" t="s">
        <v>4</v>
      </c>
      <c r="F288" s="2" t="str">
        <f t="shared" si="9"/>
        <v>Non-routine cognitive</v>
      </c>
    </row>
    <row r="289" spans="1:6" ht="28.5" x14ac:dyDescent="0.4">
      <c r="A289" s="3">
        <v>2151</v>
      </c>
      <c r="B289" s="3" t="str">
        <f t="shared" si="8"/>
        <v>2</v>
      </c>
      <c r="C289" s="4" t="s">
        <v>91</v>
      </c>
      <c r="D289" s="6" t="s">
        <v>92</v>
      </c>
      <c r="E289" s="4" t="s">
        <v>4</v>
      </c>
      <c r="F289" s="2" t="str">
        <f t="shared" si="9"/>
        <v>Non-routine cognitive</v>
      </c>
    </row>
    <row r="290" spans="1:6" ht="42.75" x14ac:dyDescent="0.4">
      <c r="A290" s="3">
        <v>2151</v>
      </c>
      <c r="B290" s="3" t="str">
        <f t="shared" si="8"/>
        <v>2</v>
      </c>
      <c r="C290" s="4" t="s">
        <v>91</v>
      </c>
      <c r="D290" s="5" t="s">
        <v>1330</v>
      </c>
      <c r="E290" s="4" t="s">
        <v>3</v>
      </c>
      <c r="F290" s="2" t="str">
        <f t="shared" si="9"/>
        <v>Non-routine cognitive</v>
      </c>
    </row>
    <row r="291" spans="1:6" ht="57" x14ac:dyDescent="0.4">
      <c r="A291" s="3">
        <v>2151</v>
      </c>
      <c r="B291" s="3" t="str">
        <f t="shared" si="8"/>
        <v>2</v>
      </c>
      <c r="C291" s="4" t="s">
        <v>91</v>
      </c>
      <c r="D291" s="5" t="s">
        <v>1331</v>
      </c>
      <c r="E291" s="4" t="s">
        <v>4</v>
      </c>
      <c r="F291" s="2" t="str">
        <f t="shared" si="9"/>
        <v>Non-routine cognitive</v>
      </c>
    </row>
    <row r="292" spans="1:6" ht="42.75" x14ac:dyDescent="0.4">
      <c r="A292" s="3">
        <v>2151</v>
      </c>
      <c r="B292" s="3" t="str">
        <f t="shared" si="8"/>
        <v>2</v>
      </c>
      <c r="C292" s="4" t="s">
        <v>91</v>
      </c>
      <c r="D292" s="8" t="s">
        <v>1332</v>
      </c>
      <c r="E292" s="4" t="s">
        <v>4</v>
      </c>
      <c r="F292" s="2" t="str">
        <f t="shared" si="9"/>
        <v>Non-routine cognitive</v>
      </c>
    </row>
    <row r="293" spans="1:6" ht="42.75" x14ac:dyDescent="0.4">
      <c r="A293" s="3">
        <v>2151</v>
      </c>
      <c r="B293" s="3" t="str">
        <f t="shared" si="8"/>
        <v>2</v>
      </c>
      <c r="C293" s="4" t="s">
        <v>91</v>
      </c>
      <c r="D293" s="8" t="s">
        <v>1333</v>
      </c>
      <c r="E293" s="4" t="s">
        <v>4</v>
      </c>
      <c r="F293" s="2" t="str">
        <f t="shared" si="9"/>
        <v>Non-routine cognitive</v>
      </c>
    </row>
    <row r="294" spans="1:6" ht="42.75" x14ac:dyDescent="0.4">
      <c r="A294" s="3">
        <v>2151</v>
      </c>
      <c r="B294" s="3" t="str">
        <f t="shared" si="8"/>
        <v>2</v>
      </c>
      <c r="C294" s="4" t="s">
        <v>91</v>
      </c>
      <c r="D294" s="5" t="s">
        <v>1334</v>
      </c>
      <c r="E294" s="4" t="s">
        <v>4</v>
      </c>
      <c r="F294" s="2" t="str">
        <f t="shared" si="9"/>
        <v>Non-routine cognitive</v>
      </c>
    </row>
    <row r="295" spans="1:6" ht="28.5" x14ac:dyDescent="0.4">
      <c r="A295" s="3">
        <v>2161</v>
      </c>
      <c r="B295" s="3" t="str">
        <f t="shared" si="8"/>
        <v>2</v>
      </c>
      <c r="C295" s="4" t="s">
        <v>93</v>
      </c>
      <c r="D295" s="11" t="s">
        <v>1335</v>
      </c>
      <c r="E295" s="4" t="s">
        <v>4</v>
      </c>
      <c r="F295" s="2" t="str">
        <f t="shared" si="9"/>
        <v>Non-routine cognitive</v>
      </c>
    </row>
    <row r="296" spans="1:6" ht="57" x14ac:dyDescent="0.4">
      <c r="A296" s="3">
        <v>2161</v>
      </c>
      <c r="B296" s="3" t="str">
        <f t="shared" si="8"/>
        <v>2</v>
      </c>
      <c r="C296" s="4" t="s">
        <v>93</v>
      </c>
      <c r="D296" s="5" t="s">
        <v>1336</v>
      </c>
      <c r="E296" s="4" t="s">
        <v>50</v>
      </c>
      <c r="F296" s="2" t="str">
        <f t="shared" si="9"/>
        <v>Routine cognitive</v>
      </c>
    </row>
    <row r="297" spans="1:6" ht="28.5" x14ac:dyDescent="0.4">
      <c r="A297" s="3">
        <v>2161</v>
      </c>
      <c r="B297" s="3" t="str">
        <f t="shared" si="8"/>
        <v>2</v>
      </c>
      <c r="C297" s="4" t="s">
        <v>93</v>
      </c>
      <c r="D297" s="8" t="s">
        <v>1337</v>
      </c>
      <c r="E297" s="4" t="s">
        <v>4</v>
      </c>
      <c r="F297" s="2" t="str">
        <f t="shared" si="9"/>
        <v>Non-routine cognitive</v>
      </c>
    </row>
    <row r="298" spans="1:6" ht="57" x14ac:dyDescent="0.4">
      <c r="A298" s="3">
        <v>2161</v>
      </c>
      <c r="B298" s="3" t="str">
        <f t="shared" si="8"/>
        <v>2</v>
      </c>
      <c r="C298" s="4" t="s">
        <v>93</v>
      </c>
      <c r="D298" s="5" t="s">
        <v>1338</v>
      </c>
      <c r="E298" s="4" t="s">
        <v>4</v>
      </c>
      <c r="F298" s="2" t="str">
        <f t="shared" si="9"/>
        <v>Non-routine cognitive</v>
      </c>
    </row>
    <row r="299" spans="1:6" ht="42.75" x14ac:dyDescent="0.4">
      <c r="A299" s="3">
        <v>2161</v>
      </c>
      <c r="B299" s="3" t="str">
        <f t="shared" si="8"/>
        <v>2</v>
      </c>
      <c r="C299" s="4" t="s">
        <v>93</v>
      </c>
      <c r="D299" s="5" t="s">
        <v>1339</v>
      </c>
      <c r="E299" s="4" t="s">
        <v>50</v>
      </c>
      <c r="F299" s="2" t="str">
        <f t="shared" si="9"/>
        <v>Routine cognitive</v>
      </c>
    </row>
    <row r="300" spans="1:6" ht="42.75" x14ac:dyDescent="0.4">
      <c r="A300" s="3">
        <v>2161</v>
      </c>
      <c r="B300" s="3" t="str">
        <f t="shared" si="8"/>
        <v>2</v>
      </c>
      <c r="C300" s="4" t="s">
        <v>93</v>
      </c>
      <c r="D300" s="5" t="s">
        <v>1340</v>
      </c>
      <c r="E300" s="4" t="s">
        <v>3</v>
      </c>
      <c r="F300" s="2" t="str">
        <f t="shared" si="9"/>
        <v>Non-routine cognitive</v>
      </c>
    </row>
    <row r="301" spans="1:6" ht="57" x14ac:dyDescent="0.4">
      <c r="A301" s="3">
        <v>2161</v>
      </c>
      <c r="B301" s="3" t="str">
        <f t="shared" si="8"/>
        <v>2</v>
      </c>
      <c r="C301" s="4" t="s">
        <v>93</v>
      </c>
      <c r="D301" s="5" t="s">
        <v>1341</v>
      </c>
      <c r="E301" s="4" t="s">
        <v>4</v>
      </c>
      <c r="F301" s="2" t="str">
        <f t="shared" si="9"/>
        <v>Non-routine cognitive</v>
      </c>
    </row>
    <row r="302" spans="1:6" ht="42.75" x14ac:dyDescent="0.4">
      <c r="A302" s="3">
        <v>2161</v>
      </c>
      <c r="B302" s="3" t="str">
        <f t="shared" si="8"/>
        <v>2</v>
      </c>
      <c r="C302" s="4" t="s">
        <v>93</v>
      </c>
      <c r="D302" s="5" t="s">
        <v>1342</v>
      </c>
      <c r="E302" s="4" t="s">
        <v>50</v>
      </c>
      <c r="F302" s="2" t="str">
        <f t="shared" si="9"/>
        <v>Routine cognitive</v>
      </c>
    </row>
    <row r="303" spans="1:6" ht="28.5" x14ac:dyDescent="0.4">
      <c r="A303" s="3">
        <v>2161</v>
      </c>
      <c r="B303" s="3" t="str">
        <f t="shared" si="8"/>
        <v>2</v>
      </c>
      <c r="C303" s="4" t="s">
        <v>93</v>
      </c>
      <c r="D303" s="8" t="s">
        <v>1343</v>
      </c>
      <c r="E303" s="4" t="s">
        <v>3</v>
      </c>
      <c r="F303" s="2" t="str">
        <f t="shared" si="9"/>
        <v>Non-routine cognitive</v>
      </c>
    </row>
    <row r="304" spans="1:6" ht="42.75" x14ac:dyDescent="0.4">
      <c r="A304" s="3">
        <v>2162</v>
      </c>
      <c r="B304" s="3" t="str">
        <f t="shared" si="8"/>
        <v>2</v>
      </c>
      <c r="C304" s="4" t="s">
        <v>94</v>
      </c>
      <c r="D304" s="8" t="s">
        <v>1344</v>
      </c>
      <c r="E304" s="4" t="s">
        <v>4</v>
      </c>
      <c r="F304" s="2" t="str">
        <f t="shared" si="9"/>
        <v>Non-routine cognitive</v>
      </c>
    </row>
    <row r="305" spans="1:6" ht="42.75" x14ac:dyDescent="0.4">
      <c r="A305" s="3">
        <v>2162</v>
      </c>
      <c r="B305" s="3" t="str">
        <f t="shared" si="8"/>
        <v>2</v>
      </c>
      <c r="C305" s="4" t="s">
        <v>94</v>
      </c>
      <c r="D305" s="5" t="s">
        <v>1345</v>
      </c>
      <c r="E305" s="4" t="s">
        <v>50</v>
      </c>
      <c r="F305" s="2" t="str">
        <f t="shared" si="9"/>
        <v>Routine cognitive</v>
      </c>
    </row>
    <row r="306" spans="1:6" ht="85.5" x14ac:dyDescent="0.4">
      <c r="A306" s="3">
        <v>2162</v>
      </c>
      <c r="B306" s="3" t="str">
        <f t="shared" si="8"/>
        <v>2</v>
      </c>
      <c r="C306" s="4" t="s">
        <v>94</v>
      </c>
      <c r="D306" s="5" t="s">
        <v>1346</v>
      </c>
      <c r="E306" s="4" t="s">
        <v>4</v>
      </c>
      <c r="F306" s="2" t="str">
        <f t="shared" si="9"/>
        <v>Non-routine cognitive</v>
      </c>
    </row>
    <row r="307" spans="1:6" ht="57" x14ac:dyDescent="0.4">
      <c r="A307" s="3">
        <v>2162</v>
      </c>
      <c r="B307" s="3" t="str">
        <f t="shared" si="8"/>
        <v>2</v>
      </c>
      <c r="C307" s="4" t="s">
        <v>94</v>
      </c>
      <c r="D307" s="5" t="s">
        <v>1347</v>
      </c>
      <c r="E307" s="4" t="s">
        <v>4</v>
      </c>
      <c r="F307" s="2" t="str">
        <f t="shared" si="9"/>
        <v>Non-routine cognitive</v>
      </c>
    </row>
    <row r="308" spans="1:6" ht="42.75" x14ac:dyDescent="0.4">
      <c r="A308" s="3">
        <v>2162</v>
      </c>
      <c r="B308" s="3" t="str">
        <f t="shared" si="8"/>
        <v>2</v>
      </c>
      <c r="C308" s="4" t="s">
        <v>94</v>
      </c>
      <c r="D308" s="8" t="s">
        <v>1348</v>
      </c>
      <c r="E308" s="4" t="s">
        <v>50</v>
      </c>
      <c r="F308" s="2" t="str">
        <f t="shared" si="9"/>
        <v>Routine cognitive</v>
      </c>
    </row>
    <row r="309" spans="1:6" ht="42.75" x14ac:dyDescent="0.4">
      <c r="A309" s="3">
        <v>2162</v>
      </c>
      <c r="B309" s="3" t="str">
        <f t="shared" si="8"/>
        <v>2</v>
      </c>
      <c r="C309" s="4" t="s">
        <v>94</v>
      </c>
      <c r="D309" s="5" t="s">
        <v>1340</v>
      </c>
      <c r="E309" s="4" t="s">
        <v>3</v>
      </c>
      <c r="F309" s="2" t="str">
        <f t="shared" si="9"/>
        <v>Non-routine cognitive</v>
      </c>
    </row>
    <row r="310" spans="1:6" ht="42.75" x14ac:dyDescent="0.4">
      <c r="A310" s="3">
        <v>2162</v>
      </c>
      <c r="B310" s="3" t="str">
        <f t="shared" si="8"/>
        <v>2</v>
      </c>
      <c r="C310" s="4" t="s">
        <v>94</v>
      </c>
      <c r="D310" s="5" t="s">
        <v>1349</v>
      </c>
      <c r="E310" s="4" t="s">
        <v>4</v>
      </c>
      <c r="F310" s="2" t="str">
        <f t="shared" si="9"/>
        <v>Non-routine cognitive</v>
      </c>
    </row>
    <row r="311" spans="1:6" ht="42.75" x14ac:dyDescent="0.4">
      <c r="A311" s="3">
        <v>2162</v>
      </c>
      <c r="B311" s="3" t="str">
        <f t="shared" si="8"/>
        <v>2</v>
      </c>
      <c r="C311" s="4" t="s">
        <v>94</v>
      </c>
      <c r="D311" s="5" t="s">
        <v>1342</v>
      </c>
      <c r="E311" s="4" t="s">
        <v>50</v>
      </c>
      <c r="F311" s="2" t="str">
        <f t="shared" si="9"/>
        <v>Routine cognitive</v>
      </c>
    </row>
    <row r="312" spans="1:6" ht="28.5" x14ac:dyDescent="0.4">
      <c r="A312" s="3">
        <v>2162</v>
      </c>
      <c r="B312" s="3" t="str">
        <f t="shared" si="8"/>
        <v>2</v>
      </c>
      <c r="C312" s="4" t="s">
        <v>94</v>
      </c>
      <c r="D312" s="8" t="s">
        <v>1343</v>
      </c>
      <c r="E312" s="4" t="s">
        <v>3</v>
      </c>
      <c r="F312" s="2" t="str">
        <f t="shared" si="9"/>
        <v>Non-routine cognitive</v>
      </c>
    </row>
    <row r="313" spans="1:6" ht="28.5" x14ac:dyDescent="0.4">
      <c r="A313" s="3">
        <v>2163</v>
      </c>
      <c r="B313" s="3" t="str">
        <f t="shared" si="8"/>
        <v>2</v>
      </c>
      <c r="C313" s="4" t="s">
        <v>95</v>
      </c>
      <c r="D313" s="4" t="s">
        <v>96</v>
      </c>
      <c r="E313" s="4" t="s">
        <v>4</v>
      </c>
      <c r="F313" s="2" t="str">
        <f t="shared" si="9"/>
        <v>Non-routine cognitive</v>
      </c>
    </row>
    <row r="314" spans="1:6" ht="28.5" x14ac:dyDescent="0.4">
      <c r="A314" s="3">
        <v>2163</v>
      </c>
      <c r="B314" s="3" t="str">
        <f t="shared" si="8"/>
        <v>2</v>
      </c>
      <c r="C314" s="4" t="s">
        <v>95</v>
      </c>
      <c r="D314" s="5" t="s">
        <v>1350</v>
      </c>
      <c r="E314" s="4" t="s">
        <v>4</v>
      </c>
      <c r="F314" s="2" t="str">
        <f t="shared" si="9"/>
        <v>Non-routine cognitive</v>
      </c>
    </row>
    <row r="315" spans="1:6" ht="28.5" x14ac:dyDescent="0.4">
      <c r="A315" s="3">
        <v>2163</v>
      </c>
      <c r="B315" s="3" t="str">
        <f t="shared" si="8"/>
        <v>2</v>
      </c>
      <c r="C315" s="4" t="s">
        <v>95</v>
      </c>
      <c r="D315" s="5" t="s">
        <v>1351</v>
      </c>
      <c r="E315" s="4" t="s">
        <v>4</v>
      </c>
      <c r="F315" s="2" t="str">
        <f t="shared" si="9"/>
        <v>Non-routine cognitive</v>
      </c>
    </row>
    <row r="316" spans="1:6" ht="42.75" x14ac:dyDescent="0.4">
      <c r="A316" s="3">
        <v>2163</v>
      </c>
      <c r="B316" s="3" t="str">
        <f t="shared" si="8"/>
        <v>2</v>
      </c>
      <c r="C316" s="4" t="s">
        <v>95</v>
      </c>
      <c r="D316" s="5" t="s">
        <v>1352</v>
      </c>
      <c r="E316" s="4" t="s">
        <v>4</v>
      </c>
      <c r="F316" s="2" t="str">
        <f t="shared" si="9"/>
        <v>Non-routine cognitive</v>
      </c>
    </row>
    <row r="317" spans="1:6" ht="28.5" x14ac:dyDescent="0.4">
      <c r="A317" s="3">
        <v>2163</v>
      </c>
      <c r="B317" s="3" t="str">
        <f t="shared" si="8"/>
        <v>2</v>
      </c>
      <c r="C317" s="4" t="s">
        <v>95</v>
      </c>
      <c r="D317" s="8" t="s">
        <v>1353</v>
      </c>
      <c r="E317" s="4" t="s">
        <v>4</v>
      </c>
      <c r="F317" s="2" t="str">
        <f t="shared" si="9"/>
        <v>Non-routine cognitive</v>
      </c>
    </row>
    <row r="318" spans="1:6" ht="42.75" x14ac:dyDescent="0.4">
      <c r="A318" s="3">
        <v>2163</v>
      </c>
      <c r="B318" s="3" t="str">
        <f t="shared" si="8"/>
        <v>2</v>
      </c>
      <c r="C318" s="4" t="s">
        <v>95</v>
      </c>
      <c r="D318" s="5" t="s">
        <v>1354</v>
      </c>
      <c r="E318" s="4" t="s">
        <v>4</v>
      </c>
      <c r="F318" s="2" t="str">
        <f t="shared" si="9"/>
        <v>Non-routine cognitive</v>
      </c>
    </row>
    <row r="319" spans="1:6" x14ac:dyDescent="0.4">
      <c r="A319" s="3">
        <v>2163</v>
      </c>
      <c r="B319" s="3" t="str">
        <f t="shared" si="8"/>
        <v>2</v>
      </c>
      <c r="C319" s="4" t="s">
        <v>95</v>
      </c>
      <c r="D319" s="4" t="s">
        <v>97</v>
      </c>
      <c r="E319" s="4" t="s">
        <v>4</v>
      </c>
      <c r="F319" s="2" t="str">
        <f t="shared" si="9"/>
        <v>Non-routine cognitive</v>
      </c>
    </row>
    <row r="320" spans="1:6" x14ac:dyDescent="0.4">
      <c r="A320" s="3">
        <v>2163</v>
      </c>
      <c r="B320" s="3" t="str">
        <f t="shared" si="8"/>
        <v>2</v>
      </c>
      <c r="C320" s="4" t="s">
        <v>95</v>
      </c>
      <c r="D320" s="6" t="s">
        <v>98</v>
      </c>
      <c r="E320" s="4" t="s">
        <v>4</v>
      </c>
      <c r="F320" s="2" t="str">
        <f t="shared" si="9"/>
        <v>Non-routine cognitive</v>
      </c>
    </row>
    <row r="321" spans="1:6" ht="28.5" x14ac:dyDescent="0.4">
      <c r="A321" s="3">
        <v>2163</v>
      </c>
      <c r="B321" s="3" t="str">
        <f t="shared" si="8"/>
        <v>2</v>
      </c>
      <c r="C321" s="4" t="s">
        <v>95</v>
      </c>
      <c r="D321" s="5" t="s">
        <v>1355</v>
      </c>
      <c r="E321" s="4" t="s">
        <v>3</v>
      </c>
      <c r="F321" s="2" t="str">
        <f t="shared" si="9"/>
        <v>Non-routine cognitive</v>
      </c>
    </row>
    <row r="322" spans="1:6" ht="28.5" x14ac:dyDescent="0.4">
      <c r="A322" s="3">
        <v>2165</v>
      </c>
      <c r="B322" s="3" t="str">
        <f t="shared" si="8"/>
        <v>2</v>
      </c>
      <c r="C322" s="4" t="s">
        <v>99</v>
      </c>
      <c r="D322" s="8" t="s">
        <v>1356</v>
      </c>
      <c r="E322" s="4" t="s">
        <v>50</v>
      </c>
      <c r="F322" s="2" t="str">
        <f t="shared" si="9"/>
        <v>Routine cognitive</v>
      </c>
    </row>
    <row r="323" spans="1:6" ht="28.5" x14ac:dyDescent="0.4">
      <c r="A323" s="3">
        <v>2165</v>
      </c>
      <c r="B323" s="3" t="str">
        <f t="shared" ref="B323:B386" si="10">LEFT(A323,1)</f>
        <v>2</v>
      </c>
      <c r="C323" s="4" t="s">
        <v>99</v>
      </c>
      <c r="D323" s="8" t="s">
        <v>1357</v>
      </c>
      <c r="E323" s="4" t="s">
        <v>4</v>
      </c>
      <c r="F323" s="2" t="str">
        <f t="shared" ref="F323:F386" si="11">IF(E323="Non-routine interpersonal","Non-routine cognitive",IF(E323="Non-routine analytical","Non-routine cognitive",IF(E323="Non-routine manual physical","Non-routine manual",E323)))</f>
        <v>Non-routine cognitive</v>
      </c>
    </row>
    <row r="324" spans="1:6" ht="42.75" x14ac:dyDescent="0.4">
      <c r="A324" s="3">
        <v>2165</v>
      </c>
      <c r="B324" s="3" t="str">
        <f t="shared" si="10"/>
        <v>2</v>
      </c>
      <c r="C324" s="4" t="s">
        <v>99</v>
      </c>
      <c r="D324" s="5" t="s">
        <v>1358</v>
      </c>
      <c r="E324" s="4" t="s">
        <v>4</v>
      </c>
      <c r="F324" s="2" t="str">
        <f t="shared" si="11"/>
        <v>Non-routine cognitive</v>
      </c>
    </row>
    <row r="325" spans="1:6" x14ac:dyDescent="0.4">
      <c r="A325" s="3">
        <v>2165</v>
      </c>
      <c r="B325" s="3" t="str">
        <f t="shared" si="10"/>
        <v>2</v>
      </c>
      <c r="C325" s="4" t="s">
        <v>99</v>
      </c>
      <c r="D325" s="6" t="s">
        <v>100</v>
      </c>
      <c r="E325" s="4" t="s">
        <v>4</v>
      </c>
      <c r="F325" s="2" t="str">
        <f t="shared" si="11"/>
        <v>Non-routine cognitive</v>
      </c>
    </row>
    <row r="326" spans="1:6" ht="71.25" x14ac:dyDescent="0.4">
      <c r="A326" s="3">
        <v>2165</v>
      </c>
      <c r="B326" s="3" t="str">
        <f t="shared" si="10"/>
        <v>2</v>
      </c>
      <c r="C326" s="4" t="s">
        <v>99</v>
      </c>
      <c r="D326" s="5" t="s">
        <v>1359</v>
      </c>
      <c r="E326" s="4" t="s">
        <v>4</v>
      </c>
      <c r="F326" s="2" t="str">
        <f t="shared" si="11"/>
        <v>Non-routine cognitive</v>
      </c>
    </row>
    <row r="327" spans="1:6" ht="42.75" x14ac:dyDescent="0.4">
      <c r="A327" s="3">
        <v>2165</v>
      </c>
      <c r="B327" s="3" t="str">
        <f t="shared" si="10"/>
        <v>2</v>
      </c>
      <c r="C327" s="4" t="s">
        <v>99</v>
      </c>
      <c r="D327" s="5" t="s">
        <v>1360</v>
      </c>
      <c r="E327" s="4" t="s">
        <v>4</v>
      </c>
      <c r="F327" s="2" t="str">
        <f t="shared" si="11"/>
        <v>Non-routine cognitive</v>
      </c>
    </row>
    <row r="328" spans="1:6" ht="28.5" x14ac:dyDescent="0.4">
      <c r="A328" s="3">
        <v>2165</v>
      </c>
      <c r="B328" s="3" t="str">
        <f t="shared" si="10"/>
        <v>2</v>
      </c>
      <c r="C328" s="4" t="s">
        <v>99</v>
      </c>
      <c r="D328" s="8" t="s">
        <v>1361</v>
      </c>
      <c r="E328" s="4" t="s">
        <v>4</v>
      </c>
      <c r="F328" s="2" t="str">
        <f t="shared" si="11"/>
        <v>Non-routine cognitive</v>
      </c>
    </row>
    <row r="329" spans="1:6" ht="28.5" x14ac:dyDescent="0.4">
      <c r="A329" s="3">
        <v>2165</v>
      </c>
      <c r="B329" s="3" t="str">
        <f t="shared" si="10"/>
        <v>2</v>
      </c>
      <c r="C329" s="4" t="s">
        <v>99</v>
      </c>
      <c r="D329" s="8" t="s">
        <v>1362</v>
      </c>
      <c r="E329" s="4" t="s">
        <v>3</v>
      </c>
      <c r="F329" s="2" t="str">
        <f t="shared" si="11"/>
        <v>Non-routine cognitive</v>
      </c>
    </row>
    <row r="330" spans="1:6" ht="28.5" x14ac:dyDescent="0.4">
      <c r="A330" s="3">
        <v>2166</v>
      </c>
      <c r="B330" s="3" t="str">
        <f t="shared" si="10"/>
        <v>2</v>
      </c>
      <c r="C330" s="4" t="s">
        <v>101</v>
      </c>
      <c r="D330" s="4" t="s">
        <v>96</v>
      </c>
      <c r="E330" s="4" t="s">
        <v>4</v>
      </c>
      <c r="F330" s="2" t="str">
        <f t="shared" si="11"/>
        <v>Non-routine cognitive</v>
      </c>
    </row>
    <row r="331" spans="1:6" x14ac:dyDescent="0.4">
      <c r="A331" s="3">
        <v>2166</v>
      </c>
      <c r="B331" s="3" t="str">
        <f t="shared" si="10"/>
        <v>2</v>
      </c>
      <c r="C331" s="4" t="s">
        <v>101</v>
      </c>
      <c r="D331" s="4" t="s">
        <v>102</v>
      </c>
      <c r="E331" s="4" t="s">
        <v>4</v>
      </c>
      <c r="F331" s="2" t="str">
        <f t="shared" si="11"/>
        <v>Non-routine cognitive</v>
      </c>
    </row>
    <row r="332" spans="1:6" x14ac:dyDescent="0.4">
      <c r="A332" s="3">
        <v>2166</v>
      </c>
      <c r="B332" s="3" t="str">
        <f t="shared" si="10"/>
        <v>2</v>
      </c>
      <c r="C332" s="4" t="s">
        <v>101</v>
      </c>
      <c r="D332" s="4" t="s">
        <v>103</v>
      </c>
      <c r="E332" s="4" t="s">
        <v>4</v>
      </c>
      <c r="F332" s="2" t="str">
        <f t="shared" si="11"/>
        <v>Non-routine cognitive</v>
      </c>
    </row>
    <row r="333" spans="1:6" ht="28.5" x14ac:dyDescent="0.4">
      <c r="A333" s="3">
        <v>2166</v>
      </c>
      <c r="B333" s="3" t="str">
        <f t="shared" si="10"/>
        <v>2</v>
      </c>
      <c r="C333" s="4" t="s">
        <v>101</v>
      </c>
      <c r="D333" s="4" t="s">
        <v>104</v>
      </c>
      <c r="E333" s="4" t="s">
        <v>4</v>
      </c>
      <c r="F333" s="2" t="str">
        <f t="shared" si="11"/>
        <v>Non-routine cognitive</v>
      </c>
    </row>
    <row r="334" spans="1:6" ht="42.75" x14ac:dyDescent="0.4">
      <c r="A334" s="3">
        <v>2166</v>
      </c>
      <c r="B334" s="3" t="str">
        <f t="shared" si="10"/>
        <v>2</v>
      </c>
      <c r="C334" s="4" t="s">
        <v>101</v>
      </c>
      <c r="D334" s="5" t="s">
        <v>1363</v>
      </c>
      <c r="E334" s="4" t="s">
        <v>4</v>
      </c>
      <c r="F334" s="2" t="str">
        <f t="shared" si="11"/>
        <v>Non-routine cognitive</v>
      </c>
    </row>
    <row r="335" spans="1:6" ht="42.75" x14ac:dyDescent="0.4">
      <c r="A335" s="3">
        <v>2166</v>
      </c>
      <c r="B335" s="3" t="str">
        <f t="shared" si="10"/>
        <v>2</v>
      </c>
      <c r="C335" s="4" t="s">
        <v>101</v>
      </c>
      <c r="D335" s="5" t="s">
        <v>1364</v>
      </c>
      <c r="E335" s="4" t="s">
        <v>4</v>
      </c>
      <c r="F335" s="2" t="str">
        <f t="shared" si="11"/>
        <v>Non-routine cognitive</v>
      </c>
    </row>
    <row r="336" spans="1:6" ht="28.5" x14ac:dyDescent="0.4">
      <c r="A336" s="3">
        <v>2166</v>
      </c>
      <c r="B336" s="3" t="str">
        <f t="shared" si="10"/>
        <v>2</v>
      </c>
      <c r="C336" s="5" t="s">
        <v>1365</v>
      </c>
      <c r="D336" s="8" t="s">
        <v>1366</v>
      </c>
      <c r="E336" s="4" t="s">
        <v>4</v>
      </c>
      <c r="F336" s="2" t="str">
        <f t="shared" si="11"/>
        <v>Non-routine cognitive</v>
      </c>
    </row>
    <row r="337" spans="1:6" ht="42.75" x14ac:dyDescent="0.4">
      <c r="A337" s="3">
        <v>2166</v>
      </c>
      <c r="B337" s="3" t="str">
        <f t="shared" si="10"/>
        <v>2</v>
      </c>
      <c r="C337" s="4" t="s">
        <v>101</v>
      </c>
      <c r="D337" s="5" t="s">
        <v>1367</v>
      </c>
      <c r="E337" s="4" t="s">
        <v>4</v>
      </c>
      <c r="F337" s="2" t="str">
        <f t="shared" si="11"/>
        <v>Non-routine cognitive</v>
      </c>
    </row>
    <row r="338" spans="1:6" x14ac:dyDescent="0.4">
      <c r="A338" s="3">
        <v>2166</v>
      </c>
      <c r="B338" s="3" t="str">
        <f t="shared" si="10"/>
        <v>2</v>
      </c>
      <c r="C338" s="4" t="s">
        <v>101</v>
      </c>
      <c r="D338" s="4" t="s">
        <v>97</v>
      </c>
      <c r="E338" s="4" t="s">
        <v>4</v>
      </c>
      <c r="F338" s="2" t="str">
        <f t="shared" si="11"/>
        <v>Non-routine cognitive</v>
      </c>
    </row>
    <row r="339" spans="1:6" ht="28.5" x14ac:dyDescent="0.4">
      <c r="A339" s="3">
        <v>2166</v>
      </c>
      <c r="B339" s="3" t="str">
        <f t="shared" si="10"/>
        <v>2</v>
      </c>
      <c r="C339" s="5" t="s">
        <v>1365</v>
      </c>
      <c r="D339" s="5" t="s">
        <v>1368</v>
      </c>
      <c r="E339" s="4" t="s">
        <v>3</v>
      </c>
      <c r="F339" s="2" t="str">
        <f t="shared" si="11"/>
        <v>Non-routine cognitive</v>
      </c>
    </row>
    <row r="340" spans="1:6" ht="42.75" x14ac:dyDescent="0.4">
      <c r="A340" s="3">
        <v>2221</v>
      </c>
      <c r="B340" s="3" t="str">
        <f t="shared" si="10"/>
        <v>2</v>
      </c>
      <c r="C340" s="4" t="s">
        <v>105</v>
      </c>
      <c r="D340" s="10" t="s">
        <v>1369</v>
      </c>
      <c r="E340" s="4" t="s">
        <v>50</v>
      </c>
      <c r="F340" s="2" t="str">
        <f t="shared" si="11"/>
        <v>Routine cognitive</v>
      </c>
    </row>
    <row r="341" spans="1:6" ht="42.75" x14ac:dyDescent="0.4">
      <c r="A341" s="3">
        <v>2221</v>
      </c>
      <c r="B341" s="3" t="str">
        <f t="shared" si="10"/>
        <v>2</v>
      </c>
      <c r="C341" s="4" t="s">
        <v>105</v>
      </c>
      <c r="D341" s="8" t="s">
        <v>1370</v>
      </c>
      <c r="E341" s="4" t="s">
        <v>3</v>
      </c>
      <c r="F341" s="2" t="str">
        <f t="shared" si="11"/>
        <v>Non-routine cognitive</v>
      </c>
    </row>
    <row r="342" spans="1:6" ht="42.75" x14ac:dyDescent="0.4">
      <c r="A342" s="3">
        <v>2221</v>
      </c>
      <c r="B342" s="3" t="str">
        <f t="shared" si="10"/>
        <v>2</v>
      </c>
      <c r="C342" s="4" t="s">
        <v>105</v>
      </c>
      <c r="D342" s="5" t="s">
        <v>1371</v>
      </c>
      <c r="E342" s="4" t="s">
        <v>4</v>
      </c>
      <c r="F342" s="2" t="str">
        <f t="shared" si="11"/>
        <v>Non-routine cognitive</v>
      </c>
    </row>
    <row r="343" spans="1:6" ht="42.75" x14ac:dyDescent="0.4">
      <c r="A343" s="3">
        <v>2221</v>
      </c>
      <c r="B343" s="3" t="str">
        <f t="shared" si="10"/>
        <v>2</v>
      </c>
      <c r="C343" s="4" t="s">
        <v>105</v>
      </c>
      <c r="D343" s="5" t="s">
        <v>1372</v>
      </c>
      <c r="E343" s="4" t="s">
        <v>50</v>
      </c>
      <c r="F343" s="2" t="str">
        <f t="shared" si="11"/>
        <v>Routine cognitive</v>
      </c>
    </row>
    <row r="344" spans="1:6" ht="28.5" x14ac:dyDescent="0.4">
      <c r="A344" s="3">
        <v>2221</v>
      </c>
      <c r="B344" s="3" t="str">
        <f t="shared" si="10"/>
        <v>2</v>
      </c>
      <c r="C344" s="4" t="s">
        <v>105</v>
      </c>
      <c r="D344" s="10" t="s">
        <v>1373</v>
      </c>
      <c r="E344" s="4" t="s">
        <v>106</v>
      </c>
      <c r="F344" s="2" t="str">
        <f t="shared" si="11"/>
        <v>Non-routine manual</v>
      </c>
    </row>
    <row r="345" spans="1:6" ht="42.75" x14ac:dyDescent="0.4">
      <c r="A345" s="3">
        <v>2221</v>
      </c>
      <c r="B345" s="3" t="str">
        <f t="shared" si="10"/>
        <v>2</v>
      </c>
      <c r="C345" s="4" t="s">
        <v>105</v>
      </c>
      <c r="D345" s="8" t="s">
        <v>1374</v>
      </c>
      <c r="E345" s="4" t="s">
        <v>50</v>
      </c>
      <c r="F345" s="2" t="str">
        <f t="shared" si="11"/>
        <v>Routine cognitive</v>
      </c>
    </row>
    <row r="346" spans="1:6" ht="57" x14ac:dyDescent="0.4">
      <c r="A346" s="3">
        <v>2221</v>
      </c>
      <c r="B346" s="3" t="str">
        <f t="shared" si="10"/>
        <v>2</v>
      </c>
      <c r="C346" s="4" t="s">
        <v>105</v>
      </c>
      <c r="D346" s="5" t="s">
        <v>1375</v>
      </c>
      <c r="E346" s="4" t="s">
        <v>4</v>
      </c>
      <c r="F346" s="2" t="str">
        <f t="shared" si="11"/>
        <v>Non-routine cognitive</v>
      </c>
    </row>
    <row r="347" spans="1:6" ht="42.75" x14ac:dyDescent="0.4">
      <c r="A347" s="3">
        <v>2221</v>
      </c>
      <c r="B347" s="3" t="str">
        <f t="shared" si="10"/>
        <v>2</v>
      </c>
      <c r="C347" s="4" t="s">
        <v>105</v>
      </c>
      <c r="D347" s="5" t="s">
        <v>1376</v>
      </c>
      <c r="E347" s="4" t="s">
        <v>50</v>
      </c>
      <c r="F347" s="2" t="str">
        <f t="shared" si="11"/>
        <v>Routine cognitive</v>
      </c>
    </row>
    <row r="348" spans="1:6" ht="42.75" x14ac:dyDescent="0.4">
      <c r="A348" s="3">
        <v>2221</v>
      </c>
      <c r="B348" s="3" t="str">
        <f t="shared" si="10"/>
        <v>2</v>
      </c>
      <c r="C348" s="4" t="s">
        <v>105</v>
      </c>
      <c r="D348" s="8" t="s">
        <v>1377</v>
      </c>
      <c r="E348" s="4" t="s">
        <v>3</v>
      </c>
      <c r="F348" s="2" t="str">
        <f t="shared" si="11"/>
        <v>Non-routine cognitive</v>
      </c>
    </row>
    <row r="349" spans="1:6" ht="42.75" x14ac:dyDescent="0.4">
      <c r="A349" s="3">
        <v>2221</v>
      </c>
      <c r="B349" s="3" t="str">
        <f t="shared" si="10"/>
        <v>2</v>
      </c>
      <c r="C349" s="4" t="s">
        <v>105</v>
      </c>
      <c r="D349" s="8" t="s">
        <v>1378</v>
      </c>
      <c r="E349" s="4" t="s">
        <v>4</v>
      </c>
      <c r="F349" s="2" t="str">
        <f t="shared" si="11"/>
        <v>Non-routine cognitive</v>
      </c>
    </row>
    <row r="350" spans="1:6" ht="57" x14ac:dyDescent="0.4">
      <c r="A350" s="3">
        <v>2222</v>
      </c>
      <c r="B350" s="3" t="str">
        <f t="shared" si="10"/>
        <v>2</v>
      </c>
      <c r="C350" s="4" t="s">
        <v>107</v>
      </c>
      <c r="D350" s="5" t="s">
        <v>1379</v>
      </c>
      <c r="E350" s="4" t="s">
        <v>50</v>
      </c>
      <c r="F350" s="2" t="str">
        <f t="shared" si="11"/>
        <v>Routine cognitive</v>
      </c>
    </row>
    <row r="351" spans="1:6" ht="71.25" x14ac:dyDescent="0.4">
      <c r="A351" s="3">
        <v>2222</v>
      </c>
      <c r="B351" s="3" t="str">
        <f t="shared" si="10"/>
        <v>2</v>
      </c>
      <c r="C351" s="4" t="s">
        <v>107</v>
      </c>
      <c r="D351" s="5" t="s">
        <v>1380</v>
      </c>
      <c r="E351" s="4" t="s">
        <v>4</v>
      </c>
      <c r="F351" s="2" t="str">
        <f t="shared" si="11"/>
        <v>Non-routine cognitive</v>
      </c>
    </row>
    <row r="352" spans="1:6" ht="57" x14ac:dyDescent="0.4">
      <c r="A352" s="3">
        <v>2222</v>
      </c>
      <c r="B352" s="3" t="str">
        <f t="shared" si="10"/>
        <v>2</v>
      </c>
      <c r="C352" s="4" t="s">
        <v>107</v>
      </c>
      <c r="D352" s="5" t="s">
        <v>1381</v>
      </c>
      <c r="E352" s="4" t="s">
        <v>50</v>
      </c>
      <c r="F352" s="2" t="str">
        <f t="shared" si="11"/>
        <v>Routine cognitive</v>
      </c>
    </row>
    <row r="353" spans="1:6" ht="57" x14ac:dyDescent="0.4">
      <c r="A353" s="3">
        <v>2222</v>
      </c>
      <c r="B353" s="3" t="str">
        <f t="shared" si="10"/>
        <v>2</v>
      </c>
      <c r="C353" s="4" t="s">
        <v>107</v>
      </c>
      <c r="D353" s="5" t="s">
        <v>1382</v>
      </c>
      <c r="E353" s="4" t="s">
        <v>50</v>
      </c>
      <c r="F353" s="2" t="str">
        <f t="shared" si="11"/>
        <v>Routine cognitive</v>
      </c>
    </row>
    <row r="354" spans="1:6" ht="42.75" x14ac:dyDescent="0.4">
      <c r="A354" s="3">
        <v>2222</v>
      </c>
      <c r="B354" s="3" t="str">
        <f t="shared" si="10"/>
        <v>2</v>
      </c>
      <c r="C354" s="4" t="s">
        <v>107</v>
      </c>
      <c r="D354" s="8" t="s">
        <v>1383</v>
      </c>
      <c r="E354" s="4" t="s">
        <v>50</v>
      </c>
      <c r="F354" s="2" t="str">
        <f t="shared" si="11"/>
        <v>Routine cognitive</v>
      </c>
    </row>
    <row r="355" spans="1:6" ht="42.75" x14ac:dyDescent="0.4">
      <c r="A355" s="3">
        <v>2222</v>
      </c>
      <c r="B355" s="3" t="str">
        <f t="shared" si="10"/>
        <v>2</v>
      </c>
      <c r="C355" s="4" t="s">
        <v>107</v>
      </c>
      <c r="D355" s="10" t="s">
        <v>1384</v>
      </c>
      <c r="E355" s="4" t="s">
        <v>50</v>
      </c>
      <c r="F355" s="2" t="str">
        <f t="shared" si="11"/>
        <v>Routine cognitive</v>
      </c>
    </row>
    <row r="356" spans="1:6" ht="42.75" x14ac:dyDescent="0.4">
      <c r="A356" s="3">
        <v>2222</v>
      </c>
      <c r="B356" s="3" t="str">
        <f t="shared" si="10"/>
        <v>2</v>
      </c>
      <c r="C356" s="4" t="s">
        <v>107</v>
      </c>
      <c r="D356" s="8" t="s">
        <v>1385</v>
      </c>
      <c r="E356" s="4" t="s">
        <v>4</v>
      </c>
      <c r="F356" s="2" t="str">
        <f t="shared" si="11"/>
        <v>Non-routine cognitive</v>
      </c>
    </row>
    <row r="357" spans="1:6" ht="42.75" x14ac:dyDescent="0.4">
      <c r="A357" s="3">
        <v>2222</v>
      </c>
      <c r="B357" s="3" t="str">
        <f t="shared" si="10"/>
        <v>2</v>
      </c>
      <c r="C357" s="4" t="s">
        <v>107</v>
      </c>
      <c r="D357" s="5" t="s">
        <v>1386</v>
      </c>
      <c r="E357" s="4" t="s">
        <v>3</v>
      </c>
      <c r="F357" s="2" t="str">
        <f t="shared" si="11"/>
        <v>Non-routine cognitive</v>
      </c>
    </row>
    <row r="358" spans="1:6" ht="42.75" x14ac:dyDescent="0.4">
      <c r="A358" s="3">
        <v>2230</v>
      </c>
      <c r="B358" s="3" t="str">
        <f t="shared" si="10"/>
        <v>2</v>
      </c>
      <c r="C358" s="4" t="s">
        <v>108</v>
      </c>
      <c r="D358" s="8" t="s">
        <v>1387</v>
      </c>
      <c r="E358" s="4" t="s">
        <v>3</v>
      </c>
      <c r="F358" s="2" t="str">
        <f t="shared" si="11"/>
        <v>Non-routine cognitive</v>
      </c>
    </row>
    <row r="359" spans="1:6" ht="42.75" x14ac:dyDescent="0.4">
      <c r="A359" s="3">
        <v>2230</v>
      </c>
      <c r="B359" s="3" t="str">
        <f t="shared" si="10"/>
        <v>2</v>
      </c>
      <c r="C359" s="4" t="s">
        <v>108</v>
      </c>
      <c r="D359" s="5" t="s">
        <v>3648</v>
      </c>
      <c r="E359" s="4" t="s">
        <v>4</v>
      </c>
      <c r="F359" s="2" t="str">
        <f t="shared" si="11"/>
        <v>Non-routine cognitive</v>
      </c>
    </row>
    <row r="360" spans="1:6" ht="28.5" x14ac:dyDescent="0.4">
      <c r="A360" s="3">
        <v>2230</v>
      </c>
      <c r="B360" s="3" t="str">
        <f t="shared" si="10"/>
        <v>2</v>
      </c>
      <c r="C360" s="4" t="s">
        <v>108</v>
      </c>
      <c r="D360" s="10" t="s">
        <v>1388</v>
      </c>
      <c r="E360" s="4" t="s">
        <v>50</v>
      </c>
      <c r="F360" s="2" t="str">
        <f t="shared" si="11"/>
        <v>Routine cognitive</v>
      </c>
    </row>
    <row r="361" spans="1:6" ht="28.5" x14ac:dyDescent="0.4">
      <c r="A361" s="3">
        <v>2230</v>
      </c>
      <c r="B361" s="3" t="str">
        <f t="shared" si="10"/>
        <v>2</v>
      </c>
      <c r="C361" s="4" t="s">
        <v>108</v>
      </c>
      <c r="D361" s="8" t="s">
        <v>1389</v>
      </c>
      <c r="E361" s="4" t="s">
        <v>3</v>
      </c>
      <c r="F361" s="2" t="str">
        <f t="shared" si="11"/>
        <v>Non-routine cognitive</v>
      </c>
    </row>
    <row r="362" spans="1:6" ht="57" x14ac:dyDescent="0.4">
      <c r="A362" s="3">
        <v>2230</v>
      </c>
      <c r="B362" s="3" t="str">
        <f t="shared" si="10"/>
        <v>2</v>
      </c>
      <c r="C362" s="4" t="s">
        <v>108</v>
      </c>
      <c r="D362" s="5" t="s">
        <v>1390</v>
      </c>
      <c r="E362" s="4" t="s">
        <v>50</v>
      </c>
      <c r="F362" s="2" t="str">
        <f t="shared" si="11"/>
        <v>Routine cognitive</v>
      </c>
    </row>
    <row r="363" spans="1:6" ht="42.75" x14ac:dyDescent="0.4">
      <c r="A363" s="3">
        <v>2230</v>
      </c>
      <c r="B363" s="3" t="str">
        <f t="shared" si="10"/>
        <v>2</v>
      </c>
      <c r="C363" s="4" t="s">
        <v>108</v>
      </c>
      <c r="D363" s="8" t="s">
        <v>1391</v>
      </c>
      <c r="E363" s="4" t="s">
        <v>3</v>
      </c>
      <c r="F363" s="2" t="str">
        <f t="shared" si="11"/>
        <v>Non-routine cognitive</v>
      </c>
    </row>
    <row r="364" spans="1:6" ht="42.75" x14ac:dyDescent="0.4">
      <c r="A364" s="3">
        <v>2230</v>
      </c>
      <c r="B364" s="3" t="str">
        <f t="shared" si="10"/>
        <v>2</v>
      </c>
      <c r="C364" s="4" t="s">
        <v>108</v>
      </c>
      <c r="D364" s="5" t="s">
        <v>1392</v>
      </c>
      <c r="E364" s="4" t="s">
        <v>4</v>
      </c>
      <c r="F364" s="2" t="str">
        <f t="shared" si="11"/>
        <v>Non-routine cognitive</v>
      </c>
    </row>
    <row r="365" spans="1:6" ht="71.25" x14ac:dyDescent="0.4">
      <c r="A365" s="3">
        <v>2262</v>
      </c>
      <c r="B365" s="3" t="str">
        <f t="shared" si="10"/>
        <v>2</v>
      </c>
      <c r="C365" s="4" t="s">
        <v>109</v>
      </c>
      <c r="D365" s="5" t="s">
        <v>1393</v>
      </c>
      <c r="E365" s="4" t="s">
        <v>50</v>
      </c>
      <c r="F365" s="2" t="str">
        <f t="shared" si="11"/>
        <v>Routine cognitive</v>
      </c>
    </row>
    <row r="366" spans="1:6" ht="57" x14ac:dyDescent="0.4">
      <c r="A366" s="3">
        <v>2262</v>
      </c>
      <c r="B366" s="3" t="str">
        <f t="shared" si="10"/>
        <v>2</v>
      </c>
      <c r="C366" s="4" t="s">
        <v>109</v>
      </c>
      <c r="D366" s="5" t="s">
        <v>1394</v>
      </c>
      <c r="E366" s="4" t="s">
        <v>3</v>
      </c>
      <c r="F366" s="2" t="str">
        <f t="shared" si="11"/>
        <v>Non-routine cognitive</v>
      </c>
    </row>
    <row r="367" spans="1:6" ht="42.75" x14ac:dyDescent="0.4">
      <c r="A367" s="3">
        <v>2262</v>
      </c>
      <c r="B367" s="3" t="str">
        <f t="shared" si="10"/>
        <v>2</v>
      </c>
      <c r="C367" s="4" t="s">
        <v>109</v>
      </c>
      <c r="D367" s="5" t="s">
        <v>1395</v>
      </c>
      <c r="E367" s="4" t="s">
        <v>4</v>
      </c>
      <c r="F367" s="2" t="str">
        <f t="shared" si="11"/>
        <v>Non-routine cognitive</v>
      </c>
    </row>
    <row r="368" spans="1:6" ht="71.25" x14ac:dyDescent="0.4">
      <c r="A368" s="3">
        <v>2262</v>
      </c>
      <c r="B368" s="3" t="str">
        <f t="shared" si="10"/>
        <v>2</v>
      </c>
      <c r="C368" s="4" t="s">
        <v>109</v>
      </c>
      <c r="D368" s="5" t="s">
        <v>1396</v>
      </c>
      <c r="E368" s="4" t="s">
        <v>4</v>
      </c>
      <c r="F368" s="2" t="str">
        <f t="shared" si="11"/>
        <v>Non-routine cognitive</v>
      </c>
    </row>
    <row r="369" spans="1:6" ht="42.75" x14ac:dyDescent="0.4">
      <c r="A369" s="3">
        <v>2262</v>
      </c>
      <c r="B369" s="3" t="str">
        <f t="shared" si="10"/>
        <v>2</v>
      </c>
      <c r="C369" s="4" t="s">
        <v>109</v>
      </c>
      <c r="D369" s="5" t="s">
        <v>1397</v>
      </c>
      <c r="E369" s="4" t="s">
        <v>50</v>
      </c>
      <c r="F369" s="2" t="str">
        <f t="shared" si="11"/>
        <v>Routine cognitive</v>
      </c>
    </row>
    <row r="370" spans="1:6" ht="28.5" x14ac:dyDescent="0.4">
      <c r="A370" s="3">
        <v>2262</v>
      </c>
      <c r="B370" s="3" t="str">
        <f t="shared" si="10"/>
        <v>2</v>
      </c>
      <c r="C370" s="4" t="s">
        <v>109</v>
      </c>
      <c r="D370" s="8" t="s">
        <v>1398</v>
      </c>
      <c r="E370" s="4" t="s">
        <v>50</v>
      </c>
      <c r="F370" s="2" t="str">
        <f t="shared" si="11"/>
        <v>Routine cognitive</v>
      </c>
    </row>
    <row r="371" spans="1:6" ht="42.75" x14ac:dyDescent="0.4">
      <c r="A371" s="3">
        <v>2262</v>
      </c>
      <c r="B371" s="3" t="str">
        <f t="shared" si="10"/>
        <v>2</v>
      </c>
      <c r="C371" s="4" t="s">
        <v>109</v>
      </c>
      <c r="D371" s="8" t="s">
        <v>1399</v>
      </c>
      <c r="E371" s="4" t="s">
        <v>4</v>
      </c>
      <c r="F371" s="2" t="str">
        <f t="shared" si="11"/>
        <v>Non-routine cognitive</v>
      </c>
    </row>
    <row r="372" spans="1:6" ht="28.5" x14ac:dyDescent="0.4">
      <c r="A372" s="3">
        <v>2262</v>
      </c>
      <c r="B372" s="3" t="str">
        <f t="shared" si="10"/>
        <v>2</v>
      </c>
      <c r="C372" s="4" t="s">
        <v>109</v>
      </c>
      <c r="D372" s="10" t="s">
        <v>1400</v>
      </c>
      <c r="E372" s="4" t="s">
        <v>3</v>
      </c>
      <c r="F372" s="2" t="str">
        <f t="shared" si="11"/>
        <v>Non-routine cognitive</v>
      </c>
    </row>
    <row r="373" spans="1:6" ht="28.5" x14ac:dyDescent="0.4">
      <c r="A373" s="3">
        <v>2262</v>
      </c>
      <c r="B373" s="3" t="str">
        <f t="shared" si="10"/>
        <v>2</v>
      </c>
      <c r="C373" s="4" t="s">
        <v>109</v>
      </c>
      <c r="D373" s="8" t="s">
        <v>1401</v>
      </c>
      <c r="E373" s="4" t="s">
        <v>4</v>
      </c>
      <c r="F373" s="2" t="str">
        <f t="shared" si="11"/>
        <v>Non-routine cognitive</v>
      </c>
    </row>
    <row r="374" spans="1:6" ht="42.75" x14ac:dyDescent="0.4">
      <c r="A374" s="3">
        <v>2262</v>
      </c>
      <c r="B374" s="3" t="str">
        <f t="shared" si="10"/>
        <v>2</v>
      </c>
      <c r="C374" s="4" t="s">
        <v>109</v>
      </c>
      <c r="D374" s="5" t="s">
        <v>1402</v>
      </c>
      <c r="E374" s="4" t="s">
        <v>3</v>
      </c>
      <c r="F374" s="2" t="str">
        <f t="shared" si="11"/>
        <v>Non-routine cognitive</v>
      </c>
    </row>
    <row r="375" spans="1:6" ht="28.5" x14ac:dyDescent="0.4">
      <c r="A375" s="3">
        <v>2262</v>
      </c>
      <c r="B375" s="3" t="str">
        <f t="shared" si="10"/>
        <v>2</v>
      </c>
      <c r="C375" s="4" t="s">
        <v>109</v>
      </c>
      <c r="D375" s="8" t="s">
        <v>1403</v>
      </c>
      <c r="E375" s="4" t="s">
        <v>4</v>
      </c>
      <c r="F375" s="2" t="str">
        <f t="shared" si="11"/>
        <v>Non-routine cognitive</v>
      </c>
    </row>
    <row r="376" spans="1:6" ht="28.5" x14ac:dyDescent="0.4">
      <c r="A376" s="3">
        <v>2262</v>
      </c>
      <c r="B376" s="3" t="str">
        <f t="shared" si="10"/>
        <v>2</v>
      </c>
      <c r="C376" s="4" t="s">
        <v>109</v>
      </c>
      <c r="D376" s="8" t="s">
        <v>1404</v>
      </c>
      <c r="E376" s="4" t="s">
        <v>50</v>
      </c>
      <c r="F376" s="2" t="str">
        <f t="shared" si="11"/>
        <v>Routine cognitive</v>
      </c>
    </row>
    <row r="377" spans="1:6" x14ac:dyDescent="0.4">
      <c r="A377" s="3">
        <v>2262</v>
      </c>
      <c r="B377" s="3" t="str">
        <f t="shared" si="10"/>
        <v>2</v>
      </c>
      <c r="C377" s="4" t="s">
        <v>109</v>
      </c>
      <c r="D377" s="6" t="s">
        <v>110</v>
      </c>
      <c r="E377" s="4" t="s">
        <v>4</v>
      </c>
      <c r="F377" s="2" t="str">
        <f t="shared" si="11"/>
        <v>Non-routine cognitive</v>
      </c>
    </row>
    <row r="378" spans="1:6" ht="42.75" x14ac:dyDescent="0.4">
      <c r="A378" s="3">
        <v>2264</v>
      </c>
      <c r="B378" s="3" t="str">
        <f t="shared" si="10"/>
        <v>2</v>
      </c>
      <c r="C378" s="4" t="s">
        <v>111</v>
      </c>
      <c r="D378" s="8" t="s">
        <v>1405</v>
      </c>
      <c r="E378" s="4" t="s">
        <v>50</v>
      </c>
      <c r="F378" s="2" t="str">
        <f t="shared" si="11"/>
        <v>Routine cognitive</v>
      </c>
    </row>
    <row r="379" spans="1:6" ht="71.25" x14ac:dyDescent="0.4">
      <c r="A379" s="3">
        <v>2264</v>
      </c>
      <c r="B379" s="3" t="str">
        <f t="shared" si="10"/>
        <v>2</v>
      </c>
      <c r="C379" s="4" t="s">
        <v>111</v>
      </c>
      <c r="D379" s="5" t="s">
        <v>1406</v>
      </c>
      <c r="E379" s="4" t="s">
        <v>4</v>
      </c>
      <c r="F379" s="2" t="str">
        <f t="shared" si="11"/>
        <v>Non-routine cognitive</v>
      </c>
    </row>
    <row r="380" spans="1:6" ht="71.25" x14ac:dyDescent="0.4">
      <c r="A380" s="3">
        <v>2264</v>
      </c>
      <c r="B380" s="3" t="str">
        <f t="shared" si="10"/>
        <v>2</v>
      </c>
      <c r="C380" s="4" t="s">
        <v>111</v>
      </c>
      <c r="D380" s="5" t="s">
        <v>1407</v>
      </c>
      <c r="E380" s="4" t="s">
        <v>4</v>
      </c>
      <c r="F380" s="2" t="str">
        <f t="shared" si="11"/>
        <v>Non-routine cognitive</v>
      </c>
    </row>
    <row r="381" spans="1:6" ht="42.75" x14ac:dyDescent="0.4">
      <c r="A381" s="3">
        <v>2264</v>
      </c>
      <c r="B381" s="3" t="str">
        <f t="shared" si="10"/>
        <v>2</v>
      </c>
      <c r="C381" s="4" t="s">
        <v>111</v>
      </c>
      <c r="D381" s="8" t="s">
        <v>1408</v>
      </c>
      <c r="E381" s="4" t="s">
        <v>3</v>
      </c>
      <c r="F381" s="2" t="str">
        <f t="shared" si="11"/>
        <v>Non-routine cognitive</v>
      </c>
    </row>
    <row r="382" spans="1:6" ht="57" x14ac:dyDescent="0.4">
      <c r="A382" s="3">
        <v>2264</v>
      </c>
      <c r="B382" s="3" t="str">
        <f t="shared" si="10"/>
        <v>2</v>
      </c>
      <c r="C382" s="4" t="s">
        <v>111</v>
      </c>
      <c r="D382" s="5" t="s">
        <v>3646</v>
      </c>
      <c r="E382" s="4" t="s">
        <v>50</v>
      </c>
      <c r="F382" s="2" t="str">
        <f t="shared" si="11"/>
        <v>Routine cognitive</v>
      </c>
    </row>
    <row r="383" spans="1:6" ht="42.75" x14ac:dyDescent="0.4">
      <c r="A383" s="3">
        <v>2264</v>
      </c>
      <c r="B383" s="3" t="str">
        <f t="shared" si="10"/>
        <v>2</v>
      </c>
      <c r="C383" s="4" t="s">
        <v>111</v>
      </c>
      <c r="D383" s="5" t="s">
        <v>1409</v>
      </c>
      <c r="E383" s="4" t="s">
        <v>4</v>
      </c>
      <c r="F383" s="2" t="str">
        <f t="shared" si="11"/>
        <v>Non-routine cognitive</v>
      </c>
    </row>
    <row r="384" spans="1:6" ht="28.5" x14ac:dyDescent="0.4">
      <c r="A384" s="3">
        <v>2264</v>
      </c>
      <c r="B384" s="3" t="str">
        <f t="shared" si="10"/>
        <v>2</v>
      </c>
      <c r="C384" s="4" t="s">
        <v>111</v>
      </c>
      <c r="D384" s="8" t="s">
        <v>1410</v>
      </c>
      <c r="E384" s="4" t="s">
        <v>3</v>
      </c>
      <c r="F384" s="2" t="str">
        <f t="shared" si="11"/>
        <v>Non-routine cognitive</v>
      </c>
    </row>
    <row r="385" spans="1:6" ht="28.5" x14ac:dyDescent="0.4">
      <c r="A385" s="3">
        <v>2310</v>
      </c>
      <c r="B385" s="3" t="str">
        <f t="shared" si="10"/>
        <v>2</v>
      </c>
      <c r="C385" s="4" t="s">
        <v>112</v>
      </c>
      <c r="D385" s="8" t="s">
        <v>1411</v>
      </c>
      <c r="E385" s="4" t="s">
        <v>4</v>
      </c>
      <c r="F385" s="2" t="str">
        <f t="shared" si="11"/>
        <v>Non-routine cognitive</v>
      </c>
    </row>
    <row r="386" spans="1:6" ht="28.5" x14ac:dyDescent="0.4">
      <c r="A386" s="3">
        <v>2310</v>
      </c>
      <c r="B386" s="3" t="str">
        <f t="shared" si="10"/>
        <v>2</v>
      </c>
      <c r="C386" s="4" t="s">
        <v>112</v>
      </c>
      <c r="D386" s="6" t="s">
        <v>113</v>
      </c>
      <c r="E386" s="4" t="s">
        <v>3</v>
      </c>
      <c r="F386" s="2" t="str">
        <f t="shared" si="11"/>
        <v>Non-routine cognitive</v>
      </c>
    </row>
    <row r="387" spans="1:6" ht="28.5" x14ac:dyDescent="0.4">
      <c r="A387" s="3">
        <v>2310</v>
      </c>
      <c r="B387" s="3" t="str">
        <f t="shared" ref="B387:B450" si="12">LEFT(A387,1)</f>
        <v>2</v>
      </c>
      <c r="C387" s="4" t="s">
        <v>112</v>
      </c>
      <c r="D387" s="8" t="s">
        <v>1412</v>
      </c>
      <c r="E387" s="4" t="s">
        <v>3</v>
      </c>
      <c r="F387" s="2" t="str">
        <f t="shared" ref="F387:F450" si="13">IF(E387="Non-routine interpersonal","Non-routine cognitive",IF(E387="Non-routine analytical","Non-routine cognitive",IF(E387="Non-routine manual physical","Non-routine manual",E387)))</f>
        <v>Non-routine cognitive</v>
      </c>
    </row>
    <row r="388" spans="1:6" ht="42.75" x14ac:dyDescent="0.4">
      <c r="A388" s="3">
        <v>2310</v>
      </c>
      <c r="B388" s="3" t="str">
        <f t="shared" si="12"/>
        <v>2</v>
      </c>
      <c r="C388" s="4" t="s">
        <v>112</v>
      </c>
      <c r="D388" s="8" t="s">
        <v>1413</v>
      </c>
      <c r="E388" s="4" t="s">
        <v>3</v>
      </c>
      <c r="F388" s="2" t="str">
        <f t="shared" si="13"/>
        <v>Non-routine cognitive</v>
      </c>
    </row>
    <row r="389" spans="1:6" ht="28.5" x14ac:dyDescent="0.4">
      <c r="A389" s="3">
        <v>2310</v>
      </c>
      <c r="B389" s="3" t="str">
        <f t="shared" si="12"/>
        <v>2</v>
      </c>
      <c r="C389" s="4" t="s">
        <v>112</v>
      </c>
      <c r="D389" s="8" t="s">
        <v>1414</v>
      </c>
      <c r="E389" s="4" t="s">
        <v>50</v>
      </c>
      <c r="F389" s="2" t="str">
        <f t="shared" si="13"/>
        <v>Routine cognitive</v>
      </c>
    </row>
    <row r="390" spans="1:6" ht="28.5" x14ac:dyDescent="0.4">
      <c r="A390" s="3">
        <v>2310</v>
      </c>
      <c r="B390" s="3" t="str">
        <f t="shared" si="12"/>
        <v>2</v>
      </c>
      <c r="C390" s="4" t="s">
        <v>112</v>
      </c>
      <c r="D390" s="8" t="s">
        <v>1415</v>
      </c>
      <c r="E390" s="4" t="s">
        <v>3</v>
      </c>
      <c r="F390" s="2" t="str">
        <f t="shared" si="13"/>
        <v>Non-routine cognitive</v>
      </c>
    </row>
    <row r="391" spans="1:6" ht="42.75" x14ac:dyDescent="0.4">
      <c r="A391" s="3">
        <v>2310</v>
      </c>
      <c r="B391" s="3" t="str">
        <f t="shared" si="12"/>
        <v>2</v>
      </c>
      <c r="C391" s="4" t="s">
        <v>112</v>
      </c>
      <c r="D391" s="8" t="s">
        <v>1416</v>
      </c>
      <c r="E391" s="4" t="s">
        <v>4</v>
      </c>
      <c r="F391" s="2" t="str">
        <f t="shared" si="13"/>
        <v>Non-routine cognitive</v>
      </c>
    </row>
    <row r="392" spans="1:6" ht="28.5" x14ac:dyDescent="0.4">
      <c r="A392" s="3">
        <v>2310</v>
      </c>
      <c r="B392" s="3" t="str">
        <f t="shared" si="12"/>
        <v>2</v>
      </c>
      <c r="C392" s="4" t="s">
        <v>112</v>
      </c>
      <c r="D392" s="6" t="s">
        <v>114</v>
      </c>
      <c r="E392" s="4" t="s">
        <v>4</v>
      </c>
      <c r="F392" s="2" t="str">
        <f t="shared" si="13"/>
        <v>Non-routine cognitive</v>
      </c>
    </row>
    <row r="393" spans="1:6" ht="28.5" x14ac:dyDescent="0.4">
      <c r="A393" s="3">
        <v>2310</v>
      </c>
      <c r="B393" s="3" t="str">
        <f t="shared" si="12"/>
        <v>2</v>
      </c>
      <c r="C393" s="4" t="s">
        <v>112</v>
      </c>
      <c r="D393" s="8" t="s">
        <v>1417</v>
      </c>
      <c r="E393" s="4" t="s">
        <v>3</v>
      </c>
      <c r="F393" s="2" t="str">
        <f t="shared" si="13"/>
        <v>Non-routine cognitive</v>
      </c>
    </row>
    <row r="394" spans="1:6" ht="28.5" x14ac:dyDescent="0.4">
      <c r="A394" s="3">
        <v>2320</v>
      </c>
      <c r="B394" s="3" t="str">
        <f t="shared" si="12"/>
        <v>2</v>
      </c>
      <c r="C394" s="4" t="s">
        <v>115</v>
      </c>
      <c r="D394" s="8" t="s">
        <v>1418</v>
      </c>
      <c r="E394" s="4" t="s">
        <v>4</v>
      </c>
      <c r="F394" s="2" t="str">
        <f t="shared" si="13"/>
        <v>Non-routine cognitive</v>
      </c>
    </row>
    <row r="395" spans="1:6" ht="57" x14ac:dyDescent="0.4">
      <c r="A395" s="3">
        <v>2320</v>
      </c>
      <c r="B395" s="3" t="str">
        <f t="shared" si="12"/>
        <v>2</v>
      </c>
      <c r="C395" s="4" t="s">
        <v>115</v>
      </c>
      <c r="D395" s="5" t="s">
        <v>1419</v>
      </c>
      <c r="E395" s="4" t="s">
        <v>4</v>
      </c>
      <c r="F395" s="2" t="str">
        <f t="shared" si="13"/>
        <v>Non-routine cognitive</v>
      </c>
    </row>
    <row r="396" spans="1:6" ht="28.5" x14ac:dyDescent="0.4">
      <c r="A396" s="3">
        <v>2320</v>
      </c>
      <c r="B396" s="3" t="str">
        <f t="shared" si="12"/>
        <v>2</v>
      </c>
      <c r="C396" s="4" t="s">
        <v>115</v>
      </c>
      <c r="D396" s="8" t="s">
        <v>1420</v>
      </c>
      <c r="E396" s="4" t="s">
        <v>3</v>
      </c>
      <c r="F396" s="2" t="str">
        <f t="shared" si="13"/>
        <v>Non-routine cognitive</v>
      </c>
    </row>
    <row r="397" spans="1:6" ht="42.75" x14ac:dyDescent="0.4">
      <c r="A397" s="3">
        <v>2320</v>
      </c>
      <c r="B397" s="3" t="str">
        <f t="shared" si="12"/>
        <v>2</v>
      </c>
      <c r="C397" s="4" t="s">
        <v>115</v>
      </c>
      <c r="D397" s="8" t="s">
        <v>1421</v>
      </c>
      <c r="E397" s="4" t="s">
        <v>3</v>
      </c>
      <c r="F397" s="2" t="str">
        <f t="shared" si="13"/>
        <v>Non-routine cognitive</v>
      </c>
    </row>
    <row r="398" spans="1:6" ht="42.75" x14ac:dyDescent="0.4">
      <c r="A398" s="3">
        <v>2320</v>
      </c>
      <c r="B398" s="3" t="str">
        <f t="shared" si="12"/>
        <v>2</v>
      </c>
      <c r="C398" s="4" t="s">
        <v>115</v>
      </c>
      <c r="D398" s="8" t="s">
        <v>1422</v>
      </c>
      <c r="E398" s="4" t="s">
        <v>4</v>
      </c>
      <c r="F398" s="2" t="str">
        <f t="shared" si="13"/>
        <v>Non-routine cognitive</v>
      </c>
    </row>
    <row r="399" spans="1:6" ht="42.75" x14ac:dyDescent="0.4">
      <c r="A399" s="3">
        <v>2320</v>
      </c>
      <c r="B399" s="3" t="str">
        <f t="shared" si="12"/>
        <v>2</v>
      </c>
      <c r="C399" s="4" t="s">
        <v>115</v>
      </c>
      <c r="D399" s="8" t="s">
        <v>1423</v>
      </c>
      <c r="E399" s="4" t="s">
        <v>4</v>
      </c>
      <c r="F399" s="2" t="str">
        <f t="shared" si="13"/>
        <v>Non-routine cognitive</v>
      </c>
    </row>
    <row r="400" spans="1:6" ht="42.75" x14ac:dyDescent="0.4">
      <c r="A400" s="3">
        <v>2320</v>
      </c>
      <c r="B400" s="3" t="str">
        <f t="shared" si="12"/>
        <v>2</v>
      </c>
      <c r="C400" s="4" t="s">
        <v>115</v>
      </c>
      <c r="D400" s="8" t="s">
        <v>1424</v>
      </c>
      <c r="E400" s="4" t="s">
        <v>50</v>
      </c>
      <c r="F400" s="2" t="str">
        <f t="shared" si="13"/>
        <v>Routine cognitive</v>
      </c>
    </row>
    <row r="401" spans="1:6" ht="42.75" x14ac:dyDescent="0.4">
      <c r="A401" s="3">
        <v>2320</v>
      </c>
      <c r="B401" s="3" t="str">
        <f t="shared" si="12"/>
        <v>2</v>
      </c>
      <c r="C401" s="4" t="s">
        <v>115</v>
      </c>
      <c r="D401" s="5" t="s">
        <v>1425</v>
      </c>
      <c r="E401" s="4" t="s">
        <v>3</v>
      </c>
      <c r="F401" s="2" t="str">
        <f t="shared" si="13"/>
        <v>Non-routine cognitive</v>
      </c>
    </row>
    <row r="402" spans="1:6" ht="28.5" x14ac:dyDescent="0.4">
      <c r="A402" s="3">
        <v>2320</v>
      </c>
      <c r="B402" s="3" t="str">
        <f t="shared" si="12"/>
        <v>2</v>
      </c>
      <c r="C402" s="4" t="s">
        <v>115</v>
      </c>
      <c r="D402" s="8" t="s">
        <v>1426</v>
      </c>
      <c r="E402" s="4" t="s">
        <v>3</v>
      </c>
      <c r="F402" s="2" t="str">
        <f t="shared" si="13"/>
        <v>Non-routine cognitive</v>
      </c>
    </row>
    <row r="403" spans="1:6" ht="42.75" x14ac:dyDescent="0.4">
      <c r="A403" s="3">
        <v>2320</v>
      </c>
      <c r="B403" s="3" t="str">
        <f t="shared" si="12"/>
        <v>2</v>
      </c>
      <c r="C403" s="4" t="s">
        <v>115</v>
      </c>
      <c r="D403" s="5" t="s">
        <v>1427</v>
      </c>
      <c r="E403" s="4" t="s">
        <v>3</v>
      </c>
      <c r="F403" s="2" t="str">
        <f t="shared" si="13"/>
        <v>Non-routine cognitive</v>
      </c>
    </row>
    <row r="404" spans="1:6" ht="42.75" x14ac:dyDescent="0.4">
      <c r="A404" s="3">
        <v>2330</v>
      </c>
      <c r="B404" s="3" t="str">
        <f t="shared" si="12"/>
        <v>2</v>
      </c>
      <c r="C404" s="4" t="s">
        <v>116</v>
      </c>
      <c r="D404" s="5" t="s">
        <v>1428</v>
      </c>
      <c r="E404" s="4" t="s">
        <v>4</v>
      </c>
      <c r="F404" s="2" t="str">
        <f t="shared" si="13"/>
        <v>Non-routine cognitive</v>
      </c>
    </row>
    <row r="405" spans="1:6" ht="28.5" x14ac:dyDescent="0.4">
      <c r="A405" s="3">
        <v>2330</v>
      </c>
      <c r="B405" s="3" t="str">
        <f t="shared" si="12"/>
        <v>2</v>
      </c>
      <c r="C405" s="4" t="s">
        <v>116</v>
      </c>
      <c r="D405" s="8" t="s">
        <v>1429</v>
      </c>
      <c r="E405" s="4" t="s">
        <v>50</v>
      </c>
      <c r="F405" s="2" t="str">
        <f t="shared" si="13"/>
        <v>Routine cognitive</v>
      </c>
    </row>
    <row r="406" spans="1:6" ht="28.5" x14ac:dyDescent="0.4">
      <c r="A406" s="3">
        <v>2330</v>
      </c>
      <c r="B406" s="3" t="str">
        <f t="shared" si="12"/>
        <v>2</v>
      </c>
      <c r="C406" s="4" t="s">
        <v>116</v>
      </c>
      <c r="D406" s="8" t="s">
        <v>1430</v>
      </c>
      <c r="E406" s="4" t="s">
        <v>3</v>
      </c>
      <c r="F406" s="2" t="str">
        <f t="shared" si="13"/>
        <v>Non-routine cognitive</v>
      </c>
    </row>
    <row r="407" spans="1:6" ht="42.75" x14ac:dyDescent="0.4">
      <c r="A407" s="3">
        <v>2330</v>
      </c>
      <c r="B407" s="3" t="str">
        <f t="shared" si="12"/>
        <v>2</v>
      </c>
      <c r="C407" s="4" t="s">
        <v>116</v>
      </c>
      <c r="D407" s="10" t="s">
        <v>1431</v>
      </c>
      <c r="E407" s="4" t="s">
        <v>4</v>
      </c>
      <c r="F407" s="2" t="str">
        <f t="shared" si="13"/>
        <v>Non-routine cognitive</v>
      </c>
    </row>
    <row r="408" spans="1:6" ht="28.5" x14ac:dyDescent="0.4">
      <c r="A408" s="3">
        <v>2330</v>
      </c>
      <c r="B408" s="3" t="str">
        <f t="shared" si="12"/>
        <v>2</v>
      </c>
      <c r="C408" s="4" t="s">
        <v>116</v>
      </c>
      <c r="D408" s="6" t="s">
        <v>117</v>
      </c>
      <c r="E408" s="4" t="s">
        <v>106</v>
      </c>
      <c r="F408" s="2" t="str">
        <f t="shared" si="13"/>
        <v>Non-routine manual</v>
      </c>
    </row>
    <row r="409" spans="1:6" ht="42.75" x14ac:dyDescent="0.4">
      <c r="A409" s="3">
        <v>2330</v>
      </c>
      <c r="B409" s="3" t="str">
        <f t="shared" si="12"/>
        <v>2</v>
      </c>
      <c r="C409" s="4" t="s">
        <v>116</v>
      </c>
      <c r="D409" s="8" t="s">
        <v>1432</v>
      </c>
      <c r="E409" s="4" t="s">
        <v>3</v>
      </c>
      <c r="F409" s="2" t="str">
        <f t="shared" si="13"/>
        <v>Non-routine cognitive</v>
      </c>
    </row>
    <row r="410" spans="1:6" ht="28.5" x14ac:dyDescent="0.4">
      <c r="A410" s="3">
        <v>2330</v>
      </c>
      <c r="B410" s="3" t="str">
        <f t="shared" si="12"/>
        <v>2</v>
      </c>
      <c r="C410" s="4" t="s">
        <v>116</v>
      </c>
      <c r="D410" s="8" t="s">
        <v>1433</v>
      </c>
      <c r="E410" s="4" t="s">
        <v>4</v>
      </c>
      <c r="F410" s="2" t="str">
        <f t="shared" si="13"/>
        <v>Non-routine cognitive</v>
      </c>
    </row>
    <row r="411" spans="1:6" ht="28.5" x14ac:dyDescent="0.4">
      <c r="A411" s="3">
        <v>2330</v>
      </c>
      <c r="B411" s="3" t="str">
        <f t="shared" si="12"/>
        <v>2</v>
      </c>
      <c r="C411" s="4" t="s">
        <v>116</v>
      </c>
      <c r="D411" s="8" t="s">
        <v>1434</v>
      </c>
      <c r="E411" s="4" t="s">
        <v>50</v>
      </c>
      <c r="F411" s="2" t="str">
        <f t="shared" si="13"/>
        <v>Routine cognitive</v>
      </c>
    </row>
    <row r="412" spans="1:6" ht="28.5" x14ac:dyDescent="0.4">
      <c r="A412" s="3">
        <v>2330</v>
      </c>
      <c r="B412" s="3" t="str">
        <f t="shared" si="12"/>
        <v>2</v>
      </c>
      <c r="C412" s="4" t="s">
        <v>116</v>
      </c>
      <c r="D412" s="8" t="s">
        <v>1435</v>
      </c>
      <c r="E412" s="4" t="s">
        <v>4</v>
      </c>
      <c r="F412" s="2" t="str">
        <f t="shared" si="13"/>
        <v>Non-routine cognitive</v>
      </c>
    </row>
    <row r="413" spans="1:6" ht="42.75" x14ac:dyDescent="0.4">
      <c r="A413" s="3">
        <v>2330</v>
      </c>
      <c r="B413" s="3" t="str">
        <f t="shared" si="12"/>
        <v>2</v>
      </c>
      <c r="C413" s="4" t="s">
        <v>116</v>
      </c>
      <c r="D413" s="5" t="s">
        <v>1436</v>
      </c>
      <c r="E413" s="4" t="s">
        <v>3</v>
      </c>
      <c r="F413" s="2" t="str">
        <f t="shared" si="13"/>
        <v>Non-routine cognitive</v>
      </c>
    </row>
    <row r="414" spans="1:6" ht="28.5" x14ac:dyDescent="0.4">
      <c r="A414" s="3">
        <v>2330</v>
      </c>
      <c r="B414" s="3" t="str">
        <f t="shared" si="12"/>
        <v>2</v>
      </c>
      <c r="C414" s="4" t="s">
        <v>116</v>
      </c>
      <c r="D414" s="8" t="s">
        <v>1437</v>
      </c>
      <c r="E414" s="4" t="s">
        <v>3</v>
      </c>
      <c r="F414" s="2" t="str">
        <f t="shared" si="13"/>
        <v>Non-routine cognitive</v>
      </c>
    </row>
    <row r="415" spans="1:6" ht="42.75" x14ac:dyDescent="0.4">
      <c r="A415" s="3">
        <v>2341</v>
      </c>
      <c r="B415" s="3" t="str">
        <f t="shared" si="12"/>
        <v>2</v>
      </c>
      <c r="C415" s="4" t="s">
        <v>118</v>
      </c>
      <c r="D415" s="5" t="s">
        <v>1438</v>
      </c>
      <c r="E415" s="4" t="s">
        <v>4</v>
      </c>
      <c r="F415" s="2" t="str">
        <f t="shared" si="13"/>
        <v>Non-routine cognitive</v>
      </c>
    </row>
    <row r="416" spans="1:6" ht="42.75" x14ac:dyDescent="0.4">
      <c r="A416" s="3">
        <v>2341</v>
      </c>
      <c r="B416" s="3" t="str">
        <f t="shared" si="12"/>
        <v>2</v>
      </c>
      <c r="C416" s="4" t="s">
        <v>118</v>
      </c>
      <c r="D416" s="5" t="s">
        <v>1439</v>
      </c>
      <c r="E416" s="4" t="s">
        <v>3</v>
      </c>
      <c r="F416" s="2" t="str">
        <f t="shared" si="13"/>
        <v>Non-routine cognitive</v>
      </c>
    </row>
    <row r="417" spans="1:6" ht="28.5" x14ac:dyDescent="0.4">
      <c r="A417" s="3">
        <v>2341</v>
      </c>
      <c r="B417" s="3" t="str">
        <f t="shared" si="12"/>
        <v>2</v>
      </c>
      <c r="C417" s="4" t="s">
        <v>118</v>
      </c>
      <c r="D417" s="8" t="s">
        <v>1440</v>
      </c>
      <c r="E417" s="4" t="s">
        <v>3</v>
      </c>
      <c r="F417" s="2" t="str">
        <f t="shared" si="13"/>
        <v>Non-routine cognitive</v>
      </c>
    </row>
    <row r="418" spans="1:6" ht="42.75" x14ac:dyDescent="0.4">
      <c r="A418" s="3">
        <v>2341</v>
      </c>
      <c r="B418" s="3" t="str">
        <f t="shared" si="12"/>
        <v>2</v>
      </c>
      <c r="C418" s="4" t="s">
        <v>118</v>
      </c>
      <c r="D418" s="8" t="s">
        <v>1441</v>
      </c>
      <c r="E418" s="4" t="s">
        <v>3</v>
      </c>
      <c r="F418" s="2" t="str">
        <f t="shared" si="13"/>
        <v>Non-routine cognitive</v>
      </c>
    </row>
    <row r="419" spans="1:6" x14ac:dyDescent="0.4">
      <c r="A419" s="3">
        <v>2341</v>
      </c>
      <c r="B419" s="3" t="str">
        <f t="shared" si="12"/>
        <v>2</v>
      </c>
      <c r="C419" s="4" t="s">
        <v>118</v>
      </c>
      <c r="D419" s="7" t="s">
        <v>119</v>
      </c>
      <c r="E419" s="4" t="s">
        <v>50</v>
      </c>
      <c r="F419" s="2" t="str">
        <f t="shared" si="13"/>
        <v>Routine cognitive</v>
      </c>
    </row>
    <row r="420" spans="1:6" ht="28.5" x14ac:dyDescent="0.4">
      <c r="A420" s="3">
        <v>2341</v>
      </c>
      <c r="B420" s="3" t="str">
        <f t="shared" si="12"/>
        <v>2</v>
      </c>
      <c r="C420" s="4" t="s">
        <v>118</v>
      </c>
      <c r="D420" s="8" t="s">
        <v>1442</v>
      </c>
      <c r="E420" s="4" t="s">
        <v>50</v>
      </c>
      <c r="F420" s="2" t="str">
        <f t="shared" si="13"/>
        <v>Routine cognitive</v>
      </c>
    </row>
    <row r="421" spans="1:6" ht="28.5" x14ac:dyDescent="0.4">
      <c r="A421" s="3">
        <v>2341</v>
      </c>
      <c r="B421" s="3" t="str">
        <f t="shared" si="12"/>
        <v>2</v>
      </c>
      <c r="C421" s="4" t="s">
        <v>118</v>
      </c>
      <c r="D421" s="8" t="s">
        <v>1443</v>
      </c>
      <c r="E421" s="4" t="s">
        <v>4</v>
      </c>
      <c r="F421" s="2" t="str">
        <f t="shared" si="13"/>
        <v>Non-routine cognitive</v>
      </c>
    </row>
    <row r="422" spans="1:6" ht="42.75" x14ac:dyDescent="0.4">
      <c r="A422" s="3">
        <v>2341</v>
      </c>
      <c r="B422" s="3" t="str">
        <f t="shared" si="12"/>
        <v>2</v>
      </c>
      <c r="C422" s="4" t="s">
        <v>118</v>
      </c>
      <c r="D422" s="10" t="s">
        <v>1444</v>
      </c>
      <c r="E422" s="4" t="s">
        <v>3</v>
      </c>
      <c r="F422" s="2" t="str">
        <f t="shared" si="13"/>
        <v>Non-routine cognitive</v>
      </c>
    </row>
    <row r="423" spans="1:6" ht="42.75" x14ac:dyDescent="0.4">
      <c r="A423" s="3">
        <v>2341</v>
      </c>
      <c r="B423" s="3" t="str">
        <f t="shared" si="12"/>
        <v>2</v>
      </c>
      <c r="C423" s="4" t="s">
        <v>118</v>
      </c>
      <c r="D423" s="5" t="s">
        <v>1445</v>
      </c>
      <c r="E423" s="4" t="s">
        <v>3</v>
      </c>
      <c r="F423" s="2" t="str">
        <f t="shared" si="13"/>
        <v>Non-routine cognitive</v>
      </c>
    </row>
    <row r="424" spans="1:6" ht="42.75" x14ac:dyDescent="0.4">
      <c r="A424" s="3">
        <v>2341</v>
      </c>
      <c r="B424" s="3" t="str">
        <f t="shared" si="12"/>
        <v>2</v>
      </c>
      <c r="C424" s="4" t="s">
        <v>118</v>
      </c>
      <c r="D424" s="5" t="s">
        <v>1446</v>
      </c>
      <c r="E424" s="4" t="s">
        <v>3</v>
      </c>
      <c r="F424" s="2" t="str">
        <f t="shared" si="13"/>
        <v>Non-routine cognitive</v>
      </c>
    </row>
    <row r="425" spans="1:6" ht="57" x14ac:dyDescent="0.4">
      <c r="A425" s="3">
        <v>2342</v>
      </c>
      <c r="B425" s="3" t="str">
        <f t="shared" si="12"/>
        <v>2</v>
      </c>
      <c r="C425" s="4" t="s">
        <v>120</v>
      </c>
      <c r="D425" s="5" t="s">
        <v>1447</v>
      </c>
      <c r="E425" s="4" t="s">
        <v>3</v>
      </c>
      <c r="F425" s="2" t="str">
        <f t="shared" si="13"/>
        <v>Non-routine cognitive</v>
      </c>
    </row>
    <row r="426" spans="1:6" ht="42.75" x14ac:dyDescent="0.4">
      <c r="A426" s="3">
        <v>2342</v>
      </c>
      <c r="B426" s="3" t="str">
        <f t="shared" si="12"/>
        <v>2</v>
      </c>
      <c r="C426" s="4" t="s">
        <v>120</v>
      </c>
      <c r="D426" s="5" t="s">
        <v>1448</v>
      </c>
      <c r="E426" s="4" t="s">
        <v>3</v>
      </c>
      <c r="F426" s="2" t="str">
        <f t="shared" si="13"/>
        <v>Non-routine cognitive</v>
      </c>
    </row>
    <row r="427" spans="1:6" ht="57" x14ac:dyDescent="0.4">
      <c r="A427" s="3">
        <v>2342</v>
      </c>
      <c r="B427" s="3" t="str">
        <f t="shared" si="12"/>
        <v>2</v>
      </c>
      <c r="C427" s="4" t="s">
        <v>120</v>
      </c>
      <c r="D427" s="5" t="s">
        <v>1449</v>
      </c>
      <c r="E427" s="4" t="s">
        <v>3</v>
      </c>
      <c r="F427" s="2" t="str">
        <f t="shared" si="13"/>
        <v>Non-routine cognitive</v>
      </c>
    </row>
    <row r="428" spans="1:6" ht="42.75" x14ac:dyDescent="0.4">
      <c r="A428" s="3">
        <v>2342</v>
      </c>
      <c r="B428" s="3" t="str">
        <f t="shared" si="12"/>
        <v>2</v>
      </c>
      <c r="C428" s="4" t="s">
        <v>120</v>
      </c>
      <c r="D428" s="5" t="s">
        <v>1450</v>
      </c>
      <c r="E428" s="4" t="s">
        <v>4</v>
      </c>
      <c r="F428" s="2" t="str">
        <f t="shared" si="13"/>
        <v>Non-routine cognitive</v>
      </c>
    </row>
    <row r="429" spans="1:6" ht="42.75" x14ac:dyDescent="0.4">
      <c r="A429" s="3">
        <v>2342</v>
      </c>
      <c r="B429" s="3" t="str">
        <f t="shared" si="12"/>
        <v>2</v>
      </c>
      <c r="C429" s="4" t="s">
        <v>120</v>
      </c>
      <c r="D429" s="8" t="s">
        <v>1451</v>
      </c>
      <c r="E429" s="4" t="s">
        <v>4</v>
      </c>
      <c r="F429" s="2" t="str">
        <f t="shared" si="13"/>
        <v>Non-routine cognitive</v>
      </c>
    </row>
    <row r="430" spans="1:6" ht="28.5" x14ac:dyDescent="0.4">
      <c r="A430" s="3">
        <v>2342</v>
      </c>
      <c r="B430" s="3" t="str">
        <f t="shared" si="12"/>
        <v>2</v>
      </c>
      <c r="C430" s="4" t="s">
        <v>120</v>
      </c>
      <c r="D430" s="8" t="s">
        <v>1452</v>
      </c>
      <c r="E430" s="4" t="s">
        <v>3</v>
      </c>
      <c r="F430" s="2" t="str">
        <f t="shared" si="13"/>
        <v>Non-routine cognitive</v>
      </c>
    </row>
    <row r="431" spans="1:6" ht="28.5" x14ac:dyDescent="0.4">
      <c r="A431" s="3">
        <v>2342</v>
      </c>
      <c r="B431" s="3" t="str">
        <f t="shared" si="12"/>
        <v>2</v>
      </c>
      <c r="C431" s="4" t="s">
        <v>120</v>
      </c>
      <c r="D431" s="5" t="s">
        <v>1453</v>
      </c>
      <c r="E431" s="4" t="s">
        <v>3</v>
      </c>
      <c r="F431" s="2" t="str">
        <f t="shared" si="13"/>
        <v>Non-routine cognitive</v>
      </c>
    </row>
    <row r="432" spans="1:6" ht="42.75" x14ac:dyDescent="0.4">
      <c r="A432" s="3">
        <v>2342</v>
      </c>
      <c r="B432" s="3" t="str">
        <f t="shared" si="12"/>
        <v>2</v>
      </c>
      <c r="C432" s="4" t="s">
        <v>120</v>
      </c>
      <c r="D432" s="5" t="s">
        <v>1454</v>
      </c>
      <c r="E432" s="4" t="s">
        <v>3</v>
      </c>
      <c r="F432" s="2" t="str">
        <f t="shared" si="13"/>
        <v>Non-routine cognitive</v>
      </c>
    </row>
    <row r="433" spans="1:6" ht="42.75" x14ac:dyDescent="0.4">
      <c r="A433" s="3">
        <v>2342</v>
      </c>
      <c r="B433" s="3" t="str">
        <f t="shared" si="12"/>
        <v>2</v>
      </c>
      <c r="C433" s="4" t="s">
        <v>120</v>
      </c>
      <c r="D433" s="10" t="s">
        <v>1455</v>
      </c>
      <c r="E433" s="4" t="s">
        <v>3</v>
      </c>
      <c r="F433" s="2" t="str">
        <f t="shared" si="13"/>
        <v>Non-routine cognitive</v>
      </c>
    </row>
    <row r="434" spans="1:6" ht="42.75" x14ac:dyDescent="0.4">
      <c r="A434" s="3">
        <v>2351</v>
      </c>
      <c r="B434" s="3" t="str">
        <f t="shared" si="12"/>
        <v>2</v>
      </c>
      <c r="C434" s="4" t="s">
        <v>121</v>
      </c>
      <c r="D434" s="5" t="s">
        <v>1456</v>
      </c>
      <c r="E434" s="4" t="s">
        <v>4</v>
      </c>
      <c r="F434" s="2" t="str">
        <f t="shared" si="13"/>
        <v>Non-routine cognitive</v>
      </c>
    </row>
    <row r="435" spans="1:6" x14ac:dyDescent="0.4">
      <c r="A435" s="3">
        <v>2351</v>
      </c>
      <c r="B435" s="3" t="str">
        <f t="shared" si="12"/>
        <v>2</v>
      </c>
      <c r="C435" s="4" t="s">
        <v>121</v>
      </c>
      <c r="D435" s="4" t="s">
        <v>122</v>
      </c>
      <c r="E435" s="4" t="s">
        <v>4</v>
      </c>
      <c r="F435" s="2" t="str">
        <f t="shared" si="13"/>
        <v>Non-routine cognitive</v>
      </c>
    </row>
    <row r="436" spans="1:6" ht="42.75" x14ac:dyDescent="0.4">
      <c r="A436" s="3">
        <v>2351</v>
      </c>
      <c r="B436" s="3" t="str">
        <f t="shared" si="12"/>
        <v>2</v>
      </c>
      <c r="C436" s="4" t="s">
        <v>121</v>
      </c>
      <c r="D436" s="5" t="s">
        <v>1457</v>
      </c>
      <c r="E436" s="4" t="s">
        <v>4</v>
      </c>
      <c r="F436" s="2" t="str">
        <f t="shared" si="13"/>
        <v>Non-routine cognitive</v>
      </c>
    </row>
    <row r="437" spans="1:6" x14ac:dyDescent="0.4">
      <c r="A437" s="3">
        <v>2351</v>
      </c>
      <c r="B437" s="3" t="str">
        <f t="shared" si="12"/>
        <v>2</v>
      </c>
      <c r="C437" s="4" t="s">
        <v>121</v>
      </c>
      <c r="D437" s="4" t="s">
        <v>123</v>
      </c>
      <c r="E437" s="4" t="s">
        <v>50</v>
      </c>
      <c r="F437" s="2" t="str">
        <f t="shared" si="13"/>
        <v>Routine cognitive</v>
      </c>
    </row>
    <row r="438" spans="1:6" ht="28.5" x14ac:dyDescent="0.4">
      <c r="A438" s="3">
        <v>2351</v>
      </c>
      <c r="B438" s="3" t="str">
        <f t="shared" si="12"/>
        <v>2</v>
      </c>
      <c r="C438" s="4" t="s">
        <v>121</v>
      </c>
      <c r="D438" s="5" t="s">
        <v>1458</v>
      </c>
      <c r="E438" s="4" t="s">
        <v>3</v>
      </c>
      <c r="F438" s="2" t="str">
        <f t="shared" si="13"/>
        <v>Non-routine cognitive</v>
      </c>
    </row>
    <row r="439" spans="1:6" ht="28.5" x14ac:dyDescent="0.4">
      <c r="A439" s="3">
        <v>2351</v>
      </c>
      <c r="B439" s="3" t="str">
        <f t="shared" si="12"/>
        <v>2</v>
      </c>
      <c r="C439" s="4" t="s">
        <v>121</v>
      </c>
      <c r="D439" s="5" t="s">
        <v>1459</v>
      </c>
      <c r="E439" s="4" t="s">
        <v>3</v>
      </c>
      <c r="F439" s="2" t="str">
        <f t="shared" si="13"/>
        <v>Non-routine cognitive</v>
      </c>
    </row>
    <row r="440" spans="1:6" ht="28.5" x14ac:dyDescent="0.4">
      <c r="A440" s="3">
        <v>2351</v>
      </c>
      <c r="B440" s="3" t="str">
        <f t="shared" si="12"/>
        <v>2</v>
      </c>
      <c r="C440" s="4" t="s">
        <v>121</v>
      </c>
      <c r="D440" s="5" t="s">
        <v>1460</v>
      </c>
      <c r="E440" s="4" t="s">
        <v>4</v>
      </c>
      <c r="F440" s="2" t="str">
        <f t="shared" si="13"/>
        <v>Non-routine cognitive</v>
      </c>
    </row>
    <row r="441" spans="1:6" ht="42.75" x14ac:dyDescent="0.4">
      <c r="A441" s="3">
        <v>2351</v>
      </c>
      <c r="B441" s="3" t="str">
        <f t="shared" si="12"/>
        <v>2</v>
      </c>
      <c r="C441" s="4" t="s">
        <v>121</v>
      </c>
      <c r="D441" s="5" t="s">
        <v>1461</v>
      </c>
      <c r="E441" s="4" t="s">
        <v>3</v>
      </c>
      <c r="F441" s="2" t="str">
        <f t="shared" si="13"/>
        <v>Non-routine cognitive</v>
      </c>
    </row>
    <row r="442" spans="1:6" ht="42.75" x14ac:dyDescent="0.4">
      <c r="A442" s="3">
        <v>2351</v>
      </c>
      <c r="B442" s="3" t="str">
        <f t="shared" si="12"/>
        <v>2</v>
      </c>
      <c r="C442" s="4" t="s">
        <v>121</v>
      </c>
      <c r="D442" s="5" t="s">
        <v>1462</v>
      </c>
      <c r="E442" s="4" t="s">
        <v>4</v>
      </c>
      <c r="F442" s="2" t="str">
        <f t="shared" si="13"/>
        <v>Non-routine cognitive</v>
      </c>
    </row>
    <row r="443" spans="1:6" ht="42.75" x14ac:dyDescent="0.4">
      <c r="A443" s="3">
        <v>2351</v>
      </c>
      <c r="B443" s="3" t="str">
        <f t="shared" si="12"/>
        <v>2</v>
      </c>
      <c r="C443" s="4" t="s">
        <v>121</v>
      </c>
      <c r="D443" s="5" t="s">
        <v>1463</v>
      </c>
      <c r="E443" s="4" t="s">
        <v>4</v>
      </c>
      <c r="F443" s="2" t="str">
        <f t="shared" si="13"/>
        <v>Non-routine cognitive</v>
      </c>
    </row>
    <row r="444" spans="1:6" ht="57" x14ac:dyDescent="0.4">
      <c r="A444" s="3">
        <v>2352</v>
      </c>
      <c r="B444" s="3" t="str">
        <f t="shared" si="12"/>
        <v>2</v>
      </c>
      <c r="C444" s="4" t="s">
        <v>124</v>
      </c>
      <c r="D444" s="5" t="s">
        <v>1464</v>
      </c>
      <c r="E444" s="4" t="s">
        <v>4</v>
      </c>
      <c r="F444" s="2" t="str">
        <f t="shared" si="13"/>
        <v>Non-routine cognitive</v>
      </c>
    </row>
    <row r="445" spans="1:6" ht="42.75" x14ac:dyDescent="0.4">
      <c r="A445" s="3">
        <v>2352</v>
      </c>
      <c r="B445" s="3" t="str">
        <f t="shared" si="12"/>
        <v>2</v>
      </c>
      <c r="C445" s="4" t="s">
        <v>124</v>
      </c>
      <c r="D445" s="5" t="s">
        <v>1465</v>
      </c>
      <c r="E445" s="4" t="s">
        <v>4</v>
      </c>
      <c r="F445" s="2" t="str">
        <f t="shared" si="13"/>
        <v>Non-routine cognitive</v>
      </c>
    </row>
    <row r="446" spans="1:6" ht="42.75" x14ac:dyDescent="0.4">
      <c r="A446" s="3">
        <v>2352</v>
      </c>
      <c r="B446" s="3" t="str">
        <f t="shared" si="12"/>
        <v>2</v>
      </c>
      <c r="C446" s="4" t="s">
        <v>124</v>
      </c>
      <c r="D446" s="5" t="s">
        <v>1466</v>
      </c>
      <c r="E446" s="4" t="s">
        <v>3</v>
      </c>
      <c r="F446" s="2" t="str">
        <f t="shared" si="13"/>
        <v>Non-routine cognitive</v>
      </c>
    </row>
    <row r="447" spans="1:6" ht="57" x14ac:dyDescent="0.4">
      <c r="A447" s="3">
        <v>2352</v>
      </c>
      <c r="B447" s="3" t="str">
        <f t="shared" si="12"/>
        <v>2</v>
      </c>
      <c r="C447" s="4" t="s">
        <v>124</v>
      </c>
      <c r="D447" s="5" t="s">
        <v>1467</v>
      </c>
      <c r="E447" s="4" t="s">
        <v>3</v>
      </c>
      <c r="F447" s="2" t="str">
        <f t="shared" si="13"/>
        <v>Non-routine cognitive</v>
      </c>
    </row>
    <row r="448" spans="1:6" ht="42.75" x14ac:dyDescent="0.4">
      <c r="A448" s="3">
        <v>2352</v>
      </c>
      <c r="B448" s="3" t="str">
        <f t="shared" si="12"/>
        <v>2</v>
      </c>
      <c r="C448" s="4" t="s">
        <v>124</v>
      </c>
      <c r="D448" s="5" t="s">
        <v>1468</v>
      </c>
      <c r="E448" s="4" t="s">
        <v>50</v>
      </c>
      <c r="F448" s="2" t="str">
        <f t="shared" si="13"/>
        <v>Routine cognitive</v>
      </c>
    </row>
    <row r="449" spans="1:6" ht="28.5" x14ac:dyDescent="0.4">
      <c r="A449" s="3">
        <v>2352</v>
      </c>
      <c r="B449" s="3" t="str">
        <f t="shared" si="12"/>
        <v>2</v>
      </c>
      <c r="C449" s="4" t="s">
        <v>124</v>
      </c>
      <c r="D449" s="8" t="s">
        <v>1469</v>
      </c>
      <c r="E449" s="4" t="s">
        <v>3</v>
      </c>
      <c r="F449" s="2" t="str">
        <f t="shared" si="13"/>
        <v>Non-routine cognitive</v>
      </c>
    </row>
    <row r="450" spans="1:6" ht="42.75" x14ac:dyDescent="0.4">
      <c r="A450" s="3">
        <v>2352</v>
      </c>
      <c r="B450" s="3" t="str">
        <f t="shared" si="12"/>
        <v>2</v>
      </c>
      <c r="C450" s="4" t="s">
        <v>124</v>
      </c>
      <c r="D450" s="5" t="s">
        <v>1470</v>
      </c>
      <c r="E450" s="4" t="s">
        <v>4</v>
      </c>
      <c r="F450" s="2" t="str">
        <f t="shared" si="13"/>
        <v>Non-routine cognitive</v>
      </c>
    </row>
    <row r="451" spans="1:6" ht="42.75" x14ac:dyDescent="0.4">
      <c r="A451" s="3">
        <v>2352</v>
      </c>
      <c r="B451" s="3" t="str">
        <f t="shared" ref="B451:B514" si="14">LEFT(A451,1)</f>
        <v>2</v>
      </c>
      <c r="C451" s="4" t="s">
        <v>124</v>
      </c>
      <c r="D451" s="5" t="s">
        <v>1471</v>
      </c>
      <c r="E451" s="4" t="s">
        <v>3</v>
      </c>
      <c r="F451" s="2" t="str">
        <f t="shared" ref="F451:F514" si="15">IF(E451="Non-routine interpersonal","Non-routine cognitive",IF(E451="Non-routine analytical","Non-routine cognitive",IF(E451="Non-routine manual physical","Non-routine manual",E451)))</f>
        <v>Non-routine cognitive</v>
      </c>
    </row>
    <row r="452" spans="1:6" ht="28.5" x14ac:dyDescent="0.4">
      <c r="A452" s="3">
        <v>2352</v>
      </c>
      <c r="B452" s="3" t="str">
        <f t="shared" si="14"/>
        <v>2</v>
      </c>
      <c r="C452" s="4" t="s">
        <v>124</v>
      </c>
      <c r="D452" s="8" t="s">
        <v>1472</v>
      </c>
      <c r="E452" s="4" t="s">
        <v>50</v>
      </c>
      <c r="F452" s="2" t="str">
        <f t="shared" si="15"/>
        <v>Routine cognitive</v>
      </c>
    </row>
    <row r="453" spans="1:6" ht="42.75" x14ac:dyDescent="0.4">
      <c r="A453" s="3">
        <v>2352</v>
      </c>
      <c r="B453" s="3" t="str">
        <f t="shared" si="14"/>
        <v>2</v>
      </c>
      <c r="C453" s="4" t="s">
        <v>124</v>
      </c>
      <c r="D453" s="5" t="s">
        <v>1473</v>
      </c>
      <c r="E453" s="4" t="s">
        <v>50</v>
      </c>
      <c r="F453" s="2" t="str">
        <f t="shared" si="15"/>
        <v>Routine cognitive</v>
      </c>
    </row>
    <row r="454" spans="1:6" ht="71.25" x14ac:dyDescent="0.4">
      <c r="A454" s="3">
        <v>2352</v>
      </c>
      <c r="B454" s="3" t="str">
        <f t="shared" si="14"/>
        <v>2</v>
      </c>
      <c r="C454" s="4" t="s">
        <v>124</v>
      </c>
      <c r="D454" s="5" t="s">
        <v>1474</v>
      </c>
      <c r="E454" s="4" t="s">
        <v>3</v>
      </c>
      <c r="F454" s="2" t="str">
        <f t="shared" si="15"/>
        <v>Non-routine cognitive</v>
      </c>
    </row>
    <row r="455" spans="1:6" ht="42.75" x14ac:dyDescent="0.4">
      <c r="A455" s="3">
        <v>2353</v>
      </c>
      <c r="B455" s="3" t="str">
        <f t="shared" si="14"/>
        <v>2</v>
      </c>
      <c r="C455" s="4" t="s">
        <v>125</v>
      </c>
      <c r="D455" s="8" t="s">
        <v>1475</v>
      </c>
      <c r="E455" s="4" t="s">
        <v>4</v>
      </c>
      <c r="F455" s="2" t="str">
        <f t="shared" si="15"/>
        <v>Non-routine cognitive</v>
      </c>
    </row>
    <row r="456" spans="1:6" ht="57" x14ac:dyDescent="0.4">
      <c r="A456" s="3">
        <v>2353</v>
      </c>
      <c r="B456" s="3" t="str">
        <f t="shared" si="14"/>
        <v>2</v>
      </c>
      <c r="C456" s="4" t="s">
        <v>125</v>
      </c>
      <c r="D456" s="5" t="s">
        <v>1476</v>
      </c>
      <c r="E456" s="4" t="s">
        <v>4</v>
      </c>
      <c r="F456" s="2" t="str">
        <f t="shared" si="15"/>
        <v>Non-routine cognitive</v>
      </c>
    </row>
    <row r="457" spans="1:6" ht="28.5" x14ac:dyDescent="0.4">
      <c r="A457" s="3">
        <v>2353</v>
      </c>
      <c r="B457" s="3" t="str">
        <f t="shared" si="14"/>
        <v>2</v>
      </c>
      <c r="C457" s="4" t="s">
        <v>125</v>
      </c>
      <c r="D457" s="8" t="s">
        <v>1477</v>
      </c>
      <c r="E457" s="4" t="s">
        <v>4</v>
      </c>
      <c r="F457" s="2" t="str">
        <f t="shared" si="15"/>
        <v>Non-routine cognitive</v>
      </c>
    </row>
    <row r="458" spans="1:6" x14ac:dyDescent="0.4">
      <c r="A458" s="3">
        <v>2353</v>
      </c>
      <c r="B458" s="3" t="str">
        <f t="shared" si="14"/>
        <v>2</v>
      </c>
      <c r="C458" s="4" t="s">
        <v>125</v>
      </c>
      <c r="D458" s="14" t="s">
        <v>126</v>
      </c>
      <c r="E458" s="4" t="s">
        <v>4</v>
      </c>
      <c r="F458" s="2" t="str">
        <f t="shared" si="15"/>
        <v>Non-routine cognitive</v>
      </c>
    </row>
    <row r="459" spans="1:6" ht="42.75" x14ac:dyDescent="0.4">
      <c r="A459" s="3">
        <v>2353</v>
      </c>
      <c r="B459" s="3" t="str">
        <f t="shared" si="14"/>
        <v>2</v>
      </c>
      <c r="C459" s="4" t="s">
        <v>125</v>
      </c>
      <c r="D459" s="10" t="s">
        <v>1478</v>
      </c>
      <c r="E459" s="4" t="s">
        <v>3</v>
      </c>
      <c r="F459" s="2" t="str">
        <f t="shared" si="15"/>
        <v>Non-routine cognitive</v>
      </c>
    </row>
    <row r="460" spans="1:6" ht="42.75" x14ac:dyDescent="0.4">
      <c r="A460" s="3">
        <v>2353</v>
      </c>
      <c r="B460" s="3" t="str">
        <f t="shared" si="14"/>
        <v>2</v>
      </c>
      <c r="C460" s="4" t="s">
        <v>125</v>
      </c>
      <c r="D460" s="8" t="s">
        <v>1479</v>
      </c>
      <c r="E460" s="4" t="s">
        <v>4</v>
      </c>
      <c r="F460" s="2" t="str">
        <f t="shared" si="15"/>
        <v>Non-routine cognitive</v>
      </c>
    </row>
    <row r="461" spans="1:6" ht="28.5" x14ac:dyDescent="0.4">
      <c r="A461" s="3">
        <v>2353</v>
      </c>
      <c r="B461" s="3" t="str">
        <f t="shared" si="14"/>
        <v>2</v>
      </c>
      <c r="C461" s="4" t="s">
        <v>125</v>
      </c>
      <c r="D461" s="8" t="s">
        <v>1480</v>
      </c>
      <c r="E461" s="4" t="s">
        <v>50</v>
      </c>
      <c r="F461" s="2" t="str">
        <f t="shared" si="15"/>
        <v>Routine cognitive</v>
      </c>
    </row>
    <row r="462" spans="1:6" ht="28.5" x14ac:dyDescent="0.4">
      <c r="A462" s="3">
        <v>2353</v>
      </c>
      <c r="B462" s="3" t="str">
        <f t="shared" si="14"/>
        <v>2</v>
      </c>
      <c r="C462" s="4" t="s">
        <v>125</v>
      </c>
      <c r="D462" s="8" t="s">
        <v>1481</v>
      </c>
      <c r="E462" s="4" t="s">
        <v>50</v>
      </c>
      <c r="F462" s="2" t="str">
        <f t="shared" si="15"/>
        <v>Routine cognitive</v>
      </c>
    </row>
    <row r="463" spans="1:6" ht="42.75" x14ac:dyDescent="0.4">
      <c r="A463" s="3">
        <v>2354</v>
      </c>
      <c r="B463" s="3" t="str">
        <f t="shared" si="14"/>
        <v>2</v>
      </c>
      <c r="C463" s="4" t="s">
        <v>127</v>
      </c>
      <c r="D463" s="5" t="s">
        <v>1482</v>
      </c>
      <c r="E463" s="4" t="s">
        <v>4</v>
      </c>
      <c r="F463" s="2" t="str">
        <f t="shared" si="15"/>
        <v>Non-routine cognitive</v>
      </c>
    </row>
    <row r="464" spans="1:6" ht="42.75" x14ac:dyDescent="0.4">
      <c r="A464" s="3">
        <v>2354</v>
      </c>
      <c r="B464" s="3" t="str">
        <f t="shared" si="14"/>
        <v>2</v>
      </c>
      <c r="C464" s="4" t="s">
        <v>127</v>
      </c>
      <c r="D464" s="5" t="s">
        <v>1483</v>
      </c>
      <c r="E464" s="4" t="s">
        <v>4</v>
      </c>
      <c r="F464" s="2" t="str">
        <f t="shared" si="15"/>
        <v>Non-routine cognitive</v>
      </c>
    </row>
    <row r="465" spans="1:6" ht="28.5" x14ac:dyDescent="0.4">
      <c r="A465" s="3">
        <v>2354</v>
      </c>
      <c r="B465" s="3" t="str">
        <f t="shared" si="14"/>
        <v>2</v>
      </c>
      <c r="C465" s="4" t="s">
        <v>127</v>
      </c>
      <c r="D465" s="8" t="s">
        <v>1484</v>
      </c>
      <c r="E465" s="4" t="s">
        <v>4</v>
      </c>
      <c r="F465" s="2" t="str">
        <f t="shared" si="15"/>
        <v>Non-routine cognitive</v>
      </c>
    </row>
    <row r="466" spans="1:6" ht="42.75" x14ac:dyDescent="0.4">
      <c r="A466" s="3">
        <v>2354</v>
      </c>
      <c r="B466" s="3" t="str">
        <f t="shared" si="14"/>
        <v>2</v>
      </c>
      <c r="C466" s="4" t="s">
        <v>127</v>
      </c>
      <c r="D466" s="5" t="s">
        <v>1485</v>
      </c>
      <c r="E466" s="4" t="s">
        <v>3</v>
      </c>
      <c r="F466" s="2" t="str">
        <f t="shared" si="15"/>
        <v>Non-routine cognitive</v>
      </c>
    </row>
    <row r="467" spans="1:6" x14ac:dyDescent="0.4">
      <c r="A467" s="3">
        <v>2354</v>
      </c>
      <c r="B467" s="3" t="str">
        <f t="shared" si="14"/>
        <v>2</v>
      </c>
      <c r="C467" s="4" t="s">
        <v>127</v>
      </c>
      <c r="D467" s="6" t="s">
        <v>128</v>
      </c>
      <c r="E467" s="4" t="s">
        <v>3</v>
      </c>
      <c r="F467" s="2" t="str">
        <f t="shared" si="15"/>
        <v>Non-routine cognitive</v>
      </c>
    </row>
    <row r="468" spans="1:6" ht="28.5" x14ac:dyDescent="0.4">
      <c r="A468" s="3">
        <v>2354</v>
      </c>
      <c r="B468" s="3" t="str">
        <f t="shared" si="14"/>
        <v>2</v>
      </c>
      <c r="C468" s="4" t="s">
        <v>127</v>
      </c>
      <c r="D468" s="8" t="s">
        <v>1486</v>
      </c>
      <c r="E468" s="4" t="s">
        <v>50</v>
      </c>
      <c r="F468" s="2" t="str">
        <f t="shared" si="15"/>
        <v>Routine cognitive</v>
      </c>
    </row>
    <row r="469" spans="1:6" ht="28.5" x14ac:dyDescent="0.4">
      <c r="A469" s="3">
        <v>2354</v>
      </c>
      <c r="B469" s="3" t="str">
        <f t="shared" si="14"/>
        <v>2</v>
      </c>
      <c r="C469" s="4" t="s">
        <v>127</v>
      </c>
      <c r="D469" s="8" t="s">
        <v>1487</v>
      </c>
      <c r="E469" s="4" t="s">
        <v>4</v>
      </c>
      <c r="F469" s="2" t="str">
        <f t="shared" si="15"/>
        <v>Non-routine cognitive</v>
      </c>
    </row>
    <row r="470" spans="1:6" ht="28.5" x14ac:dyDescent="0.4">
      <c r="A470" s="3">
        <v>2354</v>
      </c>
      <c r="B470" s="3" t="str">
        <f t="shared" si="14"/>
        <v>2</v>
      </c>
      <c r="C470" s="4" t="s">
        <v>127</v>
      </c>
      <c r="D470" s="8" t="s">
        <v>1488</v>
      </c>
      <c r="E470" s="4" t="s">
        <v>4</v>
      </c>
      <c r="F470" s="2" t="str">
        <f t="shared" si="15"/>
        <v>Non-routine cognitive</v>
      </c>
    </row>
    <row r="471" spans="1:6" ht="28.5" x14ac:dyDescent="0.4">
      <c r="A471" s="3">
        <v>2354</v>
      </c>
      <c r="B471" s="3" t="str">
        <f t="shared" si="14"/>
        <v>2</v>
      </c>
      <c r="C471" s="4" t="s">
        <v>127</v>
      </c>
      <c r="D471" s="8" t="s">
        <v>1489</v>
      </c>
      <c r="E471" s="4" t="s">
        <v>3</v>
      </c>
      <c r="F471" s="2" t="str">
        <f t="shared" si="15"/>
        <v>Non-routine cognitive</v>
      </c>
    </row>
    <row r="472" spans="1:6" x14ac:dyDescent="0.4">
      <c r="A472" s="3">
        <v>2354</v>
      </c>
      <c r="B472" s="3" t="str">
        <f t="shared" si="14"/>
        <v>2</v>
      </c>
      <c r="C472" s="4" t="s">
        <v>127</v>
      </c>
      <c r="D472" s="6" t="s">
        <v>129</v>
      </c>
      <c r="E472" s="4" t="s">
        <v>3</v>
      </c>
      <c r="F472" s="2" t="str">
        <f t="shared" si="15"/>
        <v>Non-routine cognitive</v>
      </c>
    </row>
    <row r="473" spans="1:6" ht="28.5" x14ac:dyDescent="0.4">
      <c r="A473" s="3">
        <v>2354</v>
      </c>
      <c r="B473" s="3" t="str">
        <f t="shared" si="14"/>
        <v>2</v>
      </c>
      <c r="C473" s="4" t="s">
        <v>127</v>
      </c>
      <c r="D473" s="5" t="s">
        <v>1490</v>
      </c>
      <c r="E473" s="4" t="s">
        <v>3</v>
      </c>
      <c r="F473" s="2" t="str">
        <f t="shared" si="15"/>
        <v>Non-routine cognitive</v>
      </c>
    </row>
    <row r="474" spans="1:6" ht="28.5" x14ac:dyDescent="0.4">
      <c r="A474" s="3">
        <v>2355</v>
      </c>
      <c r="B474" s="3" t="str">
        <f t="shared" si="14"/>
        <v>2</v>
      </c>
      <c r="C474" s="4" t="s">
        <v>130</v>
      </c>
      <c r="D474" s="8" t="s">
        <v>1491</v>
      </c>
      <c r="E474" s="4" t="s">
        <v>4</v>
      </c>
      <c r="F474" s="2" t="str">
        <f t="shared" si="15"/>
        <v>Non-routine cognitive</v>
      </c>
    </row>
    <row r="475" spans="1:6" ht="42.75" x14ac:dyDescent="0.4">
      <c r="A475" s="3">
        <v>2355</v>
      </c>
      <c r="B475" s="3" t="str">
        <f t="shared" si="14"/>
        <v>2</v>
      </c>
      <c r="C475" s="4" t="s">
        <v>130</v>
      </c>
      <c r="D475" s="5" t="s">
        <v>1492</v>
      </c>
      <c r="E475" s="4" t="s">
        <v>4</v>
      </c>
      <c r="F475" s="2" t="str">
        <f t="shared" si="15"/>
        <v>Non-routine cognitive</v>
      </c>
    </row>
    <row r="476" spans="1:6" ht="28.5" x14ac:dyDescent="0.4">
      <c r="A476" s="3">
        <v>2355</v>
      </c>
      <c r="B476" s="3" t="str">
        <f t="shared" si="14"/>
        <v>2</v>
      </c>
      <c r="C476" s="4" t="s">
        <v>130</v>
      </c>
      <c r="D476" s="6" t="s">
        <v>131</v>
      </c>
      <c r="E476" s="4" t="s">
        <v>3</v>
      </c>
      <c r="F476" s="2" t="str">
        <f t="shared" si="15"/>
        <v>Non-routine cognitive</v>
      </c>
    </row>
    <row r="477" spans="1:6" ht="28.5" x14ac:dyDescent="0.4">
      <c r="A477" s="3">
        <v>2355</v>
      </c>
      <c r="B477" s="3" t="str">
        <f t="shared" si="14"/>
        <v>2</v>
      </c>
      <c r="C477" s="4" t="s">
        <v>130</v>
      </c>
      <c r="D477" s="10" t="s">
        <v>1493</v>
      </c>
      <c r="E477" s="4" t="s">
        <v>3</v>
      </c>
      <c r="F477" s="2" t="str">
        <f t="shared" si="15"/>
        <v>Non-routine cognitive</v>
      </c>
    </row>
    <row r="478" spans="1:6" ht="42.75" x14ac:dyDescent="0.4">
      <c r="A478" s="3">
        <v>2355</v>
      </c>
      <c r="B478" s="3" t="str">
        <f t="shared" si="14"/>
        <v>2</v>
      </c>
      <c r="C478" s="4" t="s">
        <v>130</v>
      </c>
      <c r="D478" s="5" t="s">
        <v>1494</v>
      </c>
      <c r="E478" s="4" t="s">
        <v>3</v>
      </c>
      <c r="F478" s="2" t="str">
        <f t="shared" si="15"/>
        <v>Non-routine cognitive</v>
      </c>
    </row>
    <row r="479" spans="1:6" ht="28.5" x14ac:dyDescent="0.4">
      <c r="A479" s="3">
        <v>2355</v>
      </c>
      <c r="B479" s="3" t="str">
        <f t="shared" si="14"/>
        <v>2</v>
      </c>
      <c r="C479" s="4" t="s">
        <v>130</v>
      </c>
      <c r="D479" s="8" t="s">
        <v>1495</v>
      </c>
      <c r="E479" s="4" t="s">
        <v>4</v>
      </c>
      <c r="F479" s="2" t="str">
        <f t="shared" si="15"/>
        <v>Non-routine cognitive</v>
      </c>
    </row>
    <row r="480" spans="1:6" ht="28.5" x14ac:dyDescent="0.4">
      <c r="A480" s="3">
        <v>2355</v>
      </c>
      <c r="B480" s="3" t="str">
        <f t="shared" si="14"/>
        <v>2</v>
      </c>
      <c r="C480" s="4" t="s">
        <v>130</v>
      </c>
      <c r="D480" s="8" t="s">
        <v>1496</v>
      </c>
      <c r="E480" s="4" t="s">
        <v>4</v>
      </c>
      <c r="F480" s="2" t="str">
        <f t="shared" si="15"/>
        <v>Non-routine cognitive</v>
      </c>
    </row>
    <row r="481" spans="1:6" ht="28.5" x14ac:dyDescent="0.4">
      <c r="A481" s="3">
        <v>2355</v>
      </c>
      <c r="B481" s="3" t="str">
        <f t="shared" si="14"/>
        <v>2</v>
      </c>
      <c r="C481" s="4" t="s">
        <v>130</v>
      </c>
      <c r="D481" s="10" t="s">
        <v>1497</v>
      </c>
      <c r="E481" s="4" t="s">
        <v>3</v>
      </c>
      <c r="F481" s="2" t="str">
        <f t="shared" si="15"/>
        <v>Non-routine cognitive</v>
      </c>
    </row>
    <row r="482" spans="1:6" ht="28.5" x14ac:dyDescent="0.4">
      <c r="A482" s="3">
        <v>2355</v>
      </c>
      <c r="B482" s="3" t="str">
        <f t="shared" si="14"/>
        <v>2</v>
      </c>
      <c r="C482" s="4" t="s">
        <v>130</v>
      </c>
      <c r="D482" s="8" t="s">
        <v>1498</v>
      </c>
      <c r="E482" s="4" t="s">
        <v>3</v>
      </c>
      <c r="F482" s="2" t="str">
        <f t="shared" si="15"/>
        <v>Non-routine cognitive</v>
      </c>
    </row>
    <row r="483" spans="1:6" ht="28.5" x14ac:dyDescent="0.4">
      <c r="A483" s="3">
        <v>2355</v>
      </c>
      <c r="B483" s="3" t="str">
        <f t="shared" si="14"/>
        <v>2</v>
      </c>
      <c r="C483" s="4" t="s">
        <v>130</v>
      </c>
      <c r="D483" s="5" t="s">
        <v>1499</v>
      </c>
      <c r="E483" s="4" t="s">
        <v>3</v>
      </c>
      <c r="F483" s="2" t="str">
        <f t="shared" si="15"/>
        <v>Non-routine cognitive</v>
      </c>
    </row>
    <row r="484" spans="1:6" ht="42.75" x14ac:dyDescent="0.4">
      <c r="A484" s="3">
        <v>2356</v>
      </c>
      <c r="B484" s="3" t="str">
        <f t="shared" si="14"/>
        <v>2</v>
      </c>
      <c r="C484" s="4" t="s">
        <v>132</v>
      </c>
      <c r="D484" s="5" t="s">
        <v>1500</v>
      </c>
      <c r="E484" s="4" t="s">
        <v>4</v>
      </c>
      <c r="F484" s="2" t="str">
        <f t="shared" si="15"/>
        <v>Non-routine cognitive</v>
      </c>
    </row>
    <row r="485" spans="1:6" ht="57" x14ac:dyDescent="0.4">
      <c r="A485" s="3">
        <v>2356</v>
      </c>
      <c r="B485" s="3" t="str">
        <f t="shared" si="14"/>
        <v>2</v>
      </c>
      <c r="C485" s="4" t="s">
        <v>132</v>
      </c>
      <c r="D485" s="5" t="s">
        <v>1501</v>
      </c>
      <c r="E485" s="4" t="s">
        <v>4</v>
      </c>
      <c r="F485" s="2" t="str">
        <f t="shared" si="15"/>
        <v>Non-routine cognitive</v>
      </c>
    </row>
    <row r="486" spans="1:6" ht="57" x14ac:dyDescent="0.4">
      <c r="A486" s="3">
        <v>2356</v>
      </c>
      <c r="B486" s="3" t="str">
        <f t="shared" si="14"/>
        <v>2</v>
      </c>
      <c r="C486" s="4" t="s">
        <v>132</v>
      </c>
      <c r="D486" s="5" t="s">
        <v>1502</v>
      </c>
      <c r="E486" s="4" t="s">
        <v>3</v>
      </c>
      <c r="F486" s="2" t="str">
        <f t="shared" si="15"/>
        <v>Non-routine cognitive</v>
      </c>
    </row>
    <row r="487" spans="1:6" ht="42.75" x14ac:dyDescent="0.4">
      <c r="A487" s="3">
        <v>2356</v>
      </c>
      <c r="B487" s="3" t="str">
        <f t="shared" si="14"/>
        <v>2</v>
      </c>
      <c r="C487" s="4" t="s">
        <v>132</v>
      </c>
      <c r="D487" s="5" t="s">
        <v>1503</v>
      </c>
      <c r="E487" s="4" t="s">
        <v>3</v>
      </c>
      <c r="F487" s="2" t="str">
        <f t="shared" si="15"/>
        <v>Non-routine cognitive</v>
      </c>
    </row>
    <row r="488" spans="1:6" ht="42.75" x14ac:dyDescent="0.4">
      <c r="A488" s="3">
        <v>2356</v>
      </c>
      <c r="B488" s="3" t="str">
        <f t="shared" si="14"/>
        <v>2</v>
      </c>
      <c r="C488" s="4" t="s">
        <v>132</v>
      </c>
      <c r="D488" s="5" t="s">
        <v>1504</v>
      </c>
      <c r="E488" s="4" t="s">
        <v>4</v>
      </c>
      <c r="F488" s="2" t="str">
        <f t="shared" si="15"/>
        <v>Non-routine cognitive</v>
      </c>
    </row>
    <row r="489" spans="1:6" ht="57" x14ac:dyDescent="0.4">
      <c r="A489" s="3">
        <v>2356</v>
      </c>
      <c r="B489" s="3" t="str">
        <f t="shared" si="14"/>
        <v>2</v>
      </c>
      <c r="C489" s="4" t="s">
        <v>132</v>
      </c>
      <c r="D489" s="5" t="s">
        <v>1505</v>
      </c>
      <c r="E489" s="4" t="s">
        <v>4</v>
      </c>
      <c r="F489" s="2" t="str">
        <f t="shared" si="15"/>
        <v>Non-routine cognitive</v>
      </c>
    </row>
    <row r="490" spans="1:6" ht="28.5" x14ac:dyDescent="0.4">
      <c r="A490" s="3">
        <v>2359</v>
      </c>
      <c r="B490" s="3" t="str">
        <f t="shared" si="14"/>
        <v>2</v>
      </c>
      <c r="C490" s="4" t="s">
        <v>133</v>
      </c>
      <c r="D490" s="8" t="s">
        <v>1506</v>
      </c>
      <c r="E490" s="4" t="s">
        <v>4</v>
      </c>
      <c r="F490" s="2" t="str">
        <f t="shared" si="15"/>
        <v>Non-routine cognitive</v>
      </c>
    </row>
    <row r="491" spans="1:6" ht="42.75" x14ac:dyDescent="0.4">
      <c r="A491" s="3">
        <v>2359</v>
      </c>
      <c r="B491" s="3" t="str">
        <f t="shared" si="14"/>
        <v>2</v>
      </c>
      <c r="C491" s="4" t="s">
        <v>133</v>
      </c>
      <c r="D491" s="5" t="s">
        <v>1483</v>
      </c>
      <c r="E491" s="4" t="s">
        <v>4</v>
      </c>
      <c r="F491" s="2" t="str">
        <f t="shared" si="15"/>
        <v>Non-routine cognitive</v>
      </c>
    </row>
    <row r="492" spans="1:6" ht="28.5" x14ac:dyDescent="0.4">
      <c r="A492" s="3">
        <v>2359</v>
      </c>
      <c r="B492" s="3" t="str">
        <f t="shared" si="14"/>
        <v>2</v>
      </c>
      <c r="C492" s="4" t="s">
        <v>133</v>
      </c>
      <c r="D492" s="6" t="s">
        <v>131</v>
      </c>
      <c r="E492" s="4" t="s">
        <v>3</v>
      </c>
      <c r="F492" s="2" t="str">
        <f t="shared" si="15"/>
        <v>Non-routine cognitive</v>
      </c>
    </row>
    <row r="493" spans="1:6" ht="28.5" x14ac:dyDescent="0.4">
      <c r="A493" s="3">
        <v>2359</v>
      </c>
      <c r="B493" s="3" t="str">
        <f t="shared" si="14"/>
        <v>2</v>
      </c>
      <c r="C493" s="4" t="s">
        <v>133</v>
      </c>
      <c r="D493" s="10" t="s">
        <v>1507</v>
      </c>
      <c r="E493" s="4" t="s">
        <v>3</v>
      </c>
      <c r="F493" s="2" t="str">
        <f t="shared" si="15"/>
        <v>Non-routine cognitive</v>
      </c>
    </row>
    <row r="494" spans="1:6" ht="42.75" x14ac:dyDescent="0.4">
      <c r="A494" s="3">
        <v>2359</v>
      </c>
      <c r="B494" s="3" t="str">
        <f t="shared" si="14"/>
        <v>2</v>
      </c>
      <c r="C494" s="4" t="s">
        <v>133</v>
      </c>
      <c r="D494" s="5" t="s">
        <v>1508</v>
      </c>
      <c r="E494" s="4" t="s">
        <v>3</v>
      </c>
      <c r="F494" s="2" t="str">
        <f t="shared" si="15"/>
        <v>Non-routine cognitive</v>
      </c>
    </row>
    <row r="495" spans="1:6" ht="28.5" x14ac:dyDescent="0.4">
      <c r="A495" s="3">
        <v>2359</v>
      </c>
      <c r="B495" s="3" t="str">
        <f t="shared" si="14"/>
        <v>2</v>
      </c>
      <c r="C495" s="4" t="s">
        <v>133</v>
      </c>
      <c r="D495" s="8" t="s">
        <v>1495</v>
      </c>
      <c r="E495" s="4" t="s">
        <v>4</v>
      </c>
      <c r="F495" s="2" t="str">
        <f t="shared" si="15"/>
        <v>Non-routine cognitive</v>
      </c>
    </row>
    <row r="496" spans="1:6" ht="28.5" x14ac:dyDescent="0.4">
      <c r="A496" s="3">
        <v>2359</v>
      </c>
      <c r="B496" s="3" t="str">
        <f t="shared" si="14"/>
        <v>2</v>
      </c>
      <c r="C496" s="4" t="s">
        <v>133</v>
      </c>
      <c r="D496" s="8" t="s">
        <v>1496</v>
      </c>
      <c r="E496" s="4" t="s">
        <v>4</v>
      </c>
      <c r="F496" s="2" t="str">
        <f t="shared" si="15"/>
        <v>Non-routine cognitive</v>
      </c>
    </row>
    <row r="497" spans="1:6" ht="28.5" x14ac:dyDescent="0.4">
      <c r="A497" s="3">
        <v>2359</v>
      </c>
      <c r="B497" s="3" t="str">
        <f t="shared" si="14"/>
        <v>2</v>
      </c>
      <c r="C497" s="4" t="s">
        <v>133</v>
      </c>
      <c r="D497" s="4" t="s">
        <v>134</v>
      </c>
      <c r="E497" s="4" t="s">
        <v>3</v>
      </c>
      <c r="F497" s="2" t="str">
        <f t="shared" si="15"/>
        <v>Non-routine cognitive</v>
      </c>
    </row>
    <row r="498" spans="1:6" ht="57" x14ac:dyDescent="0.4">
      <c r="A498" s="3">
        <v>2359</v>
      </c>
      <c r="B498" s="3" t="str">
        <f t="shared" si="14"/>
        <v>2</v>
      </c>
      <c r="C498" s="4" t="s">
        <v>133</v>
      </c>
      <c r="D498" s="5" t="s">
        <v>1509</v>
      </c>
      <c r="E498" s="4" t="s">
        <v>3</v>
      </c>
      <c r="F498" s="2" t="str">
        <f t="shared" si="15"/>
        <v>Non-routine cognitive</v>
      </c>
    </row>
    <row r="499" spans="1:6" ht="42.75" x14ac:dyDescent="0.4">
      <c r="A499" s="3">
        <v>2359</v>
      </c>
      <c r="B499" s="3" t="str">
        <f t="shared" si="14"/>
        <v>2</v>
      </c>
      <c r="C499" s="4" t="s">
        <v>133</v>
      </c>
      <c r="D499" s="5" t="s">
        <v>1510</v>
      </c>
      <c r="E499" s="4" t="s">
        <v>3</v>
      </c>
      <c r="F499" s="2" t="str">
        <f t="shared" si="15"/>
        <v>Non-routine cognitive</v>
      </c>
    </row>
    <row r="500" spans="1:6" ht="42.75" x14ac:dyDescent="0.4">
      <c r="A500" s="3">
        <v>2359</v>
      </c>
      <c r="B500" s="3" t="str">
        <f t="shared" si="14"/>
        <v>2</v>
      </c>
      <c r="C500" s="4" t="s">
        <v>133</v>
      </c>
      <c r="D500" s="5" t="s">
        <v>1511</v>
      </c>
      <c r="E500" s="4" t="s">
        <v>3</v>
      </c>
      <c r="F500" s="2" t="str">
        <f t="shared" si="15"/>
        <v>Non-routine cognitive</v>
      </c>
    </row>
    <row r="501" spans="1:6" ht="42.75" x14ac:dyDescent="0.4">
      <c r="A501" s="3">
        <v>2411</v>
      </c>
      <c r="B501" s="3" t="str">
        <f t="shared" si="14"/>
        <v>2</v>
      </c>
      <c r="C501" s="4" t="s">
        <v>135</v>
      </c>
      <c r="D501" s="5" t="s">
        <v>1512</v>
      </c>
      <c r="E501" s="4" t="s">
        <v>4</v>
      </c>
      <c r="F501" s="2" t="str">
        <f t="shared" si="15"/>
        <v>Non-routine cognitive</v>
      </c>
    </row>
    <row r="502" spans="1:6" ht="42.75" x14ac:dyDescent="0.4">
      <c r="A502" s="3">
        <v>2411</v>
      </c>
      <c r="B502" s="3" t="str">
        <f t="shared" si="14"/>
        <v>2</v>
      </c>
      <c r="C502" s="4" t="s">
        <v>135</v>
      </c>
      <c r="D502" s="8" t="s">
        <v>1513</v>
      </c>
      <c r="E502" s="4" t="s">
        <v>4</v>
      </c>
      <c r="F502" s="2" t="str">
        <f t="shared" si="15"/>
        <v>Non-routine cognitive</v>
      </c>
    </row>
    <row r="503" spans="1:6" ht="42.75" x14ac:dyDescent="0.4">
      <c r="A503" s="3">
        <v>2411</v>
      </c>
      <c r="B503" s="3" t="str">
        <f t="shared" si="14"/>
        <v>2</v>
      </c>
      <c r="C503" s="4" t="s">
        <v>135</v>
      </c>
      <c r="D503" s="5" t="s">
        <v>1514</v>
      </c>
      <c r="E503" s="4" t="s">
        <v>4</v>
      </c>
      <c r="F503" s="2" t="str">
        <f t="shared" si="15"/>
        <v>Non-routine cognitive</v>
      </c>
    </row>
    <row r="504" spans="1:6" x14ac:dyDescent="0.4">
      <c r="A504" s="3">
        <v>2411</v>
      </c>
      <c r="B504" s="3" t="str">
        <f t="shared" si="14"/>
        <v>2</v>
      </c>
      <c r="C504" s="4" t="s">
        <v>135</v>
      </c>
      <c r="D504" s="6" t="s">
        <v>136</v>
      </c>
      <c r="E504" s="4" t="s">
        <v>50</v>
      </c>
      <c r="F504" s="2" t="str">
        <f t="shared" si="15"/>
        <v>Routine cognitive</v>
      </c>
    </row>
    <row r="505" spans="1:6" ht="42.75" x14ac:dyDescent="0.4">
      <c r="A505" s="3">
        <v>2411</v>
      </c>
      <c r="B505" s="3" t="str">
        <f t="shared" si="14"/>
        <v>2</v>
      </c>
      <c r="C505" s="4" t="s">
        <v>135</v>
      </c>
      <c r="D505" s="8" t="s">
        <v>1515</v>
      </c>
      <c r="E505" s="4" t="s">
        <v>4</v>
      </c>
      <c r="F505" s="2" t="str">
        <f t="shared" si="15"/>
        <v>Non-routine cognitive</v>
      </c>
    </row>
    <row r="506" spans="1:6" x14ac:dyDescent="0.4">
      <c r="A506" s="3">
        <v>2411</v>
      </c>
      <c r="B506" s="3" t="str">
        <f t="shared" si="14"/>
        <v>2</v>
      </c>
      <c r="C506" s="4" t="s">
        <v>135</v>
      </c>
      <c r="D506" s="7" t="s">
        <v>137</v>
      </c>
      <c r="E506" s="4" t="s">
        <v>4</v>
      </c>
      <c r="F506" s="2" t="str">
        <f t="shared" si="15"/>
        <v>Non-routine cognitive</v>
      </c>
    </row>
    <row r="507" spans="1:6" ht="42.75" x14ac:dyDescent="0.4">
      <c r="A507" s="3">
        <v>2411</v>
      </c>
      <c r="B507" s="3" t="str">
        <f t="shared" si="14"/>
        <v>2</v>
      </c>
      <c r="C507" s="4" t="s">
        <v>135</v>
      </c>
      <c r="D507" s="5" t="s">
        <v>1516</v>
      </c>
      <c r="E507" s="4" t="s">
        <v>4</v>
      </c>
      <c r="F507" s="2" t="str">
        <f t="shared" si="15"/>
        <v>Non-routine cognitive</v>
      </c>
    </row>
    <row r="508" spans="1:6" ht="28.5" x14ac:dyDescent="0.4">
      <c r="A508" s="3">
        <v>2411</v>
      </c>
      <c r="B508" s="3" t="str">
        <f t="shared" si="14"/>
        <v>2</v>
      </c>
      <c r="C508" s="4" t="s">
        <v>135</v>
      </c>
      <c r="D508" s="8" t="s">
        <v>1517</v>
      </c>
      <c r="E508" s="4" t="s">
        <v>4</v>
      </c>
      <c r="F508" s="2" t="str">
        <f t="shared" si="15"/>
        <v>Non-routine cognitive</v>
      </c>
    </row>
    <row r="509" spans="1:6" ht="57" x14ac:dyDescent="0.4">
      <c r="A509" s="3">
        <v>2413</v>
      </c>
      <c r="B509" s="3" t="str">
        <f t="shared" si="14"/>
        <v>2</v>
      </c>
      <c r="C509" s="4" t="s">
        <v>138</v>
      </c>
      <c r="D509" s="5" t="s">
        <v>1518</v>
      </c>
      <c r="E509" s="4" t="s">
        <v>4</v>
      </c>
      <c r="F509" s="2" t="str">
        <f t="shared" si="15"/>
        <v>Non-routine cognitive</v>
      </c>
    </row>
    <row r="510" spans="1:6" ht="42.75" x14ac:dyDescent="0.4">
      <c r="A510" s="3">
        <v>2413</v>
      </c>
      <c r="B510" s="3" t="str">
        <f t="shared" si="14"/>
        <v>2</v>
      </c>
      <c r="C510" s="4" t="s">
        <v>138</v>
      </c>
      <c r="D510" s="5" t="s">
        <v>1519</v>
      </c>
      <c r="E510" s="4" t="s">
        <v>4</v>
      </c>
      <c r="F510" s="2" t="str">
        <f t="shared" si="15"/>
        <v>Non-routine cognitive</v>
      </c>
    </row>
    <row r="511" spans="1:6" ht="42.75" x14ac:dyDescent="0.4">
      <c r="A511" s="3">
        <v>2413</v>
      </c>
      <c r="B511" s="3" t="str">
        <f t="shared" si="14"/>
        <v>2</v>
      </c>
      <c r="C511" s="4" t="s">
        <v>138</v>
      </c>
      <c r="D511" s="8" t="s">
        <v>1520</v>
      </c>
      <c r="E511" s="4" t="s">
        <v>4</v>
      </c>
      <c r="F511" s="2" t="str">
        <f t="shared" si="15"/>
        <v>Non-routine cognitive</v>
      </c>
    </row>
    <row r="512" spans="1:6" ht="71.25" x14ac:dyDescent="0.4">
      <c r="A512" s="3">
        <v>2413</v>
      </c>
      <c r="B512" s="3" t="str">
        <f t="shared" si="14"/>
        <v>2</v>
      </c>
      <c r="C512" s="4" t="s">
        <v>138</v>
      </c>
      <c r="D512" s="5" t="s">
        <v>1521</v>
      </c>
      <c r="E512" s="4" t="s">
        <v>4</v>
      </c>
      <c r="F512" s="2" t="str">
        <f t="shared" si="15"/>
        <v>Non-routine cognitive</v>
      </c>
    </row>
    <row r="513" spans="1:6" ht="42.75" x14ac:dyDescent="0.4">
      <c r="A513" s="3">
        <v>2413</v>
      </c>
      <c r="B513" s="3" t="str">
        <f t="shared" si="14"/>
        <v>2</v>
      </c>
      <c r="C513" s="4" t="s">
        <v>138</v>
      </c>
      <c r="D513" s="5" t="s">
        <v>1522</v>
      </c>
      <c r="E513" s="4" t="s">
        <v>4</v>
      </c>
      <c r="F513" s="2" t="str">
        <f t="shared" si="15"/>
        <v>Non-routine cognitive</v>
      </c>
    </row>
    <row r="514" spans="1:6" ht="42.75" x14ac:dyDescent="0.4">
      <c r="A514" s="3">
        <v>2413</v>
      </c>
      <c r="B514" s="3" t="str">
        <f t="shared" si="14"/>
        <v>2</v>
      </c>
      <c r="C514" s="4" t="s">
        <v>138</v>
      </c>
      <c r="D514" s="8" t="s">
        <v>1523</v>
      </c>
      <c r="E514" s="4" t="s">
        <v>4</v>
      </c>
      <c r="F514" s="2" t="str">
        <f t="shared" si="15"/>
        <v>Non-routine cognitive</v>
      </c>
    </row>
    <row r="515" spans="1:6" ht="28.5" x14ac:dyDescent="0.4">
      <c r="A515" s="3">
        <v>2413</v>
      </c>
      <c r="B515" s="3" t="str">
        <f t="shared" ref="B515:B578" si="16">LEFT(A515,1)</f>
        <v>2</v>
      </c>
      <c r="C515" s="4" t="s">
        <v>138</v>
      </c>
      <c r="D515" s="8" t="s">
        <v>1524</v>
      </c>
      <c r="E515" s="4" t="s">
        <v>4</v>
      </c>
      <c r="F515" s="2" t="str">
        <f t="shared" ref="F515:F578" si="17">IF(E515="Non-routine interpersonal","Non-routine cognitive",IF(E515="Non-routine analytical","Non-routine cognitive",IF(E515="Non-routine manual physical","Non-routine manual",E515)))</f>
        <v>Non-routine cognitive</v>
      </c>
    </row>
    <row r="516" spans="1:6" ht="28.5" x14ac:dyDescent="0.4">
      <c r="A516" s="3">
        <v>2413</v>
      </c>
      <c r="B516" s="3" t="str">
        <f t="shared" si="16"/>
        <v>2</v>
      </c>
      <c r="C516" s="4" t="s">
        <v>138</v>
      </c>
      <c r="D516" s="8" t="s">
        <v>1525</v>
      </c>
      <c r="E516" s="4" t="s">
        <v>4</v>
      </c>
      <c r="F516" s="2" t="str">
        <f t="shared" si="17"/>
        <v>Non-routine cognitive</v>
      </c>
    </row>
    <row r="517" spans="1:6" ht="42.75" x14ac:dyDescent="0.4">
      <c r="A517" s="3">
        <v>2413</v>
      </c>
      <c r="B517" s="3" t="str">
        <f t="shared" si="16"/>
        <v>2</v>
      </c>
      <c r="C517" s="4" t="s">
        <v>138</v>
      </c>
      <c r="D517" s="8" t="s">
        <v>1526</v>
      </c>
      <c r="E517" s="4" t="s">
        <v>50</v>
      </c>
      <c r="F517" s="2" t="str">
        <f t="shared" si="17"/>
        <v>Routine cognitive</v>
      </c>
    </row>
    <row r="518" spans="1:6" ht="42.75" x14ac:dyDescent="0.4">
      <c r="A518" s="3">
        <v>2422</v>
      </c>
      <c r="B518" s="3" t="str">
        <f t="shared" si="16"/>
        <v>2</v>
      </c>
      <c r="C518" s="4" t="s">
        <v>139</v>
      </c>
      <c r="D518" s="5" t="s">
        <v>1527</v>
      </c>
      <c r="E518" s="4" t="s">
        <v>3</v>
      </c>
      <c r="F518" s="2" t="str">
        <f t="shared" si="17"/>
        <v>Non-routine cognitive</v>
      </c>
    </row>
    <row r="519" spans="1:6" ht="42.75" x14ac:dyDescent="0.4">
      <c r="A519" s="3">
        <v>2422</v>
      </c>
      <c r="B519" s="3" t="str">
        <f t="shared" si="16"/>
        <v>2</v>
      </c>
      <c r="C519" s="4" t="s">
        <v>139</v>
      </c>
      <c r="D519" s="5" t="s">
        <v>1528</v>
      </c>
      <c r="E519" s="4" t="s">
        <v>4</v>
      </c>
      <c r="F519" s="2" t="str">
        <f t="shared" si="17"/>
        <v>Non-routine cognitive</v>
      </c>
    </row>
    <row r="520" spans="1:6" ht="42.75" x14ac:dyDescent="0.4">
      <c r="A520" s="3">
        <v>2422</v>
      </c>
      <c r="B520" s="3" t="str">
        <f t="shared" si="16"/>
        <v>2</v>
      </c>
      <c r="C520" s="4" t="s">
        <v>139</v>
      </c>
      <c r="D520" s="8" t="s">
        <v>1529</v>
      </c>
      <c r="E520" s="4" t="s">
        <v>4</v>
      </c>
      <c r="F520" s="2" t="str">
        <f t="shared" si="17"/>
        <v>Non-routine cognitive</v>
      </c>
    </row>
    <row r="521" spans="1:6" ht="42.75" x14ac:dyDescent="0.4">
      <c r="A521" s="3">
        <v>2422</v>
      </c>
      <c r="B521" s="3" t="str">
        <f t="shared" si="16"/>
        <v>2</v>
      </c>
      <c r="C521" s="4" t="s">
        <v>139</v>
      </c>
      <c r="D521" s="5" t="s">
        <v>1530</v>
      </c>
      <c r="E521" s="4" t="s">
        <v>4</v>
      </c>
      <c r="F521" s="2" t="str">
        <f t="shared" si="17"/>
        <v>Non-routine cognitive</v>
      </c>
    </row>
    <row r="522" spans="1:6" ht="42.75" x14ac:dyDescent="0.4">
      <c r="A522" s="3">
        <v>2422</v>
      </c>
      <c r="B522" s="3" t="str">
        <f t="shared" si="16"/>
        <v>2</v>
      </c>
      <c r="C522" s="4" t="s">
        <v>139</v>
      </c>
      <c r="D522" s="5" t="s">
        <v>1531</v>
      </c>
      <c r="E522" s="4" t="s">
        <v>4</v>
      </c>
      <c r="F522" s="2" t="str">
        <f t="shared" si="17"/>
        <v>Non-routine cognitive</v>
      </c>
    </row>
    <row r="523" spans="1:6" ht="28.5" x14ac:dyDescent="0.4">
      <c r="A523" s="3">
        <v>2422</v>
      </c>
      <c r="B523" s="3" t="str">
        <f t="shared" si="16"/>
        <v>2</v>
      </c>
      <c r="C523" s="5" t="s">
        <v>1532</v>
      </c>
      <c r="D523" s="8" t="s">
        <v>1533</v>
      </c>
      <c r="E523" s="4" t="s">
        <v>4</v>
      </c>
      <c r="F523" s="2" t="str">
        <f t="shared" si="17"/>
        <v>Non-routine cognitive</v>
      </c>
    </row>
    <row r="524" spans="1:6" ht="42.75" x14ac:dyDescent="0.4">
      <c r="A524" s="3">
        <v>2422</v>
      </c>
      <c r="B524" s="3" t="str">
        <f t="shared" si="16"/>
        <v>2</v>
      </c>
      <c r="C524" s="4" t="s">
        <v>139</v>
      </c>
      <c r="D524" s="5" t="s">
        <v>1534</v>
      </c>
      <c r="E524" s="4" t="s">
        <v>4</v>
      </c>
      <c r="F524" s="2" t="str">
        <f t="shared" si="17"/>
        <v>Non-routine cognitive</v>
      </c>
    </row>
    <row r="525" spans="1:6" ht="57" x14ac:dyDescent="0.4">
      <c r="A525" s="3">
        <v>2423</v>
      </c>
      <c r="B525" s="3" t="str">
        <f t="shared" si="16"/>
        <v>2</v>
      </c>
      <c r="C525" s="4" t="s">
        <v>140</v>
      </c>
      <c r="D525" s="5" t="s">
        <v>1535</v>
      </c>
      <c r="E525" s="4" t="s">
        <v>4</v>
      </c>
      <c r="F525" s="2" t="str">
        <f t="shared" si="17"/>
        <v>Non-routine cognitive</v>
      </c>
    </row>
    <row r="526" spans="1:6" ht="57" x14ac:dyDescent="0.4">
      <c r="A526" s="3">
        <v>2423</v>
      </c>
      <c r="B526" s="3" t="str">
        <f t="shared" si="16"/>
        <v>2</v>
      </c>
      <c r="C526" s="4" t="s">
        <v>140</v>
      </c>
      <c r="D526" s="5" t="s">
        <v>1536</v>
      </c>
      <c r="E526" s="4" t="s">
        <v>4</v>
      </c>
      <c r="F526" s="2" t="str">
        <f t="shared" si="17"/>
        <v>Non-routine cognitive</v>
      </c>
    </row>
    <row r="527" spans="1:6" ht="28.5" x14ac:dyDescent="0.4">
      <c r="A527" s="3">
        <v>2423</v>
      </c>
      <c r="B527" s="3" t="str">
        <f t="shared" si="16"/>
        <v>2</v>
      </c>
      <c r="C527" s="4" t="s">
        <v>140</v>
      </c>
      <c r="D527" s="5" t="s">
        <v>1537</v>
      </c>
      <c r="E527" s="4" t="s">
        <v>50</v>
      </c>
      <c r="F527" s="2" t="str">
        <f t="shared" si="17"/>
        <v>Routine cognitive</v>
      </c>
    </row>
    <row r="528" spans="1:6" ht="57" x14ac:dyDescent="0.4">
      <c r="A528" s="3">
        <v>2423</v>
      </c>
      <c r="B528" s="3" t="str">
        <f t="shared" si="16"/>
        <v>2</v>
      </c>
      <c r="C528" s="4" t="s">
        <v>140</v>
      </c>
      <c r="D528" s="5" t="s">
        <v>1538</v>
      </c>
      <c r="E528" s="4" t="s">
        <v>4</v>
      </c>
      <c r="F528" s="2" t="str">
        <f t="shared" si="17"/>
        <v>Non-routine cognitive</v>
      </c>
    </row>
    <row r="529" spans="1:6" ht="57" x14ac:dyDescent="0.4">
      <c r="A529" s="3">
        <v>2423</v>
      </c>
      <c r="B529" s="3" t="str">
        <f t="shared" si="16"/>
        <v>2</v>
      </c>
      <c r="C529" s="4" t="s">
        <v>140</v>
      </c>
      <c r="D529" s="5" t="s">
        <v>1539</v>
      </c>
      <c r="E529" s="4" t="s">
        <v>4</v>
      </c>
      <c r="F529" s="2" t="str">
        <f t="shared" si="17"/>
        <v>Non-routine cognitive</v>
      </c>
    </row>
    <row r="530" spans="1:6" ht="42.75" x14ac:dyDescent="0.4">
      <c r="A530" s="3">
        <v>2431</v>
      </c>
      <c r="B530" s="3" t="str">
        <f t="shared" si="16"/>
        <v>2</v>
      </c>
      <c r="C530" s="4" t="s">
        <v>141</v>
      </c>
      <c r="D530" s="5" t="s">
        <v>1540</v>
      </c>
      <c r="E530" s="4" t="s">
        <v>4</v>
      </c>
      <c r="F530" s="2" t="str">
        <f t="shared" si="17"/>
        <v>Non-routine cognitive</v>
      </c>
    </row>
    <row r="531" spans="1:6" ht="57" x14ac:dyDescent="0.4">
      <c r="A531" s="3">
        <v>2431</v>
      </c>
      <c r="B531" s="3" t="str">
        <f t="shared" si="16"/>
        <v>2</v>
      </c>
      <c r="C531" s="4" t="s">
        <v>141</v>
      </c>
      <c r="D531" s="10" t="s">
        <v>1541</v>
      </c>
      <c r="E531" s="4" t="s">
        <v>4</v>
      </c>
      <c r="F531" s="2" t="str">
        <f t="shared" si="17"/>
        <v>Non-routine cognitive</v>
      </c>
    </row>
    <row r="532" spans="1:6" ht="42.75" x14ac:dyDescent="0.4">
      <c r="A532" s="3">
        <v>2431</v>
      </c>
      <c r="B532" s="3" t="str">
        <f t="shared" si="16"/>
        <v>2</v>
      </c>
      <c r="C532" s="4" t="s">
        <v>141</v>
      </c>
      <c r="D532" s="5" t="s">
        <v>1542</v>
      </c>
      <c r="E532" s="4" t="s">
        <v>4</v>
      </c>
      <c r="F532" s="2" t="str">
        <f t="shared" si="17"/>
        <v>Non-routine cognitive</v>
      </c>
    </row>
    <row r="533" spans="1:6" ht="28.5" x14ac:dyDescent="0.4">
      <c r="A533" s="3">
        <v>2431</v>
      </c>
      <c r="B533" s="3" t="str">
        <f t="shared" si="16"/>
        <v>2</v>
      </c>
      <c r="C533" s="5" t="s">
        <v>1543</v>
      </c>
      <c r="D533" s="8" t="s">
        <v>1544</v>
      </c>
      <c r="E533" s="4" t="s">
        <v>4</v>
      </c>
      <c r="F533" s="2" t="str">
        <f t="shared" si="17"/>
        <v>Non-routine cognitive</v>
      </c>
    </row>
    <row r="534" spans="1:6" ht="28.5" x14ac:dyDescent="0.4">
      <c r="A534" s="3">
        <v>2431</v>
      </c>
      <c r="B534" s="3" t="str">
        <f t="shared" si="16"/>
        <v>2</v>
      </c>
      <c r="C534" s="4" t="s">
        <v>141</v>
      </c>
      <c r="D534" s="5" t="s">
        <v>1545</v>
      </c>
      <c r="E534" s="4" t="s">
        <v>4</v>
      </c>
      <c r="F534" s="2" t="str">
        <f t="shared" si="17"/>
        <v>Non-routine cognitive</v>
      </c>
    </row>
    <row r="535" spans="1:6" ht="28.5" x14ac:dyDescent="0.4">
      <c r="A535" s="3">
        <v>2431</v>
      </c>
      <c r="B535" s="3" t="str">
        <f t="shared" si="16"/>
        <v>2</v>
      </c>
      <c r="C535" s="4" t="s">
        <v>141</v>
      </c>
      <c r="D535" s="8" t="s">
        <v>1546</v>
      </c>
      <c r="E535" s="4" t="s">
        <v>4</v>
      </c>
      <c r="F535" s="2" t="str">
        <f t="shared" si="17"/>
        <v>Non-routine cognitive</v>
      </c>
    </row>
    <row r="536" spans="1:6" ht="57" x14ac:dyDescent="0.4">
      <c r="A536" s="3">
        <v>2431</v>
      </c>
      <c r="B536" s="3" t="str">
        <f t="shared" si="16"/>
        <v>2</v>
      </c>
      <c r="C536" s="4" t="s">
        <v>141</v>
      </c>
      <c r="D536" s="10" t="s">
        <v>1547</v>
      </c>
      <c r="E536" s="4" t="s">
        <v>3</v>
      </c>
      <c r="F536" s="2" t="str">
        <f t="shared" si="17"/>
        <v>Non-routine cognitive</v>
      </c>
    </row>
    <row r="537" spans="1:6" ht="42.75" x14ac:dyDescent="0.4">
      <c r="A537" s="3">
        <v>2431</v>
      </c>
      <c r="B537" s="3" t="str">
        <f t="shared" si="16"/>
        <v>2</v>
      </c>
      <c r="C537" s="4" t="s">
        <v>141</v>
      </c>
      <c r="D537" s="5" t="s">
        <v>1548</v>
      </c>
      <c r="E537" s="4" t="s">
        <v>4</v>
      </c>
      <c r="F537" s="2" t="str">
        <f t="shared" si="17"/>
        <v>Non-routine cognitive</v>
      </c>
    </row>
    <row r="538" spans="1:6" ht="42.75" x14ac:dyDescent="0.4">
      <c r="A538" s="3">
        <v>2431</v>
      </c>
      <c r="B538" s="3" t="str">
        <f t="shared" si="16"/>
        <v>2</v>
      </c>
      <c r="C538" s="4" t="s">
        <v>141</v>
      </c>
      <c r="D538" s="8" t="s">
        <v>1549</v>
      </c>
      <c r="E538" s="4" t="s">
        <v>4</v>
      </c>
      <c r="F538" s="2" t="str">
        <f t="shared" si="17"/>
        <v>Non-routine cognitive</v>
      </c>
    </row>
    <row r="539" spans="1:6" ht="28.5" x14ac:dyDescent="0.4">
      <c r="A539" s="3">
        <v>2432</v>
      </c>
      <c r="B539" s="3" t="str">
        <f t="shared" si="16"/>
        <v>2</v>
      </c>
      <c r="C539" s="4" t="s">
        <v>142</v>
      </c>
      <c r="D539" s="8" t="s">
        <v>1550</v>
      </c>
      <c r="E539" s="4" t="s">
        <v>4</v>
      </c>
      <c r="F539" s="2" t="str">
        <f t="shared" si="17"/>
        <v>Non-routine cognitive</v>
      </c>
    </row>
    <row r="540" spans="1:6" ht="42.75" x14ac:dyDescent="0.4">
      <c r="A540" s="3">
        <v>2432</v>
      </c>
      <c r="B540" s="3" t="str">
        <f t="shared" si="16"/>
        <v>2</v>
      </c>
      <c r="C540" s="4" t="s">
        <v>142</v>
      </c>
      <c r="D540" s="8" t="s">
        <v>1551</v>
      </c>
      <c r="E540" s="4" t="s">
        <v>4</v>
      </c>
      <c r="F540" s="2" t="str">
        <f t="shared" si="17"/>
        <v>Non-routine cognitive</v>
      </c>
    </row>
    <row r="541" spans="1:6" ht="42.75" x14ac:dyDescent="0.4">
      <c r="A541" s="3">
        <v>2432</v>
      </c>
      <c r="B541" s="3" t="str">
        <f t="shared" si="16"/>
        <v>2</v>
      </c>
      <c r="C541" s="4" t="s">
        <v>142</v>
      </c>
      <c r="D541" s="5" t="s">
        <v>1552</v>
      </c>
      <c r="E541" s="4" t="s">
        <v>4</v>
      </c>
      <c r="F541" s="2" t="str">
        <f t="shared" si="17"/>
        <v>Non-routine cognitive</v>
      </c>
    </row>
    <row r="542" spans="1:6" ht="42.75" x14ac:dyDescent="0.4">
      <c r="A542" s="3">
        <v>2432</v>
      </c>
      <c r="B542" s="3" t="str">
        <f t="shared" si="16"/>
        <v>2</v>
      </c>
      <c r="C542" s="4" t="s">
        <v>142</v>
      </c>
      <c r="D542" s="8" t="s">
        <v>1553</v>
      </c>
      <c r="E542" s="4" t="s">
        <v>50</v>
      </c>
      <c r="F542" s="2" t="str">
        <f t="shared" si="17"/>
        <v>Routine cognitive</v>
      </c>
    </row>
    <row r="543" spans="1:6" ht="28.5" x14ac:dyDescent="0.4">
      <c r="A543" s="3">
        <v>2432</v>
      </c>
      <c r="B543" s="3" t="str">
        <f t="shared" si="16"/>
        <v>2</v>
      </c>
      <c r="C543" s="4" t="s">
        <v>142</v>
      </c>
      <c r="D543" s="8" t="s">
        <v>1554</v>
      </c>
      <c r="E543" s="4" t="s">
        <v>3</v>
      </c>
      <c r="F543" s="2" t="str">
        <f t="shared" si="17"/>
        <v>Non-routine cognitive</v>
      </c>
    </row>
    <row r="544" spans="1:6" ht="28.5" x14ac:dyDescent="0.4">
      <c r="A544" s="3">
        <v>2432</v>
      </c>
      <c r="B544" s="3" t="str">
        <f t="shared" si="16"/>
        <v>2</v>
      </c>
      <c r="C544" s="4" t="s">
        <v>142</v>
      </c>
      <c r="D544" s="5" t="s">
        <v>1555</v>
      </c>
      <c r="E544" s="4" t="s">
        <v>3</v>
      </c>
      <c r="F544" s="2" t="str">
        <f t="shared" si="17"/>
        <v>Non-routine cognitive</v>
      </c>
    </row>
    <row r="545" spans="1:6" ht="28.5" x14ac:dyDescent="0.4">
      <c r="A545" s="3">
        <v>2432</v>
      </c>
      <c r="B545" s="3" t="str">
        <f t="shared" si="16"/>
        <v>2</v>
      </c>
      <c r="C545" s="4" t="s">
        <v>142</v>
      </c>
      <c r="D545" s="7" t="s">
        <v>143</v>
      </c>
      <c r="E545" s="4" t="s">
        <v>3</v>
      </c>
      <c r="F545" s="2" t="str">
        <f t="shared" si="17"/>
        <v>Non-routine cognitive</v>
      </c>
    </row>
    <row r="546" spans="1:6" ht="42.75" x14ac:dyDescent="0.4">
      <c r="A546" s="3">
        <v>2432</v>
      </c>
      <c r="B546" s="3" t="str">
        <f t="shared" si="16"/>
        <v>2</v>
      </c>
      <c r="C546" s="4" t="s">
        <v>142</v>
      </c>
      <c r="D546" s="5" t="s">
        <v>1556</v>
      </c>
      <c r="E546" s="4" t="s">
        <v>4</v>
      </c>
      <c r="F546" s="2" t="str">
        <f t="shared" si="17"/>
        <v>Non-routine cognitive</v>
      </c>
    </row>
    <row r="547" spans="1:6" ht="42.75" x14ac:dyDescent="0.4">
      <c r="A547" s="3">
        <v>2433</v>
      </c>
      <c r="B547" s="3" t="str">
        <f t="shared" si="16"/>
        <v>2</v>
      </c>
      <c r="C547" s="4" t="s">
        <v>144</v>
      </c>
      <c r="D547" s="8" t="s">
        <v>1557</v>
      </c>
      <c r="E547" s="4" t="s">
        <v>50</v>
      </c>
      <c r="F547" s="2" t="str">
        <f t="shared" si="17"/>
        <v>Routine cognitive</v>
      </c>
    </row>
    <row r="548" spans="1:6" ht="42.75" x14ac:dyDescent="0.4">
      <c r="A548" s="3">
        <v>2433</v>
      </c>
      <c r="B548" s="3" t="str">
        <f t="shared" si="16"/>
        <v>2</v>
      </c>
      <c r="C548" s="4" t="s">
        <v>144</v>
      </c>
      <c r="D548" s="8" t="s">
        <v>1558</v>
      </c>
      <c r="E548" s="4" t="s">
        <v>50</v>
      </c>
      <c r="F548" s="2" t="str">
        <f t="shared" si="17"/>
        <v>Routine cognitive</v>
      </c>
    </row>
    <row r="549" spans="1:6" ht="42.75" x14ac:dyDescent="0.4">
      <c r="A549" s="3">
        <v>2433</v>
      </c>
      <c r="B549" s="3" t="str">
        <f t="shared" si="16"/>
        <v>2</v>
      </c>
      <c r="C549" s="4" t="s">
        <v>144</v>
      </c>
      <c r="D549" s="8" t="s">
        <v>1559</v>
      </c>
      <c r="E549" s="4" t="s">
        <v>50</v>
      </c>
      <c r="F549" s="2" t="str">
        <f t="shared" si="17"/>
        <v>Routine cognitive</v>
      </c>
    </row>
    <row r="550" spans="1:6" ht="28.5" x14ac:dyDescent="0.4">
      <c r="A550" s="3">
        <v>2433</v>
      </c>
      <c r="B550" s="3" t="str">
        <f t="shared" si="16"/>
        <v>2</v>
      </c>
      <c r="C550" s="4" t="s">
        <v>144</v>
      </c>
      <c r="D550" s="10" t="s">
        <v>1560</v>
      </c>
      <c r="E550" s="4" t="s">
        <v>4</v>
      </c>
      <c r="F550" s="2" t="str">
        <f t="shared" si="17"/>
        <v>Non-routine cognitive</v>
      </c>
    </row>
    <row r="551" spans="1:6" ht="28.5" x14ac:dyDescent="0.4">
      <c r="A551" s="3">
        <v>2433</v>
      </c>
      <c r="B551" s="3" t="str">
        <f t="shared" si="16"/>
        <v>2</v>
      </c>
      <c r="C551" s="4" t="s">
        <v>144</v>
      </c>
      <c r="D551" s="8" t="s">
        <v>1561</v>
      </c>
      <c r="E551" s="4" t="s">
        <v>4</v>
      </c>
      <c r="F551" s="2" t="str">
        <f t="shared" si="17"/>
        <v>Non-routine cognitive</v>
      </c>
    </row>
    <row r="552" spans="1:6" ht="42.75" x14ac:dyDescent="0.4">
      <c r="A552" s="3">
        <v>2433</v>
      </c>
      <c r="B552" s="3" t="str">
        <f t="shared" si="16"/>
        <v>2</v>
      </c>
      <c r="C552" s="4" t="s">
        <v>144</v>
      </c>
      <c r="D552" s="5" t="s">
        <v>1562</v>
      </c>
      <c r="E552" s="4" t="s">
        <v>4</v>
      </c>
      <c r="F552" s="2" t="str">
        <f t="shared" si="17"/>
        <v>Non-routine cognitive</v>
      </c>
    </row>
    <row r="553" spans="1:6" ht="28.5" x14ac:dyDescent="0.4">
      <c r="A553" s="3">
        <v>2433</v>
      </c>
      <c r="B553" s="3" t="str">
        <f t="shared" si="16"/>
        <v>2</v>
      </c>
      <c r="C553" s="4" t="s">
        <v>144</v>
      </c>
      <c r="D553" s="10" t="s">
        <v>1563</v>
      </c>
      <c r="E553" s="4" t="s">
        <v>4</v>
      </c>
      <c r="F553" s="2" t="str">
        <f t="shared" si="17"/>
        <v>Non-routine cognitive</v>
      </c>
    </row>
    <row r="554" spans="1:6" ht="42.75" x14ac:dyDescent="0.4">
      <c r="A554" s="3">
        <v>2433</v>
      </c>
      <c r="B554" s="3" t="str">
        <f t="shared" si="16"/>
        <v>2</v>
      </c>
      <c r="C554" s="4" t="s">
        <v>144</v>
      </c>
      <c r="D554" s="8" t="s">
        <v>1564</v>
      </c>
      <c r="E554" s="4" t="s">
        <v>4</v>
      </c>
      <c r="F554" s="2" t="str">
        <f t="shared" si="17"/>
        <v>Non-routine cognitive</v>
      </c>
    </row>
    <row r="555" spans="1:6" ht="42.75" x14ac:dyDescent="0.4">
      <c r="A555" s="3">
        <v>2433</v>
      </c>
      <c r="B555" s="3" t="str">
        <f t="shared" si="16"/>
        <v>2</v>
      </c>
      <c r="C555" s="4" t="s">
        <v>144</v>
      </c>
      <c r="D555" s="8" t="s">
        <v>1565</v>
      </c>
      <c r="E555" s="4" t="s">
        <v>50</v>
      </c>
      <c r="F555" s="2" t="str">
        <f t="shared" si="17"/>
        <v>Routine cognitive</v>
      </c>
    </row>
    <row r="556" spans="1:6" ht="28.5" x14ac:dyDescent="0.4">
      <c r="A556" s="3">
        <v>2433</v>
      </c>
      <c r="B556" s="3" t="str">
        <f t="shared" si="16"/>
        <v>2</v>
      </c>
      <c r="C556" s="4" t="s">
        <v>144</v>
      </c>
      <c r="D556" s="8" t="s">
        <v>1566</v>
      </c>
      <c r="E556" s="4" t="s">
        <v>3</v>
      </c>
      <c r="F556" s="2" t="str">
        <f t="shared" si="17"/>
        <v>Non-routine cognitive</v>
      </c>
    </row>
    <row r="557" spans="1:6" ht="28.5" x14ac:dyDescent="0.4">
      <c r="A557" s="3">
        <v>2433</v>
      </c>
      <c r="B557" s="3" t="str">
        <f t="shared" si="16"/>
        <v>2</v>
      </c>
      <c r="C557" s="4" t="s">
        <v>144</v>
      </c>
      <c r="D557" s="8" t="s">
        <v>1567</v>
      </c>
      <c r="E557" s="4" t="s">
        <v>3</v>
      </c>
      <c r="F557" s="2" t="str">
        <f t="shared" si="17"/>
        <v>Non-routine cognitive</v>
      </c>
    </row>
    <row r="558" spans="1:6" ht="42.75" x14ac:dyDescent="0.4">
      <c r="A558" s="3">
        <v>2433</v>
      </c>
      <c r="B558" s="3" t="str">
        <f t="shared" si="16"/>
        <v>2</v>
      </c>
      <c r="C558" s="4" t="s">
        <v>144</v>
      </c>
      <c r="D558" s="5" t="s">
        <v>1568</v>
      </c>
      <c r="E558" s="4" t="s">
        <v>3</v>
      </c>
      <c r="F558" s="2" t="str">
        <f t="shared" si="17"/>
        <v>Non-routine cognitive</v>
      </c>
    </row>
    <row r="559" spans="1:6" ht="28.5" x14ac:dyDescent="0.4">
      <c r="A559" s="3">
        <v>2434</v>
      </c>
      <c r="B559" s="3" t="str">
        <f t="shared" si="16"/>
        <v>2</v>
      </c>
      <c r="C559" s="4" t="s">
        <v>145</v>
      </c>
      <c r="D559" s="8" t="s">
        <v>1569</v>
      </c>
      <c r="E559" s="4" t="s">
        <v>50</v>
      </c>
      <c r="F559" s="2" t="str">
        <f t="shared" si="17"/>
        <v>Routine cognitive</v>
      </c>
    </row>
    <row r="560" spans="1:6" ht="28.5" x14ac:dyDescent="0.4">
      <c r="A560" s="3">
        <v>2434</v>
      </c>
      <c r="B560" s="3" t="str">
        <f t="shared" si="16"/>
        <v>2</v>
      </c>
      <c r="C560" s="4" t="s">
        <v>145</v>
      </c>
      <c r="D560" s="8" t="s">
        <v>1570</v>
      </c>
      <c r="E560" s="4" t="s">
        <v>50</v>
      </c>
      <c r="F560" s="2" t="str">
        <f t="shared" si="17"/>
        <v>Routine cognitive</v>
      </c>
    </row>
    <row r="561" spans="1:6" ht="42.75" x14ac:dyDescent="0.4">
      <c r="A561" s="3">
        <v>2434</v>
      </c>
      <c r="B561" s="3" t="str">
        <f t="shared" si="16"/>
        <v>2</v>
      </c>
      <c r="C561" s="4" t="s">
        <v>145</v>
      </c>
      <c r="D561" s="5" t="s">
        <v>1571</v>
      </c>
      <c r="E561" s="4" t="s">
        <v>3</v>
      </c>
      <c r="F561" s="2" t="str">
        <f t="shared" si="17"/>
        <v>Non-routine cognitive</v>
      </c>
    </row>
    <row r="562" spans="1:6" ht="42.75" x14ac:dyDescent="0.4">
      <c r="A562" s="3">
        <v>2434</v>
      </c>
      <c r="B562" s="3" t="str">
        <f t="shared" si="16"/>
        <v>2</v>
      </c>
      <c r="C562" s="4" t="s">
        <v>145</v>
      </c>
      <c r="D562" s="10" t="s">
        <v>1572</v>
      </c>
      <c r="E562" s="4" t="s">
        <v>50</v>
      </c>
      <c r="F562" s="2" t="str">
        <f t="shared" si="17"/>
        <v>Routine cognitive</v>
      </c>
    </row>
    <row r="563" spans="1:6" ht="28.5" x14ac:dyDescent="0.4">
      <c r="A563" s="3">
        <v>2434</v>
      </c>
      <c r="B563" s="3" t="str">
        <f t="shared" si="16"/>
        <v>2</v>
      </c>
      <c r="C563" s="4" t="s">
        <v>145</v>
      </c>
      <c r="D563" s="12" t="s">
        <v>146</v>
      </c>
      <c r="E563" s="4" t="s">
        <v>50</v>
      </c>
      <c r="F563" s="2" t="str">
        <f t="shared" si="17"/>
        <v>Routine cognitive</v>
      </c>
    </row>
    <row r="564" spans="1:6" ht="28.5" x14ac:dyDescent="0.4">
      <c r="A564" s="3">
        <v>2434</v>
      </c>
      <c r="B564" s="3" t="str">
        <f t="shared" si="16"/>
        <v>2</v>
      </c>
      <c r="C564" s="4" t="s">
        <v>145</v>
      </c>
      <c r="D564" s="8" t="s">
        <v>1573</v>
      </c>
      <c r="E564" s="4" t="s">
        <v>50</v>
      </c>
      <c r="F564" s="2" t="str">
        <f t="shared" si="17"/>
        <v>Routine cognitive</v>
      </c>
    </row>
    <row r="565" spans="1:6" ht="28.5" x14ac:dyDescent="0.4">
      <c r="A565" s="3">
        <v>2434</v>
      </c>
      <c r="B565" s="3" t="str">
        <f t="shared" si="16"/>
        <v>2</v>
      </c>
      <c r="C565" s="4" t="s">
        <v>145</v>
      </c>
      <c r="D565" s="8" t="s">
        <v>1574</v>
      </c>
      <c r="E565" s="4" t="s">
        <v>50</v>
      </c>
      <c r="F565" s="2" t="str">
        <f t="shared" si="17"/>
        <v>Routine cognitive</v>
      </c>
    </row>
    <row r="566" spans="1:6" ht="42.75" x14ac:dyDescent="0.4">
      <c r="A566" s="3">
        <v>2511</v>
      </c>
      <c r="B566" s="3" t="str">
        <f t="shared" si="16"/>
        <v>2</v>
      </c>
      <c r="C566" s="4" t="s">
        <v>147</v>
      </c>
      <c r="D566" s="10" t="s">
        <v>1575</v>
      </c>
      <c r="E566" s="4" t="s">
        <v>3</v>
      </c>
      <c r="F566" s="2" t="str">
        <f t="shared" si="17"/>
        <v>Non-routine cognitive</v>
      </c>
    </row>
    <row r="567" spans="1:6" ht="28.5" x14ac:dyDescent="0.4">
      <c r="A567" s="3">
        <v>2511</v>
      </c>
      <c r="B567" s="3" t="str">
        <f t="shared" si="16"/>
        <v>2</v>
      </c>
      <c r="C567" s="4" t="s">
        <v>147</v>
      </c>
      <c r="D567" s="5" t="s">
        <v>1576</v>
      </c>
      <c r="E567" s="4" t="s">
        <v>4</v>
      </c>
      <c r="F567" s="2" t="str">
        <f t="shared" si="17"/>
        <v>Non-routine cognitive</v>
      </c>
    </row>
    <row r="568" spans="1:6" ht="42.75" x14ac:dyDescent="0.4">
      <c r="A568" s="3">
        <v>2511</v>
      </c>
      <c r="B568" s="3" t="str">
        <f t="shared" si="16"/>
        <v>2</v>
      </c>
      <c r="C568" s="4" t="s">
        <v>147</v>
      </c>
      <c r="D568" s="8" t="s">
        <v>1577</v>
      </c>
      <c r="E568" s="4" t="s">
        <v>4</v>
      </c>
      <c r="F568" s="2" t="str">
        <f t="shared" si="17"/>
        <v>Non-routine cognitive</v>
      </c>
    </row>
    <row r="569" spans="1:6" ht="57" x14ac:dyDescent="0.4">
      <c r="A569" s="3">
        <v>2511</v>
      </c>
      <c r="B569" s="3" t="str">
        <f t="shared" si="16"/>
        <v>2</v>
      </c>
      <c r="C569" s="4" t="s">
        <v>147</v>
      </c>
      <c r="D569" s="5" t="s">
        <v>1578</v>
      </c>
      <c r="E569" s="4" t="s">
        <v>4</v>
      </c>
      <c r="F569" s="2" t="str">
        <f t="shared" si="17"/>
        <v>Non-routine cognitive</v>
      </c>
    </row>
    <row r="570" spans="1:6" ht="28.5" x14ac:dyDescent="0.4">
      <c r="A570" s="3">
        <v>2511</v>
      </c>
      <c r="B570" s="3" t="str">
        <f t="shared" si="16"/>
        <v>2</v>
      </c>
      <c r="C570" s="4" t="s">
        <v>147</v>
      </c>
      <c r="D570" s="10" t="s">
        <v>1579</v>
      </c>
      <c r="E570" s="4" t="s">
        <v>4</v>
      </c>
      <c r="F570" s="2" t="str">
        <f t="shared" si="17"/>
        <v>Non-routine cognitive</v>
      </c>
    </row>
    <row r="571" spans="1:6" ht="28.5" x14ac:dyDescent="0.4">
      <c r="A571" s="3">
        <v>2511</v>
      </c>
      <c r="B571" s="3" t="str">
        <f t="shared" si="16"/>
        <v>2</v>
      </c>
      <c r="C571" s="4" t="s">
        <v>147</v>
      </c>
      <c r="D571" s="8" t="s">
        <v>1580</v>
      </c>
      <c r="E571" s="4" t="s">
        <v>4</v>
      </c>
      <c r="F571" s="2" t="str">
        <f t="shared" si="17"/>
        <v>Non-routine cognitive</v>
      </c>
    </row>
    <row r="572" spans="1:6" ht="42.75" x14ac:dyDescent="0.4">
      <c r="A572" s="3">
        <v>2511</v>
      </c>
      <c r="B572" s="3" t="str">
        <f t="shared" si="16"/>
        <v>2</v>
      </c>
      <c r="C572" s="4" t="s">
        <v>147</v>
      </c>
      <c r="D572" s="8" t="s">
        <v>1581</v>
      </c>
      <c r="E572" s="4" t="s">
        <v>3</v>
      </c>
      <c r="F572" s="2" t="str">
        <f t="shared" si="17"/>
        <v>Non-routine cognitive</v>
      </c>
    </row>
    <row r="573" spans="1:6" ht="42.75" x14ac:dyDescent="0.4">
      <c r="A573" s="3">
        <v>2512</v>
      </c>
      <c r="B573" s="3" t="str">
        <f t="shared" si="16"/>
        <v>2</v>
      </c>
      <c r="C573" s="4" t="s">
        <v>148</v>
      </c>
      <c r="D573" s="10" t="s">
        <v>1582</v>
      </c>
      <c r="E573" s="4" t="s">
        <v>4</v>
      </c>
      <c r="F573" s="2" t="str">
        <f t="shared" si="17"/>
        <v>Non-routine cognitive</v>
      </c>
    </row>
    <row r="574" spans="1:6" ht="28.5" x14ac:dyDescent="0.4">
      <c r="A574" s="3">
        <v>2512</v>
      </c>
      <c r="B574" s="3" t="str">
        <f t="shared" si="16"/>
        <v>2</v>
      </c>
      <c r="C574" s="4" t="s">
        <v>148</v>
      </c>
      <c r="D574" s="5" t="s">
        <v>1583</v>
      </c>
      <c r="E574" s="4" t="s">
        <v>4</v>
      </c>
      <c r="F574" s="2" t="str">
        <f t="shared" si="17"/>
        <v>Non-routine cognitive</v>
      </c>
    </row>
    <row r="575" spans="1:6" ht="28.5" x14ac:dyDescent="0.4">
      <c r="A575" s="3">
        <v>2512</v>
      </c>
      <c r="B575" s="3" t="str">
        <f t="shared" si="16"/>
        <v>2</v>
      </c>
      <c r="C575" s="4" t="s">
        <v>148</v>
      </c>
      <c r="D575" s="5" t="s">
        <v>1584</v>
      </c>
      <c r="E575" s="4" t="s">
        <v>4</v>
      </c>
      <c r="F575" s="2" t="str">
        <f t="shared" si="17"/>
        <v>Non-routine cognitive</v>
      </c>
    </row>
    <row r="576" spans="1:6" ht="28.5" x14ac:dyDescent="0.4">
      <c r="A576" s="3">
        <v>2512</v>
      </c>
      <c r="B576" s="3" t="str">
        <f t="shared" si="16"/>
        <v>2</v>
      </c>
      <c r="C576" s="4" t="s">
        <v>148</v>
      </c>
      <c r="D576" s="5" t="s">
        <v>1585</v>
      </c>
      <c r="E576" s="4" t="s">
        <v>4</v>
      </c>
      <c r="F576" s="2" t="str">
        <f t="shared" si="17"/>
        <v>Non-routine cognitive</v>
      </c>
    </row>
    <row r="577" spans="1:6" ht="42.75" x14ac:dyDescent="0.4">
      <c r="A577" s="3">
        <v>2512</v>
      </c>
      <c r="B577" s="3" t="str">
        <f t="shared" si="16"/>
        <v>2</v>
      </c>
      <c r="C577" s="4" t="s">
        <v>148</v>
      </c>
      <c r="D577" s="5" t="s">
        <v>1586</v>
      </c>
      <c r="E577" s="4" t="s">
        <v>4</v>
      </c>
      <c r="F577" s="2" t="str">
        <f t="shared" si="17"/>
        <v>Non-routine cognitive</v>
      </c>
    </row>
    <row r="578" spans="1:6" ht="28.5" x14ac:dyDescent="0.4">
      <c r="A578" s="3">
        <v>2512</v>
      </c>
      <c r="B578" s="3" t="str">
        <f t="shared" si="16"/>
        <v>2</v>
      </c>
      <c r="C578" s="4" t="s">
        <v>148</v>
      </c>
      <c r="D578" s="15" t="s">
        <v>1587</v>
      </c>
      <c r="E578" s="4" t="s">
        <v>3</v>
      </c>
      <c r="F578" s="2" t="str">
        <f t="shared" si="17"/>
        <v>Non-routine cognitive</v>
      </c>
    </row>
    <row r="579" spans="1:6" ht="42.75" x14ac:dyDescent="0.4">
      <c r="A579" s="3">
        <v>2512</v>
      </c>
      <c r="B579" s="3" t="str">
        <f t="shared" ref="B579:B642" si="18">LEFT(A579,1)</f>
        <v>2</v>
      </c>
      <c r="C579" s="4" t="s">
        <v>148</v>
      </c>
      <c r="D579" s="5" t="s">
        <v>1588</v>
      </c>
      <c r="E579" s="4" t="s">
        <v>4</v>
      </c>
      <c r="F579" s="2" t="str">
        <f t="shared" ref="F579:F642" si="19">IF(E579="Non-routine interpersonal","Non-routine cognitive",IF(E579="Non-routine analytical","Non-routine cognitive",IF(E579="Non-routine manual physical","Non-routine manual",E579)))</f>
        <v>Non-routine cognitive</v>
      </c>
    </row>
    <row r="580" spans="1:6" ht="28.5" x14ac:dyDescent="0.4">
      <c r="A580" s="3">
        <v>2512</v>
      </c>
      <c r="B580" s="3" t="str">
        <f t="shared" si="18"/>
        <v>2</v>
      </c>
      <c r="C580" s="4" t="s">
        <v>148</v>
      </c>
      <c r="D580" s="5" t="s">
        <v>1589</v>
      </c>
      <c r="E580" s="4" t="s">
        <v>3</v>
      </c>
      <c r="F580" s="2" t="str">
        <f t="shared" si="19"/>
        <v>Non-routine cognitive</v>
      </c>
    </row>
    <row r="581" spans="1:6" ht="57" x14ac:dyDescent="0.4">
      <c r="A581" s="3">
        <v>2513</v>
      </c>
      <c r="B581" s="3" t="str">
        <f t="shared" si="18"/>
        <v>2</v>
      </c>
      <c r="C581" s="4" t="s">
        <v>149</v>
      </c>
      <c r="D581" s="5" t="s">
        <v>1590</v>
      </c>
      <c r="E581" s="4" t="s">
        <v>4</v>
      </c>
      <c r="F581" s="2" t="str">
        <f t="shared" si="19"/>
        <v>Non-routine cognitive</v>
      </c>
    </row>
    <row r="582" spans="1:6" ht="57" x14ac:dyDescent="0.4">
      <c r="A582" s="3">
        <v>2513</v>
      </c>
      <c r="B582" s="3" t="str">
        <f t="shared" si="18"/>
        <v>2</v>
      </c>
      <c r="C582" s="4" t="s">
        <v>149</v>
      </c>
      <c r="D582" s="5" t="s">
        <v>1591</v>
      </c>
      <c r="E582" s="4" t="s">
        <v>4</v>
      </c>
      <c r="F582" s="2" t="str">
        <f t="shared" si="19"/>
        <v>Non-routine cognitive</v>
      </c>
    </row>
    <row r="583" spans="1:6" ht="71.25" x14ac:dyDescent="0.4">
      <c r="A583" s="3">
        <v>2513</v>
      </c>
      <c r="B583" s="3" t="str">
        <f t="shared" si="18"/>
        <v>2</v>
      </c>
      <c r="C583" s="4" t="s">
        <v>149</v>
      </c>
      <c r="D583" s="5" t="s">
        <v>1592</v>
      </c>
      <c r="E583" s="4" t="s">
        <v>3</v>
      </c>
      <c r="F583" s="2" t="str">
        <f t="shared" si="19"/>
        <v>Non-routine cognitive</v>
      </c>
    </row>
    <row r="584" spans="1:6" ht="42.75" x14ac:dyDescent="0.4">
      <c r="A584" s="3">
        <v>2513</v>
      </c>
      <c r="B584" s="3" t="str">
        <f t="shared" si="18"/>
        <v>2</v>
      </c>
      <c r="C584" s="4" t="s">
        <v>149</v>
      </c>
      <c r="D584" s="5" t="s">
        <v>1593</v>
      </c>
      <c r="E584" s="4" t="s">
        <v>4</v>
      </c>
      <c r="F584" s="2" t="str">
        <f t="shared" si="19"/>
        <v>Non-routine cognitive</v>
      </c>
    </row>
    <row r="585" spans="1:6" ht="42.75" x14ac:dyDescent="0.4">
      <c r="A585" s="3">
        <v>2513</v>
      </c>
      <c r="B585" s="3" t="str">
        <f t="shared" si="18"/>
        <v>2</v>
      </c>
      <c r="C585" s="4" t="s">
        <v>149</v>
      </c>
      <c r="D585" s="5" t="s">
        <v>1594</v>
      </c>
      <c r="E585" s="4" t="s">
        <v>4</v>
      </c>
      <c r="F585" s="2" t="str">
        <f t="shared" si="19"/>
        <v>Non-routine cognitive</v>
      </c>
    </row>
    <row r="586" spans="1:6" ht="28.5" x14ac:dyDescent="0.4">
      <c r="A586" s="3">
        <v>2514</v>
      </c>
      <c r="B586" s="3" t="str">
        <f t="shared" si="18"/>
        <v>2</v>
      </c>
      <c r="C586" s="4" t="s">
        <v>150</v>
      </c>
      <c r="D586" s="5" t="s">
        <v>1595</v>
      </c>
      <c r="E586" s="4" t="s">
        <v>4</v>
      </c>
      <c r="F586" s="2" t="str">
        <f t="shared" si="19"/>
        <v>Non-routine cognitive</v>
      </c>
    </row>
    <row r="587" spans="1:6" ht="42.75" x14ac:dyDescent="0.4">
      <c r="A587" s="3">
        <v>2514</v>
      </c>
      <c r="B587" s="3" t="str">
        <f t="shared" si="18"/>
        <v>2</v>
      </c>
      <c r="C587" s="4" t="s">
        <v>150</v>
      </c>
      <c r="D587" s="5" t="s">
        <v>1596</v>
      </c>
      <c r="E587" s="4" t="s">
        <v>4</v>
      </c>
      <c r="F587" s="2" t="str">
        <f t="shared" si="19"/>
        <v>Non-routine cognitive</v>
      </c>
    </row>
    <row r="588" spans="1:6" ht="28.5" x14ac:dyDescent="0.4">
      <c r="A588" s="3">
        <v>2514</v>
      </c>
      <c r="B588" s="3" t="str">
        <f t="shared" si="18"/>
        <v>2</v>
      </c>
      <c r="C588" s="4" t="s">
        <v>150</v>
      </c>
      <c r="D588" s="5" t="s">
        <v>1597</v>
      </c>
      <c r="E588" s="4" t="s">
        <v>4</v>
      </c>
      <c r="F588" s="2" t="str">
        <f t="shared" si="19"/>
        <v>Non-routine cognitive</v>
      </c>
    </row>
    <row r="589" spans="1:6" ht="28.5" x14ac:dyDescent="0.4">
      <c r="A589" s="3">
        <v>2514</v>
      </c>
      <c r="B589" s="3" t="str">
        <f t="shared" si="18"/>
        <v>2</v>
      </c>
      <c r="C589" s="4" t="s">
        <v>150</v>
      </c>
      <c r="D589" s="5" t="s">
        <v>1598</v>
      </c>
      <c r="E589" s="4" t="s">
        <v>50</v>
      </c>
      <c r="F589" s="2" t="str">
        <f t="shared" si="19"/>
        <v>Routine cognitive</v>
      </c>
    </row>
    <row r="590" spans="1:6" ht="28.5" x14ac:dyDescent="0.4">
      <c r="A590" s="3">
        <v>2514</v>
      </c>
      <c r="B590" s="3" t="str">
        <f t="shared" si="18"/>
        <v>2</v>
      </c>
      <c r="C590" s="4" t="s">
        <v>150</v>
      </c>
      <c r="D590" s="5" t="s">
        <v>1599</v>
      </c>
      <c r="E590" s="4" t="s">
        <v>4</v>
      </c>
      <c r="F590" s="2" t="str">
        <f t="shared" si="19"/>
        <v>Non-routine cognitive</v>
      </c>
    </row>
    <row r="591" spans="1:6" ht="57" x14ac:dyDescent="0.4">
      <c r="A591" s="3">
        <v>2523</v>
      </c>
      <c r="B591" s="3" t="str">
        <f t="shared" si="18"/>
        <v>2</v>
      </c>
      <c r="C591" s="4" t="s">
        <v>151</v>
      </c>
      <c r="D591" s="5" t="s">
        <v>1600</v>
      </c>
      <c r="E591" s="4" t="s">
        <v>4</v>
      </c>
      <c r="F591" s="2" t="str">
        <f t="shared" si="19"/>
        <v>Non-routine cognitive</v>
      </c>
    </row>
    <row r="592" spans="1:6" ht="42.75" x14ac:dyDescent="0.4">
      <c r="A592" s="3">
        <v>2523</v>
      </c>
      <c r="B592" s="3" t="str">
        <f t="shared" si="18"/>
        <v>2</v>
      </c>
      <c r="C592" s="4" t="s">
        <v>151</v>
      </c>
      <c r="D592" s="10" t="s">
        <v>1601</v>
      </c>
      <c r="E592" s="4" t="s">
        <v>4</v>
      </c>
      <c r="F592" s="2" t="str">
        <f t="shared" si="19"/>
        <v>Non-routine cognitive</v>
      </c>
    </row>
    <row r="593" spans="1:6" ht="57" x14ac:dyDescent="0.4">
      <c r="A593" s="3">
        <v>2523</v>
      </c>
      <c r="B593" s="3" t="str">
        <f t="shared" si="18"/>
        <v>2</v>
      </c>
      <c r="C593" s="4" t="s">
        <v>151</v>
      </c>
      <c r="D593" s="5" t="s">
        <v>1602</v>
      </c>
      <c r="E593" s="4" t="s">
        <v>4</v>
      </c>
      <c r="F593" s="2" t="str">
        <f t="shared" si="19"/>
        <v>Non-routine cognitive</v>
      </c>
    </row>
    <row r="594" spans="1:6" ht="42.75" x14ac:dyDescent="0.4">
      <c r="A594" s="3">
        <v>2523</v>
      </c>
      <c r="B594" s="3" t="str">
        <f t="shared" si="18"/>
        <v>2</v>
      </c>
      <c r="C594" s="4" t="s">
        <v>151</v>
      </c>
      <c r="D594" s="5" t="s">
        <v>1603</v>
      </c>
      <c r="E594" s="4" t="s">
        <v>4</v>
      </c>
      <c r="F594" s="2" t="str">
        <f t="shared" si="19"/>
        <v>Non-routine cognitive</v>
      </c>
    </row>
    <row r="595" spans="1:6" ht="42.75" x14ac:dyDescent="0.4">
      <c r="A595" s="3">
        <v>2523</v>
      </c>
      <c r="B595" s="3" t="str">
        <f t="shared" si="18"/>
        <v>2</v>
      </c>
      <c r="C595" s="4" t="s">
        <v>151</v>
      </c>
      <c r="D595" s="5" t="s">
        <v>1604</v>
      </c>
      <c r="E595" s="4" t="s">
        <v>50</v>
      </c>
      <c r="F595" s="2" t="str">
        <f t="shared" si="19"/>
        <v>Routine cognitive</v>
      </c>
    </row>
    <row r="596" spans="1:6" ht="57" x14ac:dyDescent="0.4">
      <c r="A596" s="3">
        <v>2523</v>
      </c>
      <c r="B596" s="3" t="str">
        <f t="shared" si="18"/>
        <v>2</v>
      </c>
      <c r="C596" s="4" t="s">
        <v>151</v>
      </c>
      <c r="D596" s="5" t="s">
        <v>1605</v>
      </c>
      <c r="E596" s="4" t="s">
        <v>50</v>
      </c>
      <c r="F596" s="2" t="str">
        <f t="shared" si="19"/>
        <v>Routine cognitive</v>
      </c>
    </row>
    <row r="597" spans="1:6" ht="42.75" x14ac:dyDescent="0.4">
      <c r="A597" s="3">
        <v>2523</v>
      </c>
      <c r="B597" s="3" t="str">
        <f t="shared" si="18"/>
        <v>2</v>
      </c>
      <c r="C597" s="4" t="s">
        <v>151</v>
      </c>
      <c r="D597" s="8" t="s">
        <v>1606</v>
      </c>
      <c r="E597" s="4" t="s">
        <v>4</v>
      </c>
      <c r="F597" s="2" t="str">
        <f t="shared" si="19"/>
        <v>Non-routine cognitive</v>
      </c>
    </row>
    <row r="598" spans="1:6" ht="57" x14ac:dyDescent="0.4">
      <c r="A598" s="3">
        <v>2635</v>
      </c>
      <c r="B598" s="3" t="str">
        <f t="shared" si="18"/>
        <v>2</v>
      </c>
      <c r="C598" s="4" t="s">
        <v>152</v>
      </c>
      <c r="D598" s="5" t="s">
        <v>1607</v>
      </c>
      <c r="E598" s="4" t="s">
        <v>3</v>
      </c>
      <c r="F598" s="2" t="str">
        <f t="shared" si="19"/>
        <v>Non-routine cognitive</v>
      </c>
    </row>
    <row r="599" spans="1:6" ht="28.5" x14ac:dyDescent="0.4">
      <c r="A599" s="3">
        <v>2635</v>
      </c>
      <c r="B599" s="3" t="str">
        <f t="shared" si="18"/>
        <v>2</v>
      </c>
      <c r="C599" s="4" t="s">
        <v>152</v>
      </c>
      <c r="D599" s="10" t="s">
        <v>1608</v>
      </c>
      <c r="E599" s="4" t="s">
        <v>4</v>
      </c>
      <c r="F599" s="2" t="str">
        <f t="shared" si="19"/>
        <v>Non-routine cognitive</v>
      </c>
    </row>
    <row r="600" spans="1:6" ht="28.5" x14ac:dyDescent="0.4">
      <c r="A600" s="3">
        <v>2635</v>
      </c>
      <c r="B600" s="3" t="str">
        <f t="shared" si="18"/>
        <v>2</v>
      </c>
      <c r="C600" s="5" t="s">
        <v>1609</v>
      </c>
      <c r="D600" s="8" t="s">
        <v>1610</v>
      </c>
      <c r="E600" s="4" t="s">
        <v>50</v>
      </c>
      <c r="F600" s="2" t="str">
        <f t="shared" si="19"/>
        <v>Routine cognitive</v>
      </c>
    </row>
    <row r="601" spans="1:6" ht="57" x14ac:dyDescent="0.4">
      <c r="A601" s="3">
        <v>2635</v>
      </c>
      <c r="B601" s="3" t="str">
        <f t="shared" si="18"/>
        <v>2</v>
      </c>
      <c r="C601" s="4" t="s">
        <v>152</v>
      </c>
      <c r="D601" s="5" t="s">
        <v>1611</v>
      </c>
      <c r="E601" s="4" t="s">
        <v>3</v>
      </c>
      <c r="F601" s="2" t="str">
        <f t="shared" si="19"/>
        <v>Non-routine cognitive</v>
      </c>
    </row>
    <row r="602" spans="1:6" ht="57" x14ac:dyDescent="0.4">
      <c r="A602" s="3">
        <v>2635</v>
      </c>
      <c r="B602" s="3" t="str">
        <f t="shared" si="18"/>
        <v>2</v>
      </c>
      <c r="C602" s="4" t="s">
        <v>152</v>
      </c>
      <c r="D602" s="5" t="s">
        <v>1612</v>
      </c>
      <c r="E602" s="4" t="s">
        <v>4</v>
      </c>
      <c r="F602" s="2" t="str">
        <f t="shared" si="19"/>
        <v>Non-routine cognitive</v>
      </c>
    </row>
    <row r="603" spans="1:6" ht="42.75" x14ac:dyDescent="0.4">
      <c r="A603" s="3">
        <v>2635</v>
      </c>
      <c r="B603" s="3" t="str">
        <f t="shared" si="18"/>
        <v>2</v>
      </c>
      <c r="C603" s="4" t="s">
        <v>152</v>
      </c>
      <c r="D603" s="8" t="s">
        <v>1613</v>
      </c>
      <c r="E603" s="4" t="s">
        <v>4</v>
      </c>
      <c r="F603" s="2" t="str">
        <f t="shared" si="19"/>
        <v>Non-routine cognitive</v>
      </c>
    </row>
    <row r="604" spans="1:6" ht="57" x14ac:dyDescent="0.4">
      <c r="A604" s="3">
        <v>2635</v>
      </c>
      <c r="B604" s="3" t="str">
        <f t="shared" si="18"/>
        <v>2</v>
      </c>
      <c r="C604" s="4" t="s">
        <v>152</v>
      </c>
      <c r="D604" s="5" t="s">
        <v>1614</v>
      </c>
      <c r="E604" s="4" t="s">
        <v>3</v>
      </c>
      <c r="F604" s="2" t="str">
        <f t="shared" si="19"/>
        <v>Non-routine cognitive</v>
      </c>
    </row>
    <row r="605" spans="1:6" ht="57" x14ac:dyDescent="0.4">
      <c r="A605" s="3">
        <v>2635</v>
      </c>
      <c r="B605" s="3" t="str">
        <f t="shared" si="18"/>
        <v>2</v>
      </c>
      <c r="C605" s="4" t="s">
        <v>152</v>
      </c>
      <c r="D605" s="5" t="s">
        <v>1615</v>
      </c>
      <c r="E605" s="4" t="s">
        <v>3</v>
      </c>
      <c r="F605" s="2" t="str">
        <f t="shared" si="19"/>
        <v>Non-routine cognitive</v>
      </c>
    </row>
    <row r="606" spans="1:6" ht="42.75" x14ac:dyDescent="0.4">
      <c r="A606" s="3">
        <v>2635</v>
      </c>
      <c r="B606" s="3" t="str">
        <f t="shared" si="18"/>
        <v>2</v>
      </c>
      <c r="C606" s="4" t="s">
        <v>152</v>
      </c>
      <c r="D606" s="5" t="s">
        <v>1616</v>
      </c>
      <c r="E606" s="4" t="s">
        <v>4</v>
      </c>
      <c r="F606" s="2" t="str">
        <f t="shared" si="19"/>
        <v>Non-routine cognitive</v>
      </c>
    </row>
    <row r="607" spans="1:6" ht="28.5" x14ac:dyDescent="0.4">
      <c r="A607" s="3">
        <v>2635</v>
      </c>
      <c r="B607" s="3" t="str">
        <f t="shared" si="18"/>
        <v>2</v>
      </c>
      <c r="C607" s="4" t="s">
        <v>152</v>
      </c>
      <c r="D607" s="8" t="s">
        <v>1617</v>
      </c>
      <c r="E607" s="4" t="s">
        <v>4</v>
      </c>
      <c r="F607" s="2" t="str">
        <f t="shared" si="19"/>
        <v>Non-routine cognitive</v>
      </c>
    </row>
    <row r="608" spans="1:6" ht="57" x14ac:dyDescent="0.4">
      <c r="A608" s="3">
        <v>2635</v>
      </c>
      <c r="B608" s="3" t="str">
        <f t="shared" si="18"/>
        <v>2</v>
      </c>
      <c r="C608" s="4" t="s">
        <v>152</v>
      </c>
      <c r="D608" s="5" t="s">
        <v>1618</v>
      </c>
      <c r="E608" s="4" t="s">
        <v>3</v>
      </c>
      <c r="F608" s="2" t="str">
        <f t="shared" si="19"/>
        <v>Non-routine cognitive</v>
      </c>
    </row>
    <row r="609" spans="1:6" ht="28.5" x14ac:dyDescent="0.4">
      <c r="A609" s="3">
        <v>2636</v>
      </c>
      <c r="B609" s="3" t="str">
        <f t="shared" si="18"/>
        <v>2</v>
      </c>
      <c r="C609" s="4" t="s">
        <v>153</v>
      </c>
      <c r="D609" s="11" t="s">
        <v>1619</v>
      </c>
      <c r="E609" s="4" t="s">
        <v>3</v>
      </c>
      <c r="F609" s="2" t="str">
        <f t="shared" si="19"/>
        <v>Non-routine cognitive</v>
      </c>
    </row>
    <row r="610" spans="1:6" x14ac:dyDescent="0.4">
      <c r="A610" s="3">
        <v>2636</v>
      </c>
      <c r="B610" s="3" t="str">
        <f t="shared" si="18"/>
        <v>2</v>
      </c>
      <c r="C610" s="4" t="s">
        <v>153</v>
      </c>
      <c r="D610" s="6" t="s">
        <v>154</v>
      </c>
      <c r="E610" s="4" t="s">
        <v>3</v>
      </c>
      <c r="F610" s="2" t="str">
        <f t="shared" si="19"/>
        <v>Non-routine cognitive</v>
      </c>
    </row>
    <row r="611" spans="1:6" ht="42.75" x14ac:dyDescent="0.4">
      <c r="A611" s="3">
        <v>2636</v>
      </c>
      <c r="B611" s="3" t="str">
        <f t="shared" si="18"/>
        <v>2</v>
      </c>
      <c r="C611" s="4" t="s">
        <v>153</v>
      </c>
      <c r="D611" s="5" t="s">
        <v>1620</v>
      </c>
      <c r="E611" s="4" t="s">
        <v>3</v>
      </c>
      <c r="F611" s="2" t="str">
        <f t="shared" si="19"/>
        <v>Non-routine cognitive</v>
      </c>
    </row>
    <row r="612" spans="1:6" ht="28.5" x14ac:dyDescent="0.4">
      <c r="A612" s="3">
        <v>2636</v>
      </c>
      <c r="B612" s="3" t="str">
        <f t="shared" si="18"/>
        <v>2</v>
      </c>
      <c r="C612" s="4" t="s">
        <v>153</v>
      </c>
      <c r="D612" s="6" t="s">
        <v>155</v>
      </c>
      <c r="E612" s="4" t="s">
        <v>3</v>
      </c>
      <c r="F612" s="2" t="str">
        <f t="shared" si="19"/>
        <v>Non-routine cognitive</v>
      </c>
    </row>
    <row r="613" spans="1:6" ht="28.5" x14ac:dyDescent="0.4">
      <c r="A613" s="3">
        <v>2636</v>
      </c>
      <c r="B613" s="3" t="str">
        <f t="shared" si="18"/>
        <v>2</v>
      </c>
      <c r="C613" s="4" t="s">
        <v>153</v>
      </c>
      <c r="D613" s="10" t="s">
        <v>1621</v>
      </c>
      <c r="E613" s="4" t="s">
        <v>3</v>
      </c>
      <c r="F613" s="2" t="str">
        <f t="shared" si="19"/>
        <v>Non-routine cognitive</v>
      </c>
    </row>
    <row r="614" spans="1:6" x14ac:dyDescent="0.4">
      <c r="A614" s="3">
        <v>2636</v>
      </c>
      <c r="B614" s="3" t="str">
        <f t="shared" si="18"/>
        <v>2</v>
      </c>
      <c r="C614" s="4" t="s">
        <v>153</v>
      </c>
      <c r="D614" s="6" t="s">
        <v>156</v>
      </c>
      <c r="E614" s="4" t="s">
        <v>3</v>
      </c>
      <c r="F614" s="2" t="str">
        <f t="shared" si="19"/>
        <v>Non-routine cognitive</v>
      </c>
    </row>
    <row r="615" spans="1:6" ht="28.5" x14ac:dyDescent="0.4">
      <c r="A615" s="3">
        <v>2636</v>
      </c>
      <c r="B615" s="3" t="str">
        <f t="shared" si="18"/>
        <v>2</v>
      </c>
      <c r="C615" s="4" t="s">
        <v>153</v>
      </c>
      <c r="D615" s="8" t="s">
        <v>1622</v>
      </c>
      <c r="E615" s="4" t="s">
        <v>4</v>
      </c>
      <c r="F615" s="2" t="str">
        <f t="shared" si="19"/>
        <v>Non-routine cognitive</v>
      </c>
    </row>
    <row r="616" spans="1:6" ht="42.75" x14ac:dyDescent="0.4">
      <c r="A616" s="3">
        <v>2636</v>
      </c>
      <c r="B616" s="3" t="str">
        <f t="shared" si="18"/>
        <v>2</v>
      </c>
      <c r="C616" s="4" t="s">
        <v>153</v>
      </c>
      <c r="D616" s="5" t="s">
        <v>1623</v>
      </c>
      <c r="E616" s="4" t="s">
        <v>3</v>
      </c>
      <c r="F616" s="2" t="str">
        <f t="shared" si="19"/>
        <v>Non-routine cognitive</v>
      </c>
    </row>
    <row r="617" spans="1:6" ht="28.5" x14ac:dyDescent="0.4">
      <c r="A617" s="3">
        <v>2636</v>
      </c>
      <c r="B617" s="3" t="str">
        <f t="shared" si="18"/>
        <v>2</v>
      </c>
      <c r="C617" s="4" t="s">
        <v>153</v>
      </c>
      <c r="D617" s="8" t="s">
        <v>1624</v>
      </c>
      <c r="E617" s="4" t="s">
        <v>3</v>
      </c>
      <c r="F617" s="2" t="str">
        <f t="shared" si="19"/>
        <v>Non-routine cognitive</v>
      </c>
    </row>
    <row r="618" spans="1:6" ht="28.5" x14ac:dyDescent="0.4">
      <c r="A618" s="3">
        <v>2641</v>
      </c>
      <c r="B618" s="3" t="str">
        <f t="shared" si="18"/>
        <v>2</v>
      </c>
      <c r="C618" s="4" t="s">
        <v>157</v>
      </c>
      <c r="D618" s="6" t="s">
        <v>158</v>
      </c>
      <c r="E618" s="4" t="s">
        <v>4</v>
      </c>
      <c r="F618" s="2" t="str">
        <f t="shared" si="19"/>
        <v>Non-routine cognitive</v>
      </c>
    </row>
    <row r="619" spans="1:6" ht="42.75" x14ac:dyDescent="0.4">
      <c r="A619" s="3">
        <v>2641</v>
      </c>
      <c r="B619" s="3" t="str">
        <f t="shared" si="18"/>
        <v>2</v>
      </c>
      <c r="C619" s="4" t="s">
        <v>157</v>
      </c>
      <c r="D619" s="5" t="s">
        <v>1625</v>
      </c>
      <c r="E619" s="4" t="s">
        <v>4</v>
      </c>
      <c r="F619" s="2" t="str">
        <f t="shared" si="19"/>
        <v>Non-routine cognitive</v>
      </c>
    </row>
    <row r="620" spans="1:6" ht="28.5" x14ac:dyDescent="0.4">
      <c r="A620" s="3">
        <v>2641</v>
      </c>
      <c r="B620" s="3" t="str">
        <f t="shared" si="18"/>
        <v>2</v>
      </c>
      <c r="C620" s="4" t="s">
        <v>157</v>
      </c>
      <c r="D620" s="8" t="s">
        <v>1626</v>
      </c>
      <c r="E620" s="4" t="s">
        <v>4</v>
      </c>
      <c r="F620" s="2" t="str">
        <f t="shared" si="19"/>
        <v>Non-routine cognitive</v>
      </c>
    </row>
    <row r="621" spans="1:6" ht="71.25" x14ac:dyDescent="0.4">
      <c r="A621" s="3">
        <v>2641</v>
      </c>
      <c r="B621" s="3" t="str">
        <f t="shared" si="18"/>
        <v>2</v>
      </c>
      <c r="C621" s="4" t="s">
        <v>157</v>
      </c>
      <c r="D621" s="5" t="s">
        <v>1627</v>
      </c>
      <c r="E621" s="4" t="s">
        <v>4</v>
      </c>
      <c r="F621" s="2" t="str">
        <f t="shared" si="19"/>
        <v>Non-routine cognitive</v>
      </c>
    </row>
    <row r="622" spans="1:6" ht="28.5" x14ac:dyDescent="0.4">
      <c r="A622" s="3">
        <v>2641</v>
      </c>
      <c r="B622" s="3" t="str">
        <f t="shared" si="18"/>
        <v>2</v>
      </c>
      <c r="C622" s="4" t="s">
        <v>157</v>
      </c>
      <c r="D622" s="11" t="s">
        <v>1628</v>
      </c>
      <c r="E622" s="4" t="s">
        <v>4</v>
      </c>
      <c r="F622" s="2" t="str">
        <f t="shared" si="19"/>
        <v>Non-routine cognitive</v>
      </c>
    </row>
    <row r="623" spans="1:6" ht="57" x14ac:dyDescent="0.4">
      <c r="A623" s="3">
        <v>2641</v>
      </c>
      <c r="B623" s="3" t="str">
        <f t="shared" si="18"/>
        <v>2</v>
      </c>
      <c r="C623" s="4" t="s">
        <v>157</v>
      </c>
      <c r="D623" s="5" t="s">
        <v>1629</v>
      </c>
      <c r="E623" s="4" t="s">
        <v>50</v>
      </c>
      <c r="F623" s="2" t="str">
        <f t="shared" si="19"/>
        <v>Routine cognitive</v>
      </c>
    </row>
    <row r="624" spans="1:6" ht="57" x14ac:dyDescent="0.4">
      <c r="A624" s="3">
        <v>2642</v>
      </c>
      <c r="B624" s="3" t="str">
        <f t="shared" si="18"/>
        <v>2</v>
      </c>
      <c r="C624" s="4" t="s">
        <v>159</v>
      </c>
      <c r="D624" s="5" t="s">
        <v>1630</v>
      </c>
      <c r="E624" s="4" t="s">
        <v>4</v>
      </c>
      <c r="F624" s="2" t="str">
        <f t="shared" si="19"/>
        <v>Non-routine cognitive</v>
      </c>
    </row>
    <row r="625" spans="1:6" ht="57" x14ac:dyDescent="0.4">
      <c r="A625" s="3">
        <v>2642</v>
      </c>
      <c r="B625" s="3" t="str">
        <f t="shared" si="18"/>
        <v>2</v>
      </c>
      <c r="C625" s="4" t="s">
        <v>159</v>
      </c>
      <c r="D625" s="5" t="s">
        <v>1631</v>
      </c>
      <c r="E625" s="4" t="s">
        <v>4</v>
      </c>
      <c r="F625" s="2" t="str">
        <f t="shared" si="19"/>
        <v>Non-routine cognitive</v>
      </c>
    </row>
    <row r="626" spans="1:6" ht="28.5" x14ac:dyDescent="0.4">
      <c r="A626" s="3">
        <v>2642</v>
      </c>
      <c r="B626" s="3" t="str">
        <f t="shared" si="18"/>
        <v>2</v>
      </c>
      <c r="C626" s="4" t="s">
        <v>159</v>
      </c>
      <c r="D626" s="8" t="s">
        <v>1632</v>
      </c>
      <c r="E626" s="4" t="s">
        <v>4</v>
      </c>
      <c r="F626" s="2" t="str">
        <f t="shared" si="19"/>
        <v>Non-routine cognitive</v>
      </c>
    </row>
    <row r="627" spans="1:6" ht="57" x14ac:dyDescent="0.4">
      <c r="A627" s="3">
        <v>2642</v>
      </c>
      <c r="B627" s="3" t="str">
        <f t="shared" si="18"/>
        <v>2</v>
      </c>
      <c r="C627" s="4" t="s">
        <v>159</v>
      </c>
      <c r="D627" s="5" t="s">
        <v>1633</v>
      </c>
      <c r="E627" s="4" t="s">
        <v>3</v>
      </c>
      <c r="F627" s="2" t="str">
        <f t="shared" si="19"/>
        <v>Non-routine cognitive</v>
      </c>
    </row>
    <row r="628" spans="1:6" ht="42.75" x14ac:dyDescent="0.4">
      <c r="A628" s="3">
        <v>2642</v>
      </c>
      <c r="B628" s="3" t="str">
        <f t="shared" si="18"/>
        <v>2</v>
      </c>
      <c r="C628" s="4" t="s">
        <v>159</v>
      </c>
      <c r="D628" s="5" t="s">
        <v>1634</v>
      </c>
      <c r="E628" s="4" t="s">
        <v>4</v>
      </c>
      <c r="F628" s="2" t="str">
        <f t="shared" si="19"/>
        <v>Non-routine cognitive</v>
      </c>
    </row>
    <row r="629" spans="1:6" ht="57" x14ac:dyDescent="0.4">
      <c r="A629" s="3">
        <v>2642</v>
      </c>
      <c r="B629" s="3" t="str">
        <f t="shared" si="18"/>
        <v>2</v>
      </c>
      <c r="C629" s="4" t="s">
        <v>159</v>
      </c>
      <c r="D629" s="5" t="s">
        <v>1635</v>
      </c>
      <c r="E629" s="4" t="s">
        <v>4</v>
      </c>
      <c r="F629" s="2" t="str">
        <f t="shared" si="19"/>
        <v>Non-routine cognitive</v>
      </c>
    </row>
    <row r="630" spans="1:6" ht="57" x14ac:dyDescent="0.4">
      <c r="A630" s="3">
        <v>2642</v>
      </c>
      <c r="B630" s="3" t="str">
        <f t="shared" si="18"/>
        <v>2</v>
      </c>
      <c r="C630" s="4" t="s">
        <v>159</v>
      </c>
      <c r="D630" s="5" t="s">
        <v>1636</v>
      </c>
      <c r="E630" s="4" t="s">
        <v>4</v>
      </c>
      <c r="F630" s="2" t="str">
        <f t="shared" si="19"/>
        <v>Non-routine cognitive</v>
      </c>
    </row>
    <row r="631" spans="1:6" ht="42.75" x14ac:dyDescent="0.4">
      <c r="A631" s="3">
        <v>2642</v>
      </c>
      <c r="B631" s="3" t="str">
        <f t="shared" si="18"/>
        <v>2</v>
      </c>
      <c r="C631" s="4" t="s">
        <v>159</v>
      </c>
      <c r="D631" s="10" t="s">
        <v>3647</v>
      </c>
      <c r="E631" s="4" t="s">
        <v>4</v>
      </c>
      <c r="F631" s="2" t="str">
        <f t="shared" si="19"/>
        <v>Non-routine cognitive</v>
      </c>
    </row>
    <row r="632" spans="1:6" ht="42.75" x14ac:dyDescent="0.4">
      <c r="A632" s="3">
        <v>2642</v>
      </c>
      <c r="B632" s="3" t="str">
        <f t="shared" si="18"/>
        <v>2</v>
      </c>
      <c r="C632" s="4" t="s">
        <v>159</v>
      </c>
      <c r="D632" s="5" t="s">
        <v>1637</v>
      </c>
      <c r="E632" s="4" t="s">
        <v>3</v>
      </c>
      <c r="F632" s="2" t="str">
        <f t="shared" si="19"/>
        <v>Non-routine cognitive</v>
      </c>
    </row>
    <row r="633" spans="1:6" ht="57" x14ac:dyDescent="0.4">
      <c r="A633" s="3">
        <v>2642</v>
      </c>
      <c r="B633" s="3" t="str">
        <f t="shared" si="18"/>
        <v>2</v>
      </c>
      <c r="C633" s="4" t="s">
        <v>159</v>
      </c>
      <c r="D633" s="5" t="s">
        <v>1638</v>
      </c>
      <c r="E633" s="4" t="s">
        <v>4</v>
      </c>
      <c r="F633" s="2" t="str">
        <f t="shared" si="19"/>
        <v>Non-routine cognitive</v>
      </c>
    </row>
    <row r="634" spans="1:6" ht="28.5" x14ac:dyDescent="0.4">
      <c r="A634" s="3">
        <v>2651</v>
      </c>
      <c r="B634" s="3" t="str">
        <f t="shared" si="18"/>
        <v>2</v>
      </c>
      <c r="C634" s="4" t="s">
        <v>160</v>
      </c>
      <c r="D634" s="5" t="s">
        <v>1639</v>
      </c>
      <c r="E634" s="4" t="s">
        <v>4</v>
      </c>
      <c r="F634" s="2" t="str">
        <f t="shared" si="19"/>
        <v>Non-routine cognitive</v>
      </c>
    </row>
    <row r="635" spans="1:6" ht="28.5" x14ac:dyDescent="0.4">
      <c r="A635" s="3">
        <v>2651</v>
      </c>
      <c r="B635" s="3" t="str">
        <f t="shared" si="18"/>
        <v>2</v>
      </c>
      <c r="C635" s="4" t="s">
        <v>160</v>
      </c>
      <c r="D635" s="5" t="s">
        <v>1640</v>
      </c>
      <c r="E635" s="4" t="s">
        <v>4</v>
      </c>
      <c r="F635" s="2" t="str">
        <f t="shared" si="19"/>
        <v>Non-routine cognitive</v>
      </c>
    </row>
    <row r="636" spans="1:6" x14ac:dyDescent="0.4">
      <c r="A636" s="3">
        <v>2651</v>
      </c>
      <c r="B636" s="3" t="str">
        <f t="shared" si="18"/>
        <v>2</v>
      </c>
      <c r="C636" s="4" t="s">
        <v>160</v>
      </c>
      <c r="D636" s="14" t="s">
        <v>161</v>
      </c>
      <c r="E636" s="4" t="s">
        <v>4</v>
      </c>
      <c r="F636" s="2" t="str">
        <f t="shared" si="19"/>
        <v>Non-routine cognitive</v>
      </c>
    </row>
    <row r="637" spans="1:6" ht="57" x14ac:dyDescent="0.4">
      <c r="A637" s="3">
        <v>2651</v>
      </c>
      <c r="B637" s="3" t="str">
        <f t="shared" si="18"/>
        <v>2</v>
      </c>
      <c r="C637" s="4" t="s">
        <v>160</v>
      </c>
      <c r="D637" s="5" t="s">
        <v>1641</v>
      </c>
      <c r="E637" s="4" t="s">
        <v>4</v>
      </c>
      <c r="F637" s="2" t="str">
        <f t="shared" si="19"/>
        <v>Non-routine cognitive</v>
      </c>
    </row>
    <row r="638" spans="1:6" ht="42.75" x14ac:dyDescent="0.4">
      <c r="A638" s="3">
        <v>2651</v>
      </c>
      <c r="B638" s="3" t="str">
        <f t="shared" si="18"/>
        <v>2</v>
      </c>
      <c r="C638" s="4" t="s">
        <v>160</v>
      </c>
      <c r="D638" s="5" t="s">
        <v>1642</v>
      </c>
      <c r="E638" s="4" t="s">
        <v>4</v>
      </c>
      <c r="F638" s="2" t="str">
        <f t="shared" si="19"/>
        <v>Non-routine cognitive</v>
      </c>
    </row>
    <row r="639" spans="1:6" ht="28.5" x14ac:dyDescent="0.4">
      <c r="A639" s="3">
        <v>2651</v>
      </c>
      <c r="B639" s="3" t="str">
        <f t="shared" si="18"/>
        <v>2</v>
      </c>
      <c r="C639" s="4" t="s">
        <v>160</v>
      </c>
      <c r="D639" s="5" t="s">
        <v>1643</v>
      </c>
      <c r="E639" s="4" t="s">
        <v>4</v>
      </c>
      <c r="F639" s="2" t="str">
        <f t="shared" si="19"/>
        <v>Non-routine cognitive</v>
      </c>
    </row>
    <row r="640" spans="1:6" ht="28.5" x14ac:dyDescent="0.4">
      <c r="A640" s="3">
        <v>2651</v>
      </c>
      <c r="B640" s="3" t="str">
        <f t="shared" si="18"/>
        <v>2</v>
      </c>
      <c r="C640" s="4" t="s">
        <v>160</v>
      </c>
      <c r="D640" s="5" t="s">
        <v>1644</v>
      </c>
      <c r="E640" s="4" t="s">
        <v>4</v>
      </c>
      <c r="F640" s="2" t="str">
        <f t="shared" si="19"/>
        <v>Non-routine cognitive</v>
      </c>
    </row>
    <row r="641" spans="1:6" ht="28.5" x14ac:dyDescent="0.4">
      <c r="A641" s="3">
        <v>2651</v>
      </c>
      <c r="B641" s="3" t="str">
        <f t="shared" si="18"/>
        <v>2</v>
      </c>
      <c r="C641" s="4" t="s">
        <v>160</v>
      </c>
      <c r="D641" s="8" t="s">
        <v>1645</v>
      </c>
      <c r="E641" s="4" t="s">
        <v>4</v>
      </c>
      <c r="F641" s="2" t="str">
        <f t="shared" si="19"/>
        <v>Non-routine cognitive</v>
      </c>
    </row>
    <row r="642" spans="1:6" ht="28.5" x14ac:dyDescent="0.4">
      <c r="A642" s="3">
        <v>2652</v>
      </c>
      <c r="B642" s="3" t="str">
        <f t="shared" si="18"/>
        <v>2</v>
      </c>
      <c r="C642" s="4" t="s">
        <v>162</v>
      </c>
      <c r="D642" s="5" t="s">
        <v>1646</v>
      </c>
      <c r="E642" s="4" t="s">
        <v>4</v>
      </c>
      <c r="F642" s="2" t="str">
        <f t="shared" si="19"/>
        <v>Non-routine cognitive</v>
      </c>
    </row>
    <row r="643" spans="1:6" ht="42.75" x14ac:dyDescent="0.4">
      <c r="A643" s="3">
        <v>2652</v>
      </c>
      <c r="B643" s="3" t="str">
        <f t="shared" ref="B643:B706" si="20">LEFT(A643,1)</f>
        <v>2</v>
      </c>
      <c r="C643" s="4" t="s">
        <v>162</v>
      </c>
      <c r="D643" s="5" t="s">
        <v>1647</v>
      </c>
      <c r="E643" s="4" t="s">
        <v>4</v>
      </c>
      <c r="F643" s="2" t="str">
        <f t="shared" ref="F643:F706" si="21">IF(E643="Non-routine interpersonal","Non-routine cognitive",IF(E643="Non-routine analytical","Non-routine cognitive",IF(E643="Non-routine manual physical","Non-routine manual",E643)))</f>
        <v>Non-routine cognitive</v>
      </c>
    </row>
    <row r="644" spans="1:6" ht="42.75" x14ac:dyDescent="0.4">
      <c r="A644" s="3">
        <v>2652</v>
      </c>
      <c r="B644" s="3" t="str">
        <f t="shared" si="20"/>
        <v>2</v>
      </c>
      <c r="C644" s="4" t="s">
        <v>162</v>
      </c>
      <c r="D644" s="5" t="s">
        <v>1648</v>
      </c>
      <c r="E644" s="4" t="s">
        <v>4</v>
      </c>
      <c r="F644" s="2" t="str">
        <f t="shared" si="21"/>
        <v>Non-routine cognitive</v>
      </c>
    </row>
    <row r="645" spans="1:6" x14ac:dyDescent="0.4">
      <c r="A645" s="3">
        <v>2652</v>
      </c>
      <c r="B645" s="3" t="str">
        <f t="shared" si="20"/>
        <v>2</v>
      </c>
      <c r="C645" s="4" t="s">
        <v>162</v>
      </c>
      <c r="D645" s="7" t="s">
        <v>163</v>
      </c>
      <c r="E645" s="4" t="s">
        <v>3</v>
      </c>
      <c r="F645" s="2" t="str">
        <f t="shared" si="21"/>
        <v>Non-routine cognitive</v>
      </c>
    </row>
    <row r="646" spans="1:6" ht="28.5" x14ac:dyDescent="0.4">
      <c r="A646" s="3">
        <v>2652</v>
      </c>
      <c r="B646" s="3" t="str">
        <f t="shared" si="20"/>
        <v>2</v>
      </c>
      <c r="C646" s="4" t="s">
        <v>162</v>
      </c>
      <c r="D646" s="5" t="s">
        <v>1649</v>
      </c>
      <c r="E646" s="4" t="s">
        <v>4</v>
      </c>
      <c r="F646" s="2" t="str">
        <f t="shared" si="21"/>
        <v>Non-routine cognitive</v>
      </c>
    </row>
    <row r="647" spans="1:6" ht="42.75" x14ac:dyDescent="0.4">
      <c r="A647" s="3">
        <v>2652</v>
      </c>
      <c r="B647" s="3" t="str">
        <f t="shared" si="20"/>
        <v>2</v>
      </c>
      <c r="C647" s="4" t="s">
        <v>162</v>
      </c>
      <c r="D647" s="5" t="s">
        <v>1650</v>
      </c>
      <c r="E647" s="4" t="s">
        <v>3</v>
      </c>
      <c r="F647" s="2" t="str">
        <f t="shared" si="21"/>
        <v>Non-routine cognitive</v>
      </c>
    </row>
    <row r="648" spans="1:6" x14ac:dyDescent="0.4">
      <c r="A648" s="3">
        <v>2652</v>
      </c>
      <c r="B648" s="3" t="str">
        <f t="shared" si="20"/>
        <v>2</v>
      </c>
      <c r="C648" s="4" t="s">
        <v>162</v>
      </c>
      <c r="D648" s="4" t="s">
        <v>164</v>
      </c>
      <c r="E648" s="4" t="s">
        <v>3</v>
      </c>
      <c r="F648" s="2" t="str">
        <f t="shared" si="21"/>
        <v>Non-routine cognitive</v>
      </c>
    </row>
    <row r="649" spans="1:6" ht="28.5" x14ac:dyDescent="0.4">
      <c r="A649" s="3">
        <v>2652</v>
      </c>
      <c r="B649" s="3" t="str">
        <f t="shared" si="20"/>
        <v>2</v>
      </c>
      <c r="C649" s="4" t="s">
        <v>162</v>
      </c>
      <c r="D649" s="5" t="s">
        <v>1651</v>
      </c>
      <c r="E649" s="4" t="s">
        <v>3</v>
      </c>
      <c r="F649" s="2" t="str">
        <f t="shared" si="21"/>
        <v>Non-routine cognitive</v>
      </c>
    </row>
    <row r="650" spans="1:6" ht="42.75" x14ac:dyDescent="0.4">
      <c r="A650" s="3">
        <v>2653</v>
      </c>
      <c r="B650" s="3" t="str">
        <f t="shared" si="20"/>
        <v>2</v>
      </c>
      <c r="C650" s="4" t="s">
        <v>165</v>
      </c>
      <c r="D650" s="5" t="s">
        <v>1652</v>
      </c>
      <c r="E650" s="4" t="s">
        <v>3</v>
      </c>
      <c r="F650" s="2" t="str">
        <f t="shared" si="21"/>
        <v>Non-routine cognitive</v>
      </c>
    </row>
    <row r="651" spans="1:6" ht="42.75" x14ac:dyDescent="0.4">
      <c r="A651" s="3">
        <v>2653</v>
      </c>
      <c r="B651" s="3" t="str">
        <f t="shared" si="20"/>
        <v>2</v>
      </c>
      <c r="C651" s="4" t="s">
        <v>165</v>
      </c>
      <c r="D651" s="5" t="s">
        <v>1653</v>
      </c>
      <c r="E651" s="4" t="s">
        <v>3</v>
      </c>
      <c r="F651" s="2" t="str">
        <f t="shared" si="21"/>
        <v>Non-routine cognitive</v>
      </c>
    </row>
    <row r="652" spans="1:6" ht="42.75" x14ac:dyDescent="0.4">
      <c r="A652" s="3">
        <v>2653</v>
      </c>
      <c r="B652" s="3" t="str">
        <f t="shared" si="20"/>
        <v>2</v>
      </c>
      <c r="C652" s="4" t="s">
        <v>165</v>
      </c>
      <c r="D652" s="5" t="s">
        <v>1654</v>
      </c>
      <c r="E652" s="4" t="s">
        <v>3</v>
      </c>
      <c r="F652" s="2" t="str">
        <f t="shared" si="21"/>
        <v>Non-routine cognitive</v>
      </c>
    </row>
    <row r="653" spans="1:6" ht="42.75" x14ac:dyDescent="0.4">
      <c r="A653" s="3">
        <v>2653</v>
      </c>
      <c r="B653" s="3" t="str">
        <f t="shared" si="20"/>
        <v>2</v>
      </c>
      <c r="C653" s="4" t="s">
        <v>165</v>
      </c>
      <c r="D653" s="5" t="s">
        <v>1655</v>
      </c>
      <c r="E653" s="4" t="s">
        <v>3</v>
      </c>
      <c r="F653" s="2" t="str">
        <f t="shared" si="21"/>
        <v>Non-routine cognitive</v>
      </c>
    </row>
    <row r="654" spans="1:6" ht="28.5" x14ac:dyDescent="0.4">
      <c r="A654" s="3">
        <v>2653</v>
      </c>
      <c r="B654" s="3" t="str">
        <f t="shared" si="20"/>
        <v>2</v>
      </c>
      <c r="C654" s="4" t="s">
        <v>165</v>
      </c>
      <c r="D654" s="5" t="s">
        <v>1656</v>
      </c>
      <c r="E654" s="4" t="s">
        <v>3</v>
      </c>
      <c r="F654" s="2" t="str">
        <f t="shared" si="21"/>
        <v>Non-routine cognitive</v>
      </c>
    </row>
    <row r="655" spans="1:6" ht="28.5" x14ac:dyDescent="0.4">
      <c r="A655" s="3">
        <v>2653</v>
      </c>
      <c r="B655" s="3" t="str">
        <f t="shared" si="20"/>
        <v>2</v>
      </c>
      <c r="C655" s="4" t="s">
        <v>165</v>
      </c>
      <c r="D655" s="5" t="s">
        <v>1657</v>
      </c>
      <c r="E655" s="4" t="s">
        <v>3</v>
      </c>
      <c r="F655" s="2" t="str">
        <f t="shared" si="21"/>
        <v>Non-routine cognitive</v>
      </c>
    </row>
    <row r="656" spans="1:6" ht="42.75" x14ac:dyDescent="0.4">
      <c r="A656" s="3">
        <v>2654</v>
      </c>
      <c r="B656" s="3" t="str">
        <f t="shared" si="20"/>
        <v>2</v>
      </c>
      <c r="C656" s="4" t="s">
        <v>166</v>
      </c>
      <c r="D656" s="8" t="s">
        <v>1658</v>
      </c>
      <c r="E656" s="4" t="s">
        <v>4</v>
      </c>
      <c r="F656" s="2" t="str">
        <f t="shared" si="21"/>
        <v>Non-routine cognitive</v>
      </c>
    </row>
    <row r="657" spans="1:6" ht="57" x14ac:dyDescent="0.4">
      <c r="A657" s="3">
        <v>2654</v>
      </c>
      <c r="B657" s="3" t="str">
        <f t="shared" si="20"/>
        <v>2</v>
      </c>
      <c r="C657" s="4" t="s">
        <v>166</v>
      </c>
      <c r="D657" s="5" t="s">
        <v>1659</v>
      </c>
      <c r="E657" s="4" t="s">
        <v>3</v>
      </c>
      <c r="F657" s="2" t="str">
        <f t="shared" si="21"/>
        <v>Non-routine cognitive</v>
      </c>
    </row>
    <row r="658" spans="1:6" ht="42.75" x14ac:dyDescent="0.4">
      <c r="A658" s="3">
        <v>2654</v>
      </c>
      <c r="B658" s="3" t="str">
        <f t="shared" si="20"/>
        <v>2</v>
      </c>
      <c r="C658" s="4" t="s">
        <v>166</v>
      </c>
      <c r="D658" s="5" t="s">
        <v>1660</v>
      </c>
      <c r="E658" s="4" t="s">
        <v>3</v>
      </c>
      <c r="F658" s="2" t="str">
        <f t="shared" si="21"/>
        <v>Non-routine cognitive</v>
      </c>
    </row>
    <row r="659" spans="1:6" ht="57" x14ac:dyDescent="0.4">
      <c r="A659" s="3">
        <v>2654</v>
      </c>
      <c r="B659" s="3" t="str">
        <f t="shared" si="20"/>
        <v>2</v>
      </c>
      <c r="C659" s="4" t="s">
        <v>166</v>
      </c>
      <c r="D659" s="5" t="s">
        <v>1661</v>
      </c>
      <c r="E659" s="4" t="s">
        <v>3</v>
      </c>
      <c r="F659" s="2" t="str">
        <f t="shared" si="21"/>
        <v>Non-routine cognitive</v>
      </c>
    </row>
    <row r="660" spans="1:6" ht="28.5" x14ac:dyDescent="0.4">
      <c r="A660" s="3">
        <v>2654</v>
      </c>
      <c r="B660" s="3" t="str">
        <f t="shared" si="20"/>
        <v>2</v>
      </c>
      <c r="C660" s="4" t="s">
        <v>166</v>
      </c>
      <c r="D660" s="10" t="s">
        <v>1662</v>
      </c>
      <c r="E660" s="4" t="s">
        <v>3</v>
      </c>
      <c r="F660" s="2" t="str">
        <f t="shared" si="21"/>
        <v>Non-routine cognitive</v>
      </c>
    </row>
    <row r="661" spans="1:6" ht="28.5" x14ac:dyDescent="0.4">
      <c r="A661" s="3">
        <v>2654</v>
      </c>
      <c r="B661" s="3" t="str">
        <f t="shared" si="20"/>
        <v>2</v>
      </c>
      <c r="C661" s="4" t="s">
        <v>166</v>
      </c>
      <c r="D661" s="8" t="s">
        <v>1663</v>
      </c>
      <c r="E661" s="4" t="s">
        <v>4</v>
      </c>
      <c r="F661" s="2" t="str">
        <f t="shared" si="21"/>
        <v>Non-routine cognitive</v>
      </c>
    </row>
    <row r="662" spans="1:6" ht="28.5" x14ac:dyDescent="0.4">
      <c r="A662" s="3">
        <v>2654</v>
      </c>
      <c r="B662" s="3" t="str">
        <f t="shared" si="20"/>
        <v>2</v>
      </c>
      <c r="C662" s="4" t="s">
        <v>166</v>
      </c>
      <c r="D662" s="8" t="s">
        <v>1664</v>
      </c>
      <c r="E662" s="4" t="s">
        <v>3</v>
      </c>
      <c r="F662" s="2" t="str">
        <f t="shared" si="21"/>
        <v>Non-routine cognitive</v>
      </c>
    </row>
    <row r="663" spans="1:6" ht="28.5" x14ac:dyDescent="0.4">
      <c r="A663" s="3">
        <v>2656</v>
      </c>
      <c r="B663" s="3" t="str">
        <f t="shared" si="20"/>
        <v>2</v>
      </c>
      <c r="C663" s="4" t="s">
        <v>167</v>
      </c>
      <c r="D663" s="8" t="s">
        <v>1665</v>
      </c>
      <c r="E663" s="4" t="s">
        <v>50</v>
      </c>
      <c r="F663" s="2" t="str">
        <f t="shared" si="21"/>
        <v>Routine cognitive</v>
      </c>
    </row>
    <row r="664" spans="1:6" ht="57" x14ac:dyDescent="0.4">
      <c r="A664" s="3">
        <v>2656</v>
      </c>
      <c r="B664" s="3" t="str">
        <f t="shared" si="20"/>
        <v>2</v>
      </c>
      <c r="C664" s="4" t="s">
        <v>167</v>
      </c>
      <c r="D664" s="5" t="s">
        <v>1666</v>
      </c>
      <c r="E664" s="4" t="s">
        <v>50</v>
      </c>
      <c r="F664" s="2" t="str">
        <f t="shared" si="21"/>
        <v>Routine cognitive</v>
      </c>
    </row>
    <row r="665" spans="1:6" ht="28.5" x14ac:dyDescent="0.4">
      <c r="A665" s="3">
        <v>2656</v>
      </c>
      <c r="B665" s="3" t="str">
        <f t="shared" si="20"/>
        <v>2</v>
      </c>
      <c r="C665" s="4" t="s">
        <v>167</v>
      </c>
      <c r="D665" s="8" t="s">
        <v>1667</v>
      </c>
      <c r="E665" s="4" t="s">
        <v>3</v>
      </c>
      <c r="F665" s="2" t="str">
        <f t="shared" si="21"/>
        <v>Non-routine cognitive</v>
      </c>
    </row>
    <row r="666" spans="1:6" ht="28.5" x14ac:dyDescent="0.4">
      <c r="A666" s="3">
        <v>2656</v>
      </c>
      <c r="B666" s="3" t="str">
        <f t="shared" si="20"/>
        <v>2</v>
      </c>
      <c r="C666" s="4" t="s">
        <v>167</v>
      </c>
      <c r="D666" s="4" t="s">
        <v>168</v>
      </c>
      <c r="E666" s="4" t="s">
        <v>4</v>
      </c>
      <c r="F666" s="2" t="str">
        <f t="shared" si="21"/>
        <v>Non-routine cognitive</v>
      </c>
    </row>
    <row r="667" spans="1:6" ht="28.5" x14ac:dyDescent="0.4">
      <c r="A667" s="3">
        <v>2656</v>
      </c>
      <c r="B667" s="3" t="str">
        <f t="shared" si="20"/>
        <v>2</v>
      </c>
      <c r="C667" s="4" t="s">
        <v>167</v>
      </c>
      <c r="D667" s="8" t="s">
        <v>1668</v>
      </c>
      <c r="E667" s="4" t="s">
        <v>3</v>
      </c>
      <c r="F667" s="2" t="str">
        <f t="shared" si="21"/>
        <v>Non-routine cognitive</v>
      </c>
    </row>
    <row r="668" spans="1:6" ht="28.5" x14ac:dyDescent="0.4">
      <c r="A668" s="3">
        <v>2659</v>
      </c>
      <c r="B668" s="3" t="str">
        <f t="shared" si="20"/>
        <v>2</v>
      </c>
      <c r="C668" s="4" t="s">
        <v>169</v>
      </c>
      <c r="D668" s="4" t="s">
        <v>170</v>
      </c>
      <c r="E668" s="4" t="s">
        <v>3</v>
      </c>
      <c r="F668" s="2" t="str">
        <f t="shared" si="21"/>
        <v>Non-routine cognitive</v>
      </c>
    </row>
    <row r="669" spans="1:6" ht="28.5" x14ac:dyDescent="0.4">
      <c r="A669" s="3">
        <v>2659</v>
      </c>
      <c r="B669" s="3" t="str">
        <f t="shared" si="20"/>
        <v>2</v>
      </c>
      <c r="C669" s="4" t="s">
        <v>169</v>
      </c>
      <c r="D669" s="8" t="s">
        <v>1669</v>
      </c>
      <c r="E669" s="4" t="s">
        <v>3</v>
      </c>
      <c r="F669" s="2" t="str">
        <f t="shared" si="21"/>
        <v>Non-routine cognitive</v>
      </c>
    </row>
    <row r="670" spans="1:6" ht="28.5" x14ac:dyDescent="0.4">
      <c r="A670" s="3">
        <v>2659</v>
      </c>
      <c r="B670" s="3" t="str">
        <f t="shared" si="20"/>
        <v>2</v>
      </c>
      <c r="C670" s="4" t="s">
        <v>169</v>
      </c>
      <c r="D670" s="6" t="s">
        <v>171</v>
      </c>
      <c r="E670" s="4" t="s">
        <v>3</v>
      </c>
      <c r="F670" s="2" t="str">
        <f t="shared" si="21"/>
        <v>Non-routine cognitive</v>
      </c>
    </row>
    <row r="671" spans="1:6" ht="28.5" x14ac:dyDescent="0.4">
      <c r="A671" s="3">
        <v>2659</v>
      </c>
      <c r="B671" s="3" t="str">
        <f t="shared" si="20"/>
        <v>2</v>
      </c>
      <c r="C671" s="4" t="s">
        <v>169</v>
      </c>
      <c r="D671" s="6" t="s">
        <v>172</v>
      </c>
      <c r="E671" s="4" t="s">
        <v>3</v>
      </c>
      <c r="F671" s="2" t="str">
        <f t="shared" si="21"/>
        <v>Non-routine cognitive</v>
      </c>
    </row>
    <row r="672" spans="1:6" ht="42.75" x14ac:dyDescent="0.4">
      <c r="A672" s="3">
        <v>3112</v>
      </c>
      <c r="B672" s="3" t="str">
        <f t="shared" si="20"/>
        <v>3</v>
      </c>
      <c r="C672" s="4" t="s">
        <v>173</v>
      </c>
      <c r="D672" s="5" t="s">
        <v>1670</v>
      </c>
      <c r="E672" s="4" t="s">
        <v>4</v>
      </c>
      <c r="F672" s="2" t="str">
        <f t="shared" si="21"/>
        <v>Non-routine cognitive</v>
      </c>
    </row>
    <row r="673" spans="1:6" ht="57" x14ac:dyDescent="0.4">
      <c r="A673" s="3">
        <v>3112</v>
      </c>
      <c r="B673" s="3" t="str">
        <f t="shared" si="20"/>
        <v>3</v>
      </c>
      <c r="C673" s="4" t="s">
        <v>173</v>
      </c>
      <c r="D673" s="5" t="s">
        <v>1671</v>
      </c>
      <c r="E673" s="4" t="s">
        <v>4</v>
      </c>
      <c r="F673" s="2" t="str">
        <f t="shared" si="21"/>
        <v>Non-routine cognitive</v>
      </c>
    </row>
    <row r="674" spans="1:6" ht="57" x14ac:dyDescent="0.4">
      <c r="A674" s="3">
        <v>3112</v>
      </c>
      <c r="B674" s="3" t="str">
        <f t="shared" si="20"/>
        <v>3</v>
      </c>
      <c r="C674" s="4" t="s">
        <v>173</v>
      </c>
      <c r="D674" s="5" t="s">
        <v>1672</v>
      </c>
      <c r="E674" s="4" t="s">
        <v>50</v>
      </c>
      <c r="F674" s="2" t="str">
        <f t="shared" si="21"/>
        <v>Routine cognitive</v>
      </c>
    </row>
    <row r="675" spans="1:6" ht="42.75" x14ac:dyDescent="0.4">
      <c r="A675" s="3">
        <v>3112</v>
      </c>
      <c r="B675" s="3" t="str">
        <f t="shared" si="20"/>
        <v>3</v>
      </c>
      <c r="C675" s="4" t="s">
        <v>173</v>
      </c>
      <c r="D675" s="5" t="s">
        <v>1673</v>
      </c>
      <c r="E675" s="4" t="s">
        <v>4</v>
      </c>
      <c r="F675" s="2" t="str">
        <f t="shared" si="21"/>
        <v>Non-routine cognitive</v>
      </c>
    </row>
    <row r="676" spans="1:6" ht="42.75" x14ac:dyDescent="0.4">
      <c r="A676" s="3">
        <v>3112</v>
      </c>
      <c r="B676" s="3" t="str">
        <f t="shared" si="20"/>
        <v>3</v>
      </c>
      <c r="C676" s="4" t="s">
        <v>173</v>
      </c>
      <c r="D676" s="5" t="s">
        <v>1674</v>
      </c>
      <c r="E676" s="4" t="s">
        <v>4</v>
      </c>
      <c r="F676" s="2" t="str">
        <f t="shared" si="21"/>
        <v>Non-routine cognitive</v>
      </c>
    </row>
    <row r="677" spans="1:6" ht="28.5" x14ac:dyDescent="0.4">
      <c r="A677" s="3">
        <v>3112</v>
      </c>
      <c r="B677" s="3" t="str">
        <f t="shared" si="20"/>
        <v>3</v>
      </c>
      <c r="C677" s="4" t="s">
        <v>173</v>
      </c>
      <c r="D677" s="7" t="s">
        <v>174</v>
      </c>
      <c r="E677" s="4" t="s">
        <v>106</v>
      </c>
      <c r="F677" s="2" t="str">
        <f t="shared" si="21"/>
        <v>Non-routine manual</v>
      </c>
    </row>
    <row r="678" spans="1:6" ht="71.25" x14ac:dyDescent="0.4">
      <c r="A678" s="3">
        <v>3112</v>
      </c>
      <c r="B678" s="3" t="str">
        <f t="shared" si="20"/>
        <v>3</v>
      </c>
      <c r="C678" s="4" t="s">
        <v>173</v>
      </c>
      <c r="D678" s="8" t="s">
        <v>3658</v>
      </c>
      <c r="E678" s="4" t="s">
        <v>50</v>
      </c>
      <c r="F678" s="2" t="str">
        <f t="shared" si="21"/>
        <v>Routine cognitive</v>
      </c>
    </row>
    <row r="679" spans="1:6" ht="42.75" x14ac:dyDescent="0.4">
      <c r="A679" s="3">
        <v>3112</v>
      </c>
      <c r="B679" s="3" t="str">
        <f t="shared" si="20"/>
        <v>3</v>
      </c>
      <c r="C679" s="4" t="s">
        <v>173</v>
      </c>
      <c r="D679" s="8" t="s">
        <v>1675</v>
      </c>
      <c r="E679" s="4" t="s">
        <v>50</v>
      </c>
      <c r="F679" s="2" t="str">
        <f t="shared" si="21"/>
        <v>Routine cognitive</v>
      </c>
    </row>
    <row r="680" spans="1:6" ht="57" x14ac:dyDescent="0.4">
      <c r="A680" s="3">
        <v>3112</v>
      </c>
      <c r="B680" s="3" t="str">
        <f t="shared" si="20"/>
        <v>3</v>
      </c>
      <c r="C680" s="4" t="s">
        <v>173</v>
      </c>
      <c r="D680" s="5" t="s">
        <v>1676</v>
      </c>
      <c r="E680" s="4" t="s">
        <v>4</v>
      </c>
      <c r="F680" s="2" t="str">
        <f t="shared" si="21"/>
        <v>Non-routine cognitive</v>
      </c>
    </row>
    <row r="681" spans="1:6" ht="42.75" x14ac:dyDescent="0.4">
      <c r="A681" s="3">
        <v>3113</v>
      </c>
      <c r="B681" s="3" t="str">
        <f t="shared" si="20"/>
        <v>3</v>
      </c>
      <c r="C681" s="4" t="s">
        <v>175</v>
      </c>
      <c r="D681" s="5" t="s">
        <v>1677</v>
      </c>
      <c r="E681" s="4" t="s">
        <v>4</v>
      </c>
      <c r="F681" s="2" t="str">
        <f t="shared" si="21"/>
        <v>Non-routine cognitive</v>
      </c>
    </row>
    <row r="682" spans="1:6" ht="28.5" x14ac:dyDescent="0.4">
      <c r="A682" s="3">
        <v>3113</v>
      </c>
      <c r="B682" s="3" t="str">
        <f t="shared" si="20"/>
        <v>3</v>
      </c>
      <c r="C682" s="4" t="s">
        <v>175</v>
      </c>
      <c r="D682" s="5" t="s">
        <v>1678</v>
      </c>
      <c r="E682" s="4" t="s">
        <v>4</v>
      </c>
      <c r="F682" s="2" t="str">
        <f t="shared" si="21"/>
        <v>Non-routine cognitive</v>
      </c>
    </row>
    <row r="683" spans="1:6" ht="42.75" x14ac:dyDescent="0.4">
      <c r="A683" s="3">
        <v>3113</v>
      </c>
      <c r="B683" s="3" t="str">
        <f t="shared" si="20"/>
        <v>3</v>
      </c>
      <c r="C683" s="4" t="s">
        <v>175</v>
      </c>
      <c r="D683" s="5" t="s">
        <v>1679</v>
      </c>
      <c r="E683" s="4" t="s">
        <v>4</v>
      </c>
      <c r="F683" s="2" t="str">
        <f t="shared" si="21"/>
        <v>Non-routine cognitive</v>
      </c>
    </row>
    <row r="684" spans="1:6" ht="57" x14ac:dyDescent="0.4">
      <c r="A684" s="3">
        <v>3113</v>
      </c>
      <c r="B684" s="3" t="str">
        <f t="shared" si="20"/>
        <v>3</v>
      </c>
      <c r="C684" s="4" t="s">
        <v>175</v>
      </c>
      <c r="D684" s="5" t="s">
        <v>1680</v>
      </c>
      <c r="E684" s="4" t="s">
        <v>4</v>
      </c>
      <c r="F684" s="2" t="str">
        <f t="shared" si="21"/>
        <v>Non-routine cognitive</v>
      </c>
    </row>
    <row r="685" spans="1:6" ht="42.75" x14ac:dyDescent="0.4">
      <c r="A685" s="3">
        <v>3113</v>
      </c>
      <c r="B685" s="3" t="str">
        <f t="shared" si="20"/>
        <v>3</v>
      </c>
      <c r="C685" s="4" t="s">
        <v>175</v>
      </c>
      <c r="D685" s="5" t="s">
        <v>1681</v>
      </c>
      <c r="E685" s="4" t="s">
        <v>4</v>
      </c>
      <c r="F685" s="2" t="str">
        <f t="shared" si="21"/>
        <v>Non-routine cognitive</v>
      </c>
    </row>
    <row r="686" spans="1:6" ht="42.75" x14ac:dyDescent="0.4">
      <c r="A686" s="3">
        <v>3113</v>
      </c>
      <c r="B686" s="3" t="str">
        <f t="shared" si="20"/>
        <v>3</v>
      </c>
      <c r="C686" s="4" t="s">
        <v>175</v>
      </c>
      <c r="D686" s="5" t="s">
        <v>1682</v>
      </c>
      <c r="E686" s="4" t="s">
        <v>106</v>
      </c>
      <c r="F686" s="2" t="str">
        <f t="shared" si="21"/>
        <v>Non-routine manual</v>
      </c>
    </row>
    <row r="687" spans="1:6" ht="28.5" x14ac:dyDescent="0.4">
      <c r="A687" s="3">
        <v>3114</v>
      </c>
      <c r="B687" s="3" t="str">
        <f t="shared" si="20"/>
        <v>3</v>
      </c>
      <c r="C687" s="4" t="s">
        <v>176</v>
      </c>
      <c r="D687" s="4" t="s">
        <v>177</v>
      </c>
      <c r="E687" s="4" t="s">
        <v>4</v>
      </c>
      <c r="F687" s="2" t="str">
        <f t="shared" si="21"/>
        <v>Non-routine cognitive</v>
      </c>
    </row>
    <row r="688" spans="1:6" ht="28.5" x14ac:dyDescent="0.4">
      <c r="A688" s="3">
        <v>3114</v>
      </c>
      <c r="B688" s="3" t="str">
        <f t="shared" si="20"/>
        <v>3</v>
      </c>
      <c r="C688" s="4" t="s">
        <v>176</v>
      </c>
      <c r="D688" s="10" t="s">
        <v>1683</v>
      </c>
      <c r="E688" s="4" t="s">
        <v>4</v>
      </c>
      <c r="F688" s="2" t="str">
        <f t="shared" si="21"/>
        <v>Non-routine cognitive</v>
      </c>
    </row>
    <row r="689" spans="1:6" ht="57" x14ac:dyDescent="0.4">
      <c r="A689" s="3">
        <v>3114</v>
      </c>
      <c r="B689" s="3" t="str">
        <f t="shared" si="20"/>
        <v>3</v>
      </c>
      <c r="C689" s="4" t="s">
        <v>176</v>
      </c>
      <c r="D689" s="5" t="s">
        <v>1684</v>
      </c>
      <c r="E689" s="4" t="s">
        <v>4</v>
      </c>
      <c r="F689" s="2" t="str">
        <f t="shared" si="21"/>
        <v>Non-routine cognitive</v>
      </c>
    </row>
    <row r="690" spans="1:6" ht="42.75" x14ac:dyDescent="0.4">
      <c r="A690" s="3">
        <v>3114</v>
      </c>
      <c r="B690" s="3" t="str">
        <f t="shared" si="20"/>
        <v>3</v>
      </c>
      <c r="C690" s="4" t="s">
        <v>176</v>
      </c>
      <c r="D690" s="5" t="s">
        <v>1685</v>
      </c>
      <c r="E690" s="4" t="s">
        <v>50</v>
      </c>
      <c r="F690" s="2" t="str">
        <f t="shared" si="21"/>
        <v>Routine cognitive</v>
      </c>
    </row>
    <row r="691" spans="1:6" ht="28.5" x14ac:dyDescent="0.4">
      <c r="A691" s="3">
        <v>3114</v>
      </c>
      <c r="B691" s="3" t="str">
        <f t="shared" si="20"/>
        <v>3</v>
      </c>
      <c r="C691" s="4" t="s">
        <v>176</v>
      </c>
      <c r="D691" s="5" t="s">
        <v>1686</v>
      </c>
      <c r="E691" s="4" t="s">
        <v>4</v>
      </c>
      <c r="F691" s="2" t="str">
        <f t="shared" si="21"/>
        <v>Non-routine cognitive</v>
      </c>
    </row>
    <row r="692" spans="1:6" ht="42.75" x14ac:dyDescent="0.4">
      <c r="A692" s="3">
        <v>3114</v>
      </c>
      <c r="B692" s="3" t="str">
        <f t="shared" si="20"/>
        <v>3</v>
      </c>
      <c r="C692" s="4" t="s">
        <v>176</v>
      </c>
      <c r="D692" s="5" t="s">
        <v>1687</v>
      </c>
      <c r="E692" s="4" t="s">
        <v>4</v>
      </c>
      <c r="F692" s="2" t="str">
        <f t="shared" si="21"/>
        <v>Non-routine cognitive</v>
      </c>
    </row>
    <row r="693" spans="1:6" ht="28.5" x14ac:dyDescent="0.4">
      <c r="A693" s="3">
        <v>3114</v>
      </c>
      <c r="B693" s="3" t="str">
        <f t="shared" si="20"/>
        <v>3</v>
      </c>
      <c r="C693" s="4" t="s">
        <v>176</v>
      </c>
      <c r="D693" s="5" t="s">
        <v>1688</v>
      </c>
      <c r="E693" s="4" t="s">
        <v>50</v>
      </c>
      <c r="F693" s="2" t="str">
        <f t="shared" si="21"/>
        <v>Routine cognitive</v>
      </c>
    </row>
    <row r="694" spans="1:6" ht="57" x14ac:dyDescent="0.4">
      <c r="A694" s="3">
        <v>3115</v>
      </c>
      <c r="B694" s="3" t="str">
        <f t="shared" si="20"/>
        <v>3</v>
      </c>
      <c r="C694" s="4" t="s">
        <v>178</v>
      </c>
      <c r="D694" s="5" t="s">
        <v>1689</v>
      </c>
      <c r="E694" s="4" t="s">
        <v>4</v>
      </c>
      <c r="F694" s="2" t="str">
        <f t="shared" si="21"/>
        <v>Non-routine cognitive</v>
      </c>
    </row>
    <row r="695" spans="1:6" ht="42.75" x14ac:dyDescent="0.4">
      <c r="A695" s="3">
        <v>3115</v>
      </c>
      <c r="B695" s="3" t="str">
        <f t="shared" si="20"/>
        <v>3</v>
      </c>
      <c r="C695" s="4" t="s">
        <v>178</v>
      </c>
      <c r="D695" s="8" t="s">
        <v>1690</v>
      </c>
      <c r="E695" s="4" t="s">
        <v>4</v>
      </c>
      <c r="F695" s="2" t="str">
        <f t="shared" si="21"/>
        <v>Non-routine cognitive</v>
      </c>
    </row>
    <row r="696" spans="1:6" ht="42.75" x14ac:dyDescent="0.4">
      <c r="A696" s="3">
        <v>3115</v>
      </c>
      <c r="B696" s="3" t="str">
        <f t="shared" si="20"/>
        <v>3</v>
      </c>
      <c r="C696" s="4" t="s">
        <v>178</v>
      </c>
      <c r="D696" s="8" t="s">
        <v>1691</v>
      </c>
      <c r="E696" s="4" t="s">
        <v>4</v>
      </c>
      <c r="F696" s="2" t="str">
        <f t="shared" si="21"/>
        <v>Non-routine cognitive</v>
      </c>
    </row>
    <row r="697" spans="1:6" ht="71.25" x14ac:dyDescent="0.4">
      <c r="A697" s="3">
        <v>3115</v>
      </c>
      <c r="B697" s="3" t="str">
        <f t="shared" si="20"/>
        <v>3</v>
      </c>
      <c r="C697" s="4" t="s">
        <v>178</v>
      </c>
      <c r="D697" s="5" t="s">
        <v>1692</v>
      </c>
      <c r="E697" s="4" t="s">
        <v>4</v>
      </c>
      <c r="F697" s="2" t="str">
        <f t="shared" si="21"/>
        <v>Non-routine cognitive</v>
      </c>
    </row>
    <row r="698" spans="1:6" ht="57" x14ac:dyDescent="0.4">
      <c r="A698" s="3">
        <v>3115</v>
      </c>
      <c r="B698" s="3" t="str">
        <f t="shared" si="20"/>
        <v>3</v>
      </c>
      <c r="C698" s="4" t="s">
        <v>178</v>
      </c>
      <c r="D698" s="5" t="s">
        <v>1693</v>
      </c>
      <c r="E698" s="4" t="s">
        <v>50</v>
      </c>
      <c r="F698" s="2" t="str">
        <f t="shared" si="21"/>
        <v>Routine cognitive</v>
      </c>
    </row>
    <row r="699" spans="1:6" ht="42.75" x14ac:dyDescent="0.4">
      <c r="A699" s="3">
        <v>3115</v>
      </c>
      <c r="B699" s="3" t="str">
        <f t="shared" si="20"/>
        <v>3</v>
      </c>
      <c r="C699" s="4" t="s">
        <v>178</v>
      </c>
      <c r="D699" s="8" t="s">
        <v>1694</v>
      </c>
      <c r="E699" s="4" t="s">
        <v>106</v>
      </c>
      <c r="F699" s="2" t="str">
        <f t="shared" si="21"/>
        <v>Non-routine manual</v>
      </c>
    </row>
    <row r="700" spans="1:6" ht="42.75" x14ac:dyDescent="0.4">
      <c r="A700" s="3">
        <v>3115</v>
      </c>
      <c r="B700" s="3" t="str">
        <f t="shared" si="20"/>
        <v>3</v>
      </c>
      <c r="C700" s="4" t="s">
        <v>178</v>
      </c>
      <c r="D700" s="5" t="s">
        <v>1695</v>
      </c>
      <c r="E700" s="4" t="s">
        <v>4</v>
      </c>
      <c r="F700" s="2" t="str">
        <f t="shared" si="21"/>
        <v>Non-routine cognitive</v>
      </c>
    </row>
    <row r="701" spans="1:6" ht="42.75" x14ac:dyDescent="0.4">
      <c r="A701" s="3">
        <v>3115</v>
      </c>
      <c r="B701" s="3" t="str">
        <f t="shared" si="20"/>
        <v>3</v>
      </c>
      <c r="C701" s="4" t="s">
        <v>178</v>
      </c>
      <c r="D701" s="5" t="s">
        <v>1696</v>
      </c>
      <c r="E701" s="4" t="s">
        <v>50</v>
      </c>
      <c r="F701" s="2" t="str">
        <f t="shared" si="21"/>
        <v>Routine cognitive</v>
      </c>
    </row>
    <row r="702" spans="1:6" ht="42.75" x14ac:dyDescent="0.4">
      <c r="A702" s="3">
        <v>3117</v>
      </c>
      <c r="B702" s="3" t="str">
        <f t="shared" si="20"/>
        <v>3</v>
      </c>
      <c r="C702" s="4" t="s">
        <v>179</v>
      </c>
      <c r="D702" s="5" t="s">
        <v>1697</v>
      </c>
      <c r="E702" s="4" t="s">
        <v>4</v>
      </c>
      <c r="F702" s="2" t="str">
        <f t="shared" si="21"/>
        <v>Non-routine cognitive</v>
      </c>
    </row>
    <row r="703" spans="1:6" ht="57" x14ac:dyDescent="0.4">
      <c r="A703" s="3">
        <v>3117</v>
      </c>
      <c r="B703" s="3" t="str">
        <f t="shared" si="20"/>
        <v>3</v>
      </c>
      <c r="C703" s="4" t="s">
        <v>179</v>
      </c>
      <c r="D703" s="8" t="s">
        <v>1698</v>
      </c>
      <c r="E703" s="4" t="s">
        <v>4</v>
      </c>
      <c r="F703" s="2" t="str">
        <f t="shared" si="21"/>
        <v>Non-routine cognitive</v>
      </c>
    </row>
    <row r="704" spans="1:6" ht="57" x14ac:dyDescent="0.4">
      <c r="A704" s="3">
        <v>3117</v>
      </c>
      <c r="B704" s="3" t="str">
        <f t="shared" si="20"/>
        <v>3</v>
      </c>
      <c r="C704" s="4" t="s">
        <v>179</v>
      </c>
      <c r="D704" s="8" t="s">
        <v>1699</v>
      </c>
      <c r="E704" s="4" t="s">
        <v>4</v>
      </c>
      <c r="F704" s="2" t="str">
        <f t="shared" si="21"/>
        <v>Non-routine cognitive</v>
      </c>
    </row>
    <row r="705" spans="1:6" ht="71.25" x14ac:dyDescent="0.4">
      <c r="A705" s="3">
        <v>3117</v>
      </c>
      <c r="B705" s="3" t="str">
        <f t="shared" si="20"/>
        <v>3</v>
      </c>
      <c r="C705" s="4" t="s">
        <v>179</v>
      </c>
      <c r="D705" s="5" t="s">
        <v>1700</v>
      </c>
      <c r="E705" s="4" t="s">
        <v>50</v>
      </c>
      <c r="F705" s="2" t="str">
        <f t="shared" si="21"/>
        <v>Routine cognitive</v>
      </c>
    </row>
    <row r="706" spans="1:6" ht="28.5" x14ac:dyDescent="0.4">
      <c r="A706" s="3">
        <v>3117</v>
      </c>
      <c r="B706" s="3" t="str">
        <f t="shared" si="20"/>
        <v>3</v>
      </c>
      <c r="C706" s="4" t="s">
        <v>179</v>
      </c>
      <c r="D706" s="7" t="s">
        <v>3649</v>
      </c>
      <c r="E706" s="4" t="s">
        <v>4</v>
      </c>
      <c r="F706" s="2" t="str">
        <f t="shared" si="21"/>
        <v>Non-routine cognitive</v>
      </c>
    </row>
    <row r="707" spans="1:6" ht="57" x14ac:dyDescent="0.4">
      <c r="A707" s="3">
        <v>3117</v>
      </c>
      <c r="B707" s="3" t="str">
        <f t="shared" ref="B707:B770" si="22">LEFT(A707,1)</f>
        <v>3</v>
      </c>
      <c r="C707" s="4" t="s">
        <v>179</v>
      </c>
      <c r="D707" s="5" t="s">
        <v>1701</v>
      </c>
      <c r="E707" s="4" t="s">
        <v>50</v>
      </c>
      <c r="F707" s="2" t="str">
        <f t="shared" ref="F707:F770" si="23">IF(E707="Non-routine interpersonal","Non-routine cognitive",IF(E707="Non-routine analytical","Non-routine cognitive",IF(E707="Non-routine manual physical","Non-routine manual",E707)))</f>
        <v>Routine cognitive</v>
      </c>
    </row>
    <row r="708" spans="1:6" ht="28.5" x14ac:dyDescent="0.4">
      <c r="A708" s="3">
        <v>3117</v>
      </c>
      <c r="B708" s="3" t="str">
        <f t="shared" si="22"/>
        <v>3</v>
      </c>
      <c r="C708" s="4" t="s">
        <v>179</v>
      </c>
      <c r="D708" s="8" t="s">
        <v>1702</v>
      </c>
      <c r="E708" s="4" t="s">
        <v>50</v>
      </c>
      <c r="F708" s="2" t="str">
        <f t="shared" si="23"/>
        <v>Routine cognitive</v>
      </c>
    </row>
    <row r="709" spans="1:6" ht="57" x14ac:dyDescent="0.4">
      <c r="A709" s="3">
        <v>3117</v>
      </c>
      <c r="B709" s="3" t="str">
        <f t="shared" si="22"/>
        <v>3</v>
      </c>
      <c r="C709" s="4" t="s">
        <v>179</v>
      </c>
      <c r="D709" s="5" t="s">
        <v>1703</v>
      </c>
      <c r="E709" s="4" t="s">
        <v>4</v>
      </c>
      <c r="F709" s="2" t="str">
        <f t="shared" si="23"/>
        <v>Non-routine cognitive</v>
      </c>
    </row>
    <row r="710" spans="1:6" ht="85.5" x14ac:dyDescent="0.4">
      <c r="A710" s="3">
        <v>3118</v>
      </c>
      <c r="B710" s="3" t="str">
        <f t="shared" si="22"/>
        <v>3</v>
      </c>
      <c r="C710" s="4" t="s">
        <v>180</v>
      </c>
      <c r="D710" s="5" t="s">
        <v>1704</v>
      </c>
      <c r="E710" s="4" t="s">
        <v>4</v>
      </c>
      <c r="F710" s="2" t="str">
        <f t="shared" si="23"/>
        <v>Non-routine cognitive</v>
      </c>
    </row>
    <row r="711" spans="1:6" ht="42.75" x14ac:dyDescent="0.4">
      <c r="A711" s="3">
        <v>3118</v>
      </c>
      <c r="B711" s="3" t="str">
        <f t="shared" si="22"/>
        <v>3</v>
      </c>
      <c r="C711" s="4" t="s">
        <v>180</v>
      </c>
      <c r="D711" s="5" t="s">
        <v>1705</v>
      </c>
      <c r="E711" s="4" t="s">
        <v>50</v>
      </c>
      <c r="F711" s="2" t="str">
        <f t="shared" si="23"/>
        <v>Routine cognitive</v>
      </c>
    </row>
    <row r="712" spans="1:6" ht="42.75" x14ac:dyDescent="0.4">
      <c r="A712" s="3">
        <v>3118</v>
      </c>
      <c r="B712" s="3" t="str">
        <f t="shared" si="22"/>
        <v>3</v>
      </c>
      <c r="C712" s="4" t="s">
        <v>180</v>
      </c>
      <c r="D712" s="8" t="s">
        <v>1706</v>
      </c>
      <c r="E712" s="4" t="s">
        <v>50</v>
      </c>
      <c r="F712" s="2" t="str">
        <f t="shared" si="23"/>
        <v>Routine cognitive</v>
      </c>
    </row>
    <row r="713" spans="1:6" ht="57" x14ac:dyDescent="0.4">
      <c r="A713" s="3">
        <v>3118</v>
      </c>
      <c r="B713" s="3" t="str">
        <f t="shared" si="22"/>
        <v>3</v>
      </c>
      <c r="C713" s="4" t="s">
        <v>180</v>
      </c>
      <c r="D713" s="5" t="s">
        <v>1707</v>
      </c>
      <c r="E713" s="4" t="s">
        <v>4</v>
      </c>
      <c r="F713" s="2" t="str">
        <f t="shared" si="23"/>
        <v>Non-routine cognitive</v>
      </c>
    </row>
    <row r="714" spans="1:6" ht="28.5" x14ac:dyDescent="0.4">
      <c r="A714" s="3">
        <v>3118</v>
      </c>
      <c r="B714" s="3" t="str">
        <f t="shared" si="22"/>
        <v>3</v>
      </c>
      <c r="C714" s="4" t="s">
        <v>180</v>
      </c>
      <c r="D714" s="5" t="s">
        <v>1708</v>
      </c>
      <c r="E714" s="4" t="s">
        <v>4</v>
      </c>
      <c r="F714" s="2" t="str">
        <f t="shared" si="23"/>
        <v>Non-routine cognitive</v>
      </c>
    </row>
    <row r="715" spans="1:6" ht="57" x14ac:dyDescent="0.4">
      <c r="A715" s="3">
        <v>3118</v>
      </c>
      <c r="B715" s="3" t="str">
        <f t="shared" si="22"/>
        <v>3</v>
      </c>
      <c r="C715" s="4" t="s">
        <v>180</v>
      </c>
      <c r="D715" s="5" t="s">
        <v>1709</v>
      </c>
      <c r="E715" s="4" t="s">
        <v>4</v>
      </c>
      <c r="F715" s="2" t="str">
        <f t="shared" si="23"/>
        <v>Non-routine cognitive</v>
      </c>
    </row>
    <row r="716" spans="1:6" ht="42.75" x14ac:dyDescent="0.4">
      <c r="A716" s="3">
        <v>3118</v>
      </c>
      <c r="B716" s="3" t="str">
        <f t="shared" si="22"/>
        <v>3</v>
      </c>
      <c r="C716" s="4" t="s">
        <v>180</v>
      </c>
      <c r="D716" s="5" t="s">
        <v>1710</v>
      </c>
      <c r="E716" s="4" t="s">
        <v>4</v>
      </c>
      <c r="F716" s="2" t="str">
        <f t="shared" si="23"/>
        <v>Non-routine cognitive</v>
      </c>
    </row>
    <row r="717" spans="1:6" ht="28.5" x14ac:dyDescent="0.4">
      <c r="A717" s="3">
        <v>3118</v>
      </c>
      <c r="B717" s="3" t="str">
        <f t="shared" si="22"/>
        <v>3</v>
      </c>
      <c r="C717" s="4" t="s">
        <v>180</v>
      </c>
      <c r="D717" s="5" t="s">
        <v>1711</v>
      </c>
      <c r="E717" s="4" t="s">
        <v>50</v>
      </c>
      <c r="F717" s="2" t="str">
        <f t="shared" si="23"/>
        <v>Routine cognitive</v>
      </c>
    </row>
    <row r="718" spans="1:6" ht="85.5" x14ac:dyDescent="0.4">
      <c r="A718" s="3">
        <v>3119</v>
      </c>
      <c r="B718" s="3" t="str">
        <f t="shared" si="22"/>
        <v>3</v>
      </c>
      <c r="C718" s="4" t="s">
        <v>181</v>
      </c>
      <c r="D718" s="5" t="s">
        <v>1712</v>
      </c>
      <c r="E718" s="4" t="s">
        <v>4</v>
      </c>
      <c r="F718" s="2" t="str">
        <f t="shared" si="23"/>
        <v>Non-routine cognitive</v>
      </c>
    </row>
    <row r="719" spans="1:6" ht="28.5" x14ac:dyDescent="0.4">
      <c r="A719" s="3">
        <v>3119</v>
      </c>
      <c r="B719" s="3" t="str">
        <f t="shared" si="22"/>
        <v>3</v>
      </c>
      <c r="C719" s="4" t="s">
        <v>181</v>
      </c>
      <c r="D719" s="8" t="s">
        <v>1713</v>
      </c>
      <c r="E719" s="4" t="s">
        <v>50</v>
      </c>
      <c r="F719" s="2" t="str">
        <f t="shared" si="23"/>
        <v>Routine cognitive</v>
      </c>
    </row>
    <row r="720" spans="1:6" ht="42.75" x14ac:dyDescent="0.4">
      <c r="A720" s="3">
        <v>3119</v>
      </c>
      <c r="B720" s="3" t="str">
        <f t="shared" si="22"/>
        <v>3</v>
      </c>
      <c r="C720" s="4" t="s">
        <v>181</v>
      </c>
      <c r="D720" s="5" t="s">
        <v>1714</v>
      </c>
      <c r="E720" s="4" t="s">
        <v>182</v>
      </c>
      <c r="F720" s="2" t="str">
        <f t="shared" si="23"/>
        <v>Routine manual</v>
      </c>
    </row>
    <row r="721" spans="1:6" ht="28.5" x14ac:dyDescent="0.4">
      <c r="A721" s="3">
        <v>3119</v>
      </c>
      <c r="B721" s="3" t="str">
        <f t="shared" si="22"/>
        <v>3</v>
      </c>
      <c r="C721" s="4" t="s">
        <v>181</v>
      </c>
      <c r="D721" s="5" t="s">
        <v>1715</v>
      </c>
      <c r="E721" s="4" t="s">
        <v>4</v>
      </c>
      <c r="F721" s="2" t="str">
        <f t="shared" si="23"/>
        <v>Non-routine cognitive</v>
      </c>
    </row>
    <row r="722" spans="1:6" ht="28.5" x14ac:dyDescent="0.4">
      <c r="A722" s="3">
        <v>3119</v>
      </c>
      <c r="B722" s="3" t="str">
        <f t="shared" si="22"/>
        <v>3</v>
      </c>
      <c r="C722" s="4" t="s">
        <v>181</v>
      </c>
      <c r="D722" s="8" t="s">
        <v>1716</v>
      </c>
      <c r="E722" s="4" t="s">
        <v>4</v>
      </c>
      <c r="F722" s="2" t="str">
        <f t="shared" si="23"/>
        <v>Non-routine cognitive</v>
      </c>
    </row>
    <row r="723" spans="1:6" ht="28.5" x14ac:dyDescent="0.4">
      <c r="A723" s="3">
        <v>3122</v>
      </c>
      <c r="B723" s="3" t="str">
        <f t="shared" si="22"/>
        <v>3</v>
      </c>
      <c r="C723" s="4" t="s">
        <v>183</v>
      </c>
      <c r="D723" s="4" t="s">
        <v>184</v>
      </c>
      <c r="E723" s="4" t="s">
        <v>3</v>
      </c>
      <c r="F723" s="2" t="str">
        <f t="shared" si="23"/>
        <v>Non-routine cognitive</v>
      </c>
    </row>
    <row r="724" spans="1:6" ht="28.5" x14ac:dyDescent="0.4">
      <c r="A724" s="3">
        <v>3122</v>
      </c>
      <c r="B724" s="3" t="str">
        <f t="shared" si="22"/>
        <v>3</v>
      </c>
      <c r="C724" s="4" t="s">
        <v>183</v>
      </c>
      <c r="D724" s="5" t="s">
        <v>1717</v>
      </c>
      <c r="E724" s="4" t="s">
        <v>3</v>
      </c>
      <c r="F724" s="2" t="str">
        <f t="shared" si="23"/>
        <v>Non-routine cognitive</v>
      </c>
    </row>
    <row r="725" spans="1:6" x14ac:dyDescent="0.4">
      <c r="A725" s="3">
        <v>3122</v>
      </c>
      <c r="B725" s="3" t="str">
        <f t="shared" si="22"/>
        <v>3</v>
      </c>
      <c r="C725" s="4" t="s">
        <v>183</v>
      </c>
      <c r="D725" s="7" t="s">
        <v>185</v>
      </c>
      <c r="E725" s="4" t="s">
        <v>4</v>
      </c>
      <c r="F725" s="2" t="str">
        <f t="shared" si="23"/>
        <v>Non-routine cognitive</v>
      </c>
    </row>
    <row r="726" spans="1:6" x14ac:dyDescent="0.4">
      <c r="A726" s="3">
        <v>3122</v>
      </c>
      <c r="B726" s="3" t="str">
        <f t="shared" si="22"/>
        <v>3</v>
      </c>
      <c r="C726" s="4" t="s">
        <v>183</v>
      </c>
      <c r="D726" s="6" t="s">
        <v>186</v>
      </c>
      <c r="E726" s="4" t="s">
        <v>4</v>
      </c>
      <c r="F726" s="2" t="str">
        <f t="shared" si="23"/>
        <v>Non-routine cognitive</v>
      </c>
    </row>
    <row r="727" spans="1:6" x14ac:dyDescent="0.4">
      <c r="A727" s="3">
        <v>3122</v>
      </c>
      <c r="B727" s="3" t="str">
        <f t="shared" si="22"/>
        <v>3</v>
      </c>
      <c r="C727" s="4" t="s">
        <v>183</v>
      </c>
      <c r="D727" s="7" t="s">
        <v>187</v>
      </c>
      <c r="E727" s="4" t="s">
        <v>3</v>
      </c>
      <c r="F727" s="2" t="str">
        <f t="shared" si="23"/>
        <v>Non-routine cognitive</v>
      </c>
    </row>
    <row r="728" spans="1:6" x14ac:dyDescent="0.4">
      <c r="A728" s="3">
        <v>3122</v>
      </c>
      <c r="B728" s="3" t="str">
        <f t="shared" si="22"/>
        <v>3</v>
      </c>
      <c r="C728" s="4" t="s">
        <v>183</v>
      </c>
      <c r="D728" s="6" t="s">
        <v>188</v>
      </c>
      <c r="E728" s="4" t="s">
        <v>3</v>
      </c>
      <c r="F728" s="2" t="str">
        <f t="shared" si="23"/>
        <v>Non-routine cognitive</v>
      </c>
    </row>
    <row r="729" spans="1:6" ht="28.5" x14ac:dyDescent="0.4">
      <c r="A729" s="3">
        <v>3123</v>
      </c>
      <c r="B729" s="3" t="str">
        <f t="shared" si="22"/>
        <v>3</v>
      </c>
      <c r="C729" s="4" t="s">
        <v>189</v>
      </c>
      <c r="D729" s="14" t="s">
        <v>3650</v>
      </c>
      <c r="E729" s="4" t="s">
        <v>50</v>
      </c>
      <c r="F729" s="2" t="str">
        <f t="shared" si="23"/>
        <v>Routine cognitive</v>
      </c>
    </row>
    <row r="730" spans="1:6" ht="42.75" x14ac:dyDescent="0.4">
      <c r="A730" s="3">
        <v>3123</v>
      </c>
      <c r="B730" s="3" t="str">
        <f t="shared" si="22"/>
        <v>3</v>
      </c>
      <c r="C730" s="4" t="s">
        <v>189</v>
      </c>
      <c r="D730" s="5" t="s">
        <v>1718</v>
      </c>
      <c r="E730" s="4" t="s">
        <v>3</v>
      </c>
      <c r="F730" s="2" t="str">
        <f t="shared" si="23"/>
        <v>Non-routine cognitive</v>
      </c>
    </row>
    <row r="731" spans="1:6" x14ac:dyDescent="0.4">
      <c r="A731" s="3">
        <v>3123</v>
      </c>
      <c r="B731" s="3" t="str">
        <f t="shared" si="22"/>
        <v>3</v>
      </c>
      <c r="C731" s="4" t="s">
        <v>189</v>
      </c>
      <c r="D731" s="7" t="s">
        <v>190</v>
      </c>
      <c r="E731" s="4" t="s">
        <v>3</v>
      </c>
      <c r="F731" s="2" t="str">
        <f t="shared" si="23"/>
        <v>Non-routine cognitive</v>
      </c>
    </row>
    <row r="732" spans="1:6" ht="28.5" x14ac:dyDescent="0.4">
      <c r="A732" s="3">
        <v>3123</v>
      </c>
      <c r="B732" s="3" t="str">
        <f t="shared" si="22"/>
        <v>3</v>
      </c>
      <c r="C732" s="4" t="s">
        <v>189</v>
      </c>
      <c r="D732" s="5" t="s">
        <v>1719</v>
      </c>
      <c r="E732" s="4" t="s">
        <v>50</v>
      </c>
      <c r="F732" s="2" t="str">
        <f t="shared" si="23"/>
        <v>Routine cognitive</v>
      </c>
    </row>
    <row r="733" spans="1:6" ht="28.5" x14ac:dyDescent="0.4">
      <c r="A733" s="3">
        <v>3123</v>
      </c>
      <c r="B733" s="3" t="str">
        <f t="shared" si="22"/>
        <v>3</v>
      </c>
      <c r="C733" s="4" t="s">
        <v>189</v>
      </c>
      <c r="D733" s="6" t="s">
        <v>191</v>
      </c>
      <c r="E733" s="4" t="s">
        <v>3</v>
      </c>
      <c r="F733" s="2" t="str">
        <f t="shared" si="23"/>
        <v>Non-routine cognitive</v>
      </c>
    </row>
    <row r="734" spans="1:6" ht="28.5" x14ac:dyDescent="0.4">
      <c r="A734" s="3">
        <v>3123</v>
      </c>
      <c r="B734" s="3" t="str">
        <f t="shared" si="22"/>
        <v>3</v>
      </c>
      <c r="C734" s="4" t="s">
        <v>189</v>
      </c>
      <c r="D734" s="4" t="s">
        <v>192</v>
      </c>
      <c r="E734" s="4" t="s">
        <v>3</v>
      </c>
      <c r="F734" s="2" t="str">
        <f t="shared" si="23"/>
        <v>Non-routine cognitive</v>
      </c>
    </row>
    <row r="735" spans="1:6" ht="28.5" x14ac:dyDescent="0.4">
      <c r="A735" s="3">
        <v>3131</v>
      </c>
      <c r="B735" s="3" t="str">
        <f t="shared" si="22"/>
        <v>3</v>
      </c>
      <c r="C735" s="4" t="s">
        <v>193</v>
      </c>
      <c r="D735" s="5" t="s">
        <v>1720</v>
      </c>
      <c r="E735" s="4" t="s">
        <v>182</v>
      </c>
      <c r="F735" s="2" t="str">
        <f t="shared" si="23"/>
        <v>Routine manual</v>
      </c>
    </row>
    <row r="736" spans="1:6" ht="57" x14ac:dyDescent="0.4">
      <c r="A736" s="3">
        <v>3131</v>
      </c>
      <c r="B736" s="3" t="str">
        <f t="shared" si="22"/>
        <v>3</v>
      </c>
      <c r="C736" s="4" t="s">
        <v>193</v>
      </c>
      <c r="D736" s="5" t="s">
        <v>1721</v>
      </c>
      <c r="E736" s="4" t="s">
        <v>182</v>
      </c>
      <c r="F736" s="2" t="str">
        <f t="shared" si="23"/>
        <v>Routine manual</v>
      </c>
    </row>
    <row r="737" spans="1:6" ht="57" x14ac:dyDescent="0.4">
      <c r="A737" s="3">
        <v>3131</v>
      </c>
      <c r="B737" s="3" t="str">
        <f t="shared" si="22"/>
        <v>3</v>
      </c>
      <c r="C737" s="4" t="s">
        <v>193</v>
      </c>
      <c r="D737" s="5" t="s">
        <v>1722</v>
      </c>
      <c r="E737" s="4" t="s">
        <v>182</v>
      </c>
      <c r="F737" s="2" t="str">
        <f t="shared" si="23"/>
        <v>Routine manual</v>
      </c>
    </row>
    <row r="738" spans="1:6" ht="42.75" x14ac:dyDescent="0.4">
      <c r="A738" s="3">
        <v>3131</v>
      </c>
      <c r="B738" s="3" t="str">
        <f t="shared" si="22"/>
        <v>3</v>
      </c>
      <c r="C738" s="4" t="s">
        <v>193</v>
      </c>
      <c r="D738" s="5" t="s">
        <v>1723</v>
      </c>
      <c r="E738" s="4" t="s">
        <v>50</v>
      </c>
      <c r="F738" s="2" t="str">
        <f t="shared" si="23"/>
        <v>Routine cognitive</v>
      </c>
    </row>
    <row r="739" spans="1:6" ht="42.75" x14ac:dyDescent="0.4">
      <c r="A739" s="3">
        <v>3131</v>
      </c>
      <c r="B739" s="3" t="str">
        <f t="shared" si="22"/>
        <v>3</v>
      </c>
      <c r="C739" s="4" t="s">
        <v>193</v>
      </c>
      <c r="D739" s="5" t="s">
        <v>1724</v>
      </c>
      <c r="E739" s="4" t="s">
        <v>50</v>
      </c>
      <c r="F739" s="2" t="str">
        <f t="shared" si="23"/>
        <v>Routine cognitive</v>
      </c>
    </row>
    <row r="740" spans="1:6" ht="42.75" x14ac:dyDescent="0.4">
      <c r="A740" s="3">
        <v>3131</v>
      </c>
      <c r="B740" s="3" t="str">
        <f t="shared" si="22"/>
        <v>3</v>
      </c>
      <c r="C740" s="4" t="s">
        <v>193</v>
      </c>
      <c r="D740" s="5" t="s">
        <v>1725</v>
      </c>
      <c r="E740" s="4" t="s">
        <v>106</v>
      </c>
      <c r="F740" s="2" t="str">
        <f t="shared" si="23"/>
        <v>Non-routine manual</v>
      </c>
    </row>
    <row r="741" spans="1:6" ht="85.5" x14ac:dyDescent="0.4">
      <c r="A741" s="3">
        <v>3132</v>
      </c>
      <c r="B741" s="3" t="str">
        <f t="shared" si="22"/>
        <v>3</v>
      </c>
      <c r="C741" s="4" t="s">
        <v>194</v>
      </c>
      <c r="D741" s="5" t="s">
        <v>1726</v>
      </c>
      <c r="E741" s="4" t="s">
        <v>182</v>
      </c>
      <c r="F741" s="2" t="str">
        <f t="shared" si="23"/>
        <v>Routine manual</v>
      </c>
    </row>
    <row r="742" spans="1:6" ht="57" x14ac:dyDescent="0.4">
      <c r="A742" s="3">
        <v>3132</v>
      </c>
      <c r="B742" s="3" t="str">
        <f t="shared" si="22"/>
        <v>3</v>
      </c>
      <c r="C742" s="4" t="s">
        <v>194</v>
      </c>
      <c r="D742" s="5" t="s">
        <v>1727</v>
      </c>
      <c r="E742" s="4" t="s">
        <v>182</v>
      </c>
      <c r="F742" s="2" t="str">
        <f t="shared" si="23"/>
        <v>Routine manual</v>
      </c>
    </row>
    <row r="743" spans="1:6" ht="57" x14ac:dyDescent="0.4">
      <c r="A743" s="3">
        <v>3132</v>
      </c>
      <c r="B743" s="3" t="str">
        <f t="shared" si="22"/>
        <v>3</v>
      </c>
      <c r="C743" s="4" t="s">
        <v>194</v>
      </c>
      <c r="D743" s="5" t="s">
        <v>3651</v>
      </c>
      <c r="E743" s="4" t="s">
        <v>50</v>
      </c>
      <c r="F743" s="2" t="str">
        <f t="shared" si="23"/>
        <v>Routine cognitive</v>
      </c>
    </row>
    <row r="744" spans="1:6" ht="42.75" x14ac:dyDescent="0.4">
      <c r="A744" s="3">
        <v>3132</v>
      </c>
      <c r="B744" s="3" t="str">
        <f t="shared" si="22"/>
        <v>3</v>
      </c>
      <c r="C744" s="4" t="s">
        <v>194</v>
      </c>
      <c r="D744" s="5" t="s">
        <v>1728</v>
      </c>
      <c r="E744" s="4" t="s">
        <v>182</v>
      </c>
      <c r="F744" s="2" t="str">
        <f t="shared" si="23"/>
        <v>Routine manual</v>
      </c>
    </row>
    <row r="745" spans="1:6" ht="42.75" x14ac:dyDescent="0.4">
      <c r="A745" s="3">
        <v>3132</v>
      </c>
      <c r="B745" s="3" t="str">
        <f t="shared" si="22"/>
        <v>3</v>
      </c>
      <c r="C745" s="4" t="s">
        <v>194</v>
      </c>
      <c r="D745" s="8" t="s">
        <v>1729</v>
      </c>
      <c r="E745" s="4" t="s">
        <v>50</v>
      </c>
      <c r="F745" s="2" t="str">
        <f t="shared" si="23"/>
        <v>Routine cognitive</v>
      </c>
    </row>
    <row r="746" spans="1:6" ht="57" x14ac:dyDescent="0.4">
      <c r="A746" s="3">
        <v>3132</v>
      </c>
      <c r="B746" s="3" t="str">
        <f t="shared" si="22"/>
        <v>3</v>
      </c>
      <c r="C746" s="4" t="s">
        <v>194</v>
      </c>
      <c r="D746" s="5" t="s">
        <v>1730</v>
      </c>
      <c r="E746" s="4" t="s">
        <v>4</v>
      </c>
      <c r="F746" s="2" t="str">
        <f t="shared" si="23"/>
        <v>Non-routine cognitive</v>
      </c>
    </row>
    <row r="747" spans="1:6" ht="28.5" x14ac:dyDescent="0.4">
      <c r="A747" s="3">
        <v>3132</v>
      </c>
      <c r="B747" s="3" t="str">
        <f t="shared" si="22"/>
        <v>3</v>
      </c>
      <c r="C747" s="4" t="s">
        <v>194</v>
      </c>
      <c r="D747" s="8" t="s">
        <v>1731</v>
      </c>
      <c r="E747" s="4" t="s">
        <v>50</v>
      </c>
      <c r="F747" s="2" t="str">
        <f t="shared" si="23"/>
        <v>Routine cognitive</v>
      </c>
    </row>
    <row r="748" spans="1:6" ht="28.5" x14ac:dyDescent="0.4">
      <c r="A748" s="3">
        <v>3132</v>
      </c>
      <c r="B748" s="3" t="str">
        <f t="shared" si="22"/>
        <v>3</v>
      </c>
      <c r="C748" s="4" t="s">
        <v>194</v>
      </c>
      <c r="D748" s="10" t="s">
        <v>1732</v>
      </c>
      <c r="E748" s="4" t="s">
        <v>50</v>
      </c>
      <c r="F748" s="2" t="str">
        <f t="shared" si="23"/>
        <v>Routine cognitive</v>
      </c>
    </row>
    <row r="749" spans="1:6" ht="42.75" x14ac:dyDescent="0.4">
      <c r="A749" s="3">
        <v>3133</v>
      </c>
      <c r="B749" s="3" t="str">
        <f t="shared" si="22"/>
        <v>3</v>
      </c>
      <c r="C749" s="4" t="s">
        <v>195</v>
      </c>
      <c r="D749" s="5" t="s">
        <v>1733</v>
      </c>
      <c r="E749" s="4" t="s">
        <v>182</v>
      </c>
      <c r="F749" s="2" t="str">
        <f t="shared" si="23"/>
        <v>Routine manual</v>
      </c>
    </row>
    <row r="750" spans="1:6" ht="28.5" x14ac:dyDescent="0.4">
      <c r="A750" s="3">
        <v>3133</v>
      </c>
      <c r="B750" s="3" t="str">
        <f t="shared" si="22"/>
        <v>3</v>
      </c>
      <c r="C750" s="4" t="s">
        <v>195</v>
      </c>
      <c r="D750" s="4" t="s">
        <v>196</v>
      </c>
      <c r="E750" s="4" t="s">
        <v>106</v>
      </c>
      <c r="F750" s="2" t="str">
        <f t="shared" si="23"/>
        <v>Non-routine manual</v>
      </c>
    </row>
    <row r="751" spans="1:6" ht="42.75" x14ac:dyDescent="0.4">
      <c r="A751" s="3">
        <v>3133</v>
      </c>
      <c r="B751" s="3" t="str">
        <f t="shared" si="22"/>
        <v>3</v>
      </c>
      <c r="C751" s="4" t="s">
        <v>195</v>
      </c>
      <c r="D751" s="5" t="s">
        <v>1734</v>
      </c>
      <c r="E751" s="4" t="s">
        <v>182</v>
      </c>
      <c r="F751" s="2" t="str">
        <f t="shared" si="23"/>
        <v>Routine manual</v>
      </c>
    </row>
    <row r="752" spans="1:6" ht="42.75" x14ac:dyDescent="0.4">
      <c r="A752" s="3">
        <v>3133</v>
      </c>
      <c r="B752" s="3" t="str">
        <f t="shared" si="22"/>
        <v>3</v>
      </c>
      <c r="C752" s="4" t="s">
        <v>195</v>
      </c>
      <c r="D752" s="5" t="s">
        <v>1735</v>
      </c>
      <c r="E752" s="4" t="s">
        <v>182</v>
      </c>
      <c r="F752" s="2" t="str">
        <f t="shared" si="23"/>
        <v>Routine manual</v>
      </c>
    </row>
    <row r="753" spans="1:6" ht="28.5" x14ac:dyDescent="0.4">
      <c r="A753" s="3">
        <v>3133</v>
      </c>
      <c r="B753" s="3" t="str">
        <f t="shared" si="22"/>
        <v>3</v>
      </c>
      <c r="C753" s="4" t="s">
        <v>195</v>
      </c>
      <c r="D753" s="4" t="s">
        <v>197</v>
      </c>
      <c r="E753" s="4" t="s">
        <v>50</v>
      </c>
      <c r="F753" s="2" t="str">
        <f t="shared" si="23"/>
        <v>Routine cognitive</v>
      </c>
    </row>
    <row r="754" spans="1:6" ht="28.5" x14ac:dyDescent="0.4">
      <c r="A754" s="3">
        <v>3133</v>
      </c>
      <c r="B754" s="3" t="str">
        <f t="shared" si="22"/>
        <v>3</v>
      </c>
      <c r="C754" s="4" t="s">
        <v>195</v>
      </c>
      <c r="D754" s="4" t="s">
        <v>198</v>
      </c>
      <c r="E754" s="4" t="s">
        <v>4</v>
      </c>
      <c r="F754" s="2" t="str">
        <f t="shared" si="23"/>
        <v>Non-routine cognitive</v>
      </c>
    </row>
    <row r="755" spans="1:6" ht="28.5" x14ac:dyDescent="0.4">
      <c r="A755" s="3">
        <v>3139</v>
      </c>
      <c r="B755" s="3" t="str">
        <f t="shared" si="22"/>
        <v>3</v>
      </c>
      <c r="C755" s="4" t="s">
        <v>199</v>
      </c>
      <c r="D755" s="13" t="s">
        <v>82</v>
      </c>
      <c r="E755" s="4" t="s">
        <v>3652</v>
      </c>
      <c r="F755" s="2" t="str">
        <f t="shared" si="23"/>
        <v>NA</v>
      </c>
    </row>
    <row r="756" spans="1:6" ht="28.5" x14ac:dyDescent="0.4">
      <c r="A756" s="3">
        <v>3142</v>
      </c>
      <c r="B756" s="3" t="str">
        <f t="shared" si="22"/>
        <v>3</v>
      </c>
      <c r="C756" s="4" t="s">
        <v>200</v>
      </c>
      <c r="D756" s="10" t="s">
        <v>1736</v>
      </c>
      <c r="E756" s="4" t="s">
        <v>106</v>
      </c>
      <c r="F756" s="2" t="str">
        <f t="shared" si="23"/>
        <v>Non-routine manual</v>
      </c>
    </row>
    <row r="757" spans="1:6" ht="42.75" x14ac:dyDescent="0.4">
      <c r="A757" s="3">
        <v>3142</v>
      </c>
      <c r="B757" s="3" t="str">
        <f t="shared" si="22"/>
        <v>3</v>
      </c>
      <c r="C757" s="4" t="s">
        <v>200</v>
      </c>
      <c r="D757" s="5" t="s">
        <v>1737</v>
      </c>
      <c r="E757" s="4" t="s">
        <v>106</v>
      </c>
      <c r="F757" s="2" t="str">
        <f t="shared" si="23"/>
        <v>Non-routine manual</v>
      </c>
    </row>
    <row r="758" spans="1:6" ht="57" x14ac:dyDescent="0.4">
      <c r="A758" s="3">
        <v>3142</v>
      </c>
      <c r="B758" s="3" t="str">
        <f t="shared" si="22"/>
        <v>3</v>
      </c>
      <c r="C758" s="4" t="s">
        <v>200</v>
      </c>
      <c r="D758" s="5" t="s">
        <v>1738</v>
      </c>
      <c r="E758" s="4" t="s">
        <v>4</v>
      </c>
      <c r="F758" s="2" t="str">
        <f t="shared" si="23"/>
        <v>Non-routine cognitive</v>
      </c>
    </row>
    <row r="759" spans="1:6" ht="42.75" x14ac:dyDescent="0.4">
      <c r="A759" s="3">
        <v>3142</v>
      </c>
      <c r="B759" s="3" t="str">
        <f t="shared" si="22"/>
        <v>3</v>
      </c>
      <c r="C759" s="4" t="s">
        <v>200</v>
      </c>
      <c r="D759" s="5" t="s">
        <v>1739</v>
      </c>
      <c r="E759" s="4" t="s">
        <v>4</v>
      </c>
      <c r="F759" s="2" t="str">
        <f t="shared" si="23"/>
        <v>Non-routine cognitive</v>
      </c>
    </row>
    <row r="760" spans="1:6" ht="28.5" x14ac:dyDescent="0.4">
      <c r="A760" s="3">
        <v>3142</v>
      </c>
      <c r="B760" s="3" t="str">
        <f t="shared" si="22"/>
        <v>3</v>
      </c>
      <c r="C760" s="4" t="s">
        <v>200</v>
      </c>
      <c r="D760" s="8" t="s">
        <v>1740</v>
      </c>
      <c r="E760" s="4" t="s">
        <v>4</v>
      </c>
      <c r="F760" s="2" t="str">
        <f t="shared" si="23"/>
        <v>Non-routine cognitive</v>
      </c>
    </row>
    <row r="761" spans="1:6" ht="57" x14ac:dyDescent="0.4">
      <c r="A761" s="3">
        <v>3142</v>
      </c>
      <c r="B761" s="3" t="str">
        <f t="shared" si="22"/>
        <v>3</v>
      </c>
      <c r="C761" s="4" t="s">
        <v>200</v>
      </c>
      <c r="D761" s="5" t="s">
        <v>1741</v>
      </c>
      <c r="E761" s="4" t="s">
        <v>3</v>
      </c>
      <c r="F761" s="2" t="str">
        <f t="shared" si="23"/>
        <v>Non-routine cognitive</v>
      </c>
    </row>
    <row r="762" spans="1:6" ht="28.5" x14ac:dyDescent="0.4">
      <c r="A762" s="3">
        <v>3142</v>
      </c>
      <c r="B762" s="3" t="str">
        <f t="shared" si="22"/>
        <v>3</v>
      </c>
      <c r="C762" s="4" t="s">
        <v>200</v>
      </c>
      <c r="D762" s="8" t="s">
        <v>1742</v>
      </c>
      <c r="E762" s="4" t="s">
        <v>4</v>
      </c>
      <c r="F762" s="2" t="str">
        <f t="shared" si="23"/>
        <v>Non-routine cognitive</v>
      </c>
    </row>
    <row r="763" spans="1:6" ht="28.5" x14ac:dyDescent="0.4">
      <c r="A763" s="3">
        <v>3142</v>
      </c>
      <c r="B763" s="3" t="str">
        <f t="shared" si="22"/>
        <v>3</v>
      </c>
      <c r="C763" s="4" t="s">
        <v>200</v>
      </c>
      <c r="D763" s="8" t="s">
        <v>1743</v>
      </c>
      <c r="E763" s="4" t="s">
        <v>4</v>
      </c>
      <c r="F763" s="2" t="str">
        <f t="shared" si="23"/>
        <v>Non-routine cognitive</v>
      </c>
    </row>
    <row r="764" spans="1:6" ht="28.5" x14ac:dyDescent="0.4">
      <c r="A764" s="3">
        <v>3142</v>
      </c>
      <c r="B764" s="3" t="str">
        <f t="shared" si="22"/>
        <v>3</v>
      </c>
      <c r="C764" s="4" t="s">
        <v>200</v>
      </c>
      <c r="D764" s="10" t="s">
        <v>1744</v>
      </c>
      <c r="E764" s="4" t="s">
        <v>106</v>
      </c>
      <c r="F764" s="2" t="str">
        <f t="shared" si="23"/>
        <v>Non-routine manual</v>
      </c>
    </row>
    <row r="765" spans="1:6" ht="42.75" x14ac:dyDescent="0.4">
      <c r="A765" s="3">
        <v>3151</v>
      </c>
      <c r="B765" s="3" t="str">
        <f t="shared" si="22"/>
        <v>3</v>
      </c>
      <c r="C765" s="4" t="s">
        <v>201</v>
      </c>
      <c r="D765" s="5" t="s">
        <v>1745</v>
      </c>
      <c r="E765" s="4" t="s">
        <v>106</v>
      </c>
      <c r="F765" s="2" t="str">
        <f t="shared" si="23"/>
        <v>Non-routine manual</v>
      </c>
    </row>
    <row r="766" spans="1:6" ht="42.75" x14ac:dyDescent="0.4">
      <c r="A766" s="3">
        <v>3151</v>
      </c>
      <c r="B766" s="3" t="str">
        <f t="shared" si="22"/>
        <v>3</v>
      </c>
      <c r="C766" s="4" t="s">
        <v>201</v>
      </c>
      <c r="D766" s="5" t="s">
        <v>1746</v>
      </c>
      <c r="E766" s="4" t="s">
        <v>50</v>
      </c>
      <c r="F766" s="2" t="str">
        <f t="shared" si="23"/>
        <v>Routine cognitive</v>
      </c>
    </row>
    <row r="767" spans="1:6" ht="42.75" x14ac:dyDescent="0.4">
      <c r="A767" s="3">
        <v>3151</v>
      </c>
      <c r="B767" s="3" t="str">
        <f t="shared" si="22"/>
        <v>3</v>
      </c>
      <c r="C767" s="4" t="s">
        <v>201</v>
      </c>
      <c r="D767" s="5" t="s">
        <v>1747</v>
      </c>
      <c r="E767" s="4" t="s">
        <v>3</v>
      </c>
      <c r="F767" s="2" t="str">
        <f t="shared" si="23"/>
        <v>Non-routine cognitive</v>
      </c>
    </row>
    <row r="768" spans="1:6" ht="42.75" x14ac:dyDescent="0.4">
      <c r="A768" s="3">
        <v>3151</v>
      </c>
      <c r="B768" s="3" t="str">
        <f t="shared" si="22"/>
        <v>3</v>
      </c>
      <c r="C768" s="4" t="s">
        <v>201</v>
      </c>
      <c r="D768" s="5" t="s">
        <v>1748</v>
      </c>
      <c r="E768" s="4" t="s">
        <v>50</v>
      </c>
      <c r="F768" s="2" t="str">
        <f t="shared" si="23"/>
        <v>Routine cognitive</v>
      </c>
    </row>
    <row r="769" spans="1:6" ht="28.5" x14ac:dyDescent="0.4">
      <c r="A769" s="3">
        <v>3151</v>
      </c>
      <c r="B769" s="3" t="str">
        <f t="shared" si="22"/>
        <v>3</v>
      </c>
      <c r="C769" s="4" t="s">
        <v>201</v>
      </c>
      <c r="D769" s="5" t="s">
        <v>1749</v>
      </c>
      <c r="E769" s="4" t="s">
        <v>50</v>
      </c>
      <c r="F769" s="2" t="str">
        <f t="shared" si="23"/>
        <v>Routine cognitive</v>
      </c>
    </row>
    <row r="770" spans="1:6" ht="28.5" x14ac:dyDescent="0.4">
      <c r="A770" s="3">
        <v>3152</v>
      </c>
      <c r="B770" s="3" t="str">
        <f t="shared" si="22"/>
        <v>3</v>
      </c>
      <c r="C770" s="4" t="s">
        <v>202</v>
      </c>
      <c r="D770" s="5" t="s">
        <v>1750</v>
      </c>
      <c r="E770" s="4" t="s">
        <v>3</v>
      </c>
      <c r="F770" s="2" t="str">
        <f t="shared" si="23"/>
        <v>Non-routine cognitive</v>
      </c>
    </row>
    <row r="771" spans="1:6" ht="28.5" x14ac:dyDescent="0.4">
      <c r="A771" s="3">
        <v>3152</v>
      </c>
      <c r="B771" s="3" t="str">
        <f t="shared" ref="B771:B834" si="24">LEFT(A771,1)</f>
        <v>3</v>
      </c>
      <c r="C771" s="4" t="s">
        <v>202</v>
      </c>
      <c r="D771" s="5" t="s">
        <v>1751</v>
      </c>
      <c r="E771" s="4" t="s">
        <v>50</v>
      </c>
      <c r="F771" s="2" t="str">
        <f t="shared" ref="F771:F834" si="25">IF(E771="Non-routine interpersonal","Non-routine cognitive",IF(E771="Non-routine analytical","Non-routine cognitive",IF(E771="Non-routine manual physical","Non-routine manual",E771)))</f>
        <v>Routine cognitive</v>
      </c>
    </row>
    <row r="772" spans="1:6" ht="28.5" x14ac:dyDescent="0.4">
      <c r="A772" s="3">
        <v>3152</v>
      </c>
      <c r="B772" s="3" t="str">
        <f t="shared" si="24"/>
        <v>3</v>
      </c>
      <c r="C772" s="4" t="s">
        <v>202</v>
      </c>
      <c r="D772" s="4" t="s">
        <v>203</v>
      </c>
      <c r="E772" s="4" t="s">
        <v>106</v>
      </c>
      <c r="F772" s="2" t="str">
        <f t="shared" si="25"/>
        <v>Non-routine manual</v>
      </c>
    </row>
    <row r="773" spans="1:6" ht="28.5" x14ac:dyDescent="0.4">
      <c r="A773" s="3">
        <v>3152</v>
      </c>
      <c r="B773" s="3" t="str">
        <f t="shared" si="24"/>
        <v>3</v>
      </c>
      <c r="C773" s="4" t="s">
        <v>202</v>
      </c>
      <c r="D773" s="5" t="s">
        <v>1752</v>
      </c>
      <c r="E773" s="4" t="s">
        <v>50</v>
      </c>
      <c r="F773" s="2" t="str">
        <f t="shared" si="25"/>
        <v>Routine cognitive</v>
      </c>
    </row>
    <row r="774" spans="1:6" ht="42.75" x14ac:dyDescent="0.4">
      <c r="A774" s="3">
        <v>3152</v>
      </c>
      <c r="B774" s="3" t="str">
        <f t="shared" si="24"/>
        <v>3</v>
      </c>
      <c r="C774" s="4" t="s">
        <v>202</v>
      </c>
      <c r="D774" s="5" t="s">
        <v>1753</v>
      </c>
      <c r="E774" s="4" t="s">
        <v>3</v>
      </c>
      <c r="F774" s="2" t="str">
        <f t="shared" si="25"/>
        <v>Non-routine cognitive</v>
      </c>
    </row>
    <row r="775" spans="1:6" ht="42.75" x14ac:dyDescent="0.4">
      <c r="A775" s="3">
        <v>3152</v>
      </c>
      <c r="B775" s="3" t="str">
        <f t="shared" si="24"/>
        <v>3</v>
      </c>
      <c r="C775" s="4" t="s">
        <v>202</v>
      </c>
      <c r="D775" s="5" t="s">
        <v>1754</v>
      </c>
      <c r="E775" s="4" t="s">
        <v>4</v>
      </c>
      <c r="F775" s="2" t="str">
        <f t="shared" si="25"/>
        <v>Non-routine cognitive</v>
      </c>
    </row>
    <row r="776" spans="1:6" ht="28.5" x14ac:dyDescent="0.4">
      <c r="A776" s="3">
        <v>3152</v>
      </c>
      <c r="B776" s="3" t="str">
        <f t="shared" si="24"/>
        <v>3</v>
      </c>
      <c r="C776" s="4" t="s">
        <v>202</v>
      </c>
      <c r="D776" s="5" t="s">
        <v>1755</v>
      </c>
      <c r="E776" s="4" t="s">
        <v>50</v>
      </c>
      <c r="F776" s="2" t="str">
        <f t="shared" si="25"/>
        <v>Routine cognitive</v>
      </c>
    </row>
    <row r="777" spans="1:6" ht="28.5" x14ac:dyDescent="0.4">
      <c r="A777" s="3">
        <v>3152</v>
      </c>
      <c r="B777" s="3" t="str">
        <f t="shared" si="24"/>
        <v>3</v>
      </c>
      <c r="C777" s="4" t="s">
        <v>202</v>
      </c>
      <c r="D777" s="10" t="s">
        <v>1756</v>
      </c>
      <c r="E777" s="4" t="s">
        <v>50</v>
      </c>
      <c r="F777" s="2" t="str">
        <f t="shared" si="25"/>
        <v>Routine cognitive</v>
      </c>
    </row>
    <row r="778" spans="1:6" ht="42.75" x14ac:dyDescent="0.4">
      <c r="A778" s="3">
        <v>3212</v>
      </c>
      <c r="B778" s="3" t="str">
        <f t="shared" si="24"/>
        <v>3</v>
      </c>
      <c r="C778" s="4" t="s">
        <v>204</v>
      </c>
      <c r="D778" s="5" t="s">
        <v>1757</v>
      </c>
      <c r="E778" s="4" t="s">
        <v>4</v>
      </c>
      <c r="F778" s="2" t="str">
        <f t="shared" si="25"/>
        <v>Non-routine cognitive</v>
      </c>
    </row>
    <row r="779" spans="1:6" ht="42.75" x14ac:dyDescent="0.4">
      <c r="A779" s="3">
        <v>3212</v>
      </c>
      <c r="B779" s="3" t="str">
        <f t="shared" si="24"/>
        <v>3</v>
      </c>
      <c r="C779" s="4" t="s">
        <v>204</v>
      </c>
      <c r="D779" s="5" t="s">
        <v>1758</v>
      </c>
      <c r="E779" s="4" t="s">
        <v>182</v>
      </c>
      <c r="F779" s="2" t="str">
        <f t="shared" si="25"/>
        <v>Routine manual</v>
      </c>
    </row>
    <row r="780" spans="1:6" ht="42.75" x14ac:dyDescent="0.4">
      <c r="A780" s="3">
        <v>3212</v>
      </c>
      <c r="B780" s="3" t="str">
        <f t="shared" si="24"/>
        <v>3</v>
      </c>
      <c r="C780" s="4" t="s">
        <v>204</v>
      </c>
      <c r="D780" s="5" t="s">
        <v>1759</v>
      </c>
      <c r="E780" s="4" t="s">
        <v>50</v>
      </c>
      <c r="F780" s="2" t="str">
        <f t="shared" si="25"/>
        <v>Routine cognitive</v>
      </c>
    </row>
    <row r="781" spans="1:6" ht="28.5" x14ac:dyDescent="0.4">
      <c r="A781" s="3">
        <v>3212</v>
      </c>
      <c r="B781" s="3" t="str">
        <f t="shared" si="24"/>
        <v>3</v>
      </c>
      <c r="C781" s="4" t="s">
        <v>204</v>
      </c>
      <c r="D781" s="4" t="s">
        <v>205</v>
      </c>
      <c r="E781" s="4" t="s">
        <v>4</v>
      </c>
      <c r="F781" s="2" t="str">
        <f t="shared" si="25"/>
        <v>Non-routine cognitive</v>
      </c>
    </row>
    <row r="782" spans="1:6" ht="28.5" x14ac:dyDescent="0.4">
      <c r="A782" s="3">
        <v>3212</v>
      </c>
      <c r="B782" s="3" t="str">
        <f t="shared" si="24"/>
        <v>3</v>
      </c>
      <c r="C782" s="4" t="s">
        <v>204</v>
      </c>
      <c r="D782" s="4" t="s">
        <v>206</v>
      </c>
      <c r="E782" s="4" t="s">
        <v>106</v>
      </c>
      <c r="F782" s="2" t="str">
        <f t="shared" si="25"/>
        <v>Non-routine manual</v>
      </c>
    </row>
    <row r="783" spans="1:6" ht="28.5" x14ac:dyDescent="0.4">
      <c r="A783" s="3">
        <v>3212</v>
      </c>
      <c r="B783" s="3" t="str">
        <f t="shared" si="24"/>
        <v>3</v>
      </c>
      <c r="C783" s="4" t="s">
        <v>204</v>
      </c>
      <c r="D783" s="4" t="s">
        <v>207</v>
      </c>
      <c r="E783" s="4" t="s">
        <v>4</v>
      </c>
      <c r="F783" s="2" t="str">
        <f t="shared" si="25"/>
        <v>Non-routine cognitive</v>
      </c>
    </row>
    <row r="784" spans="1:6" ht="57" x14ac:dyDescent="0.4">
      <c r="A784" s="3">
        <v>3212</v>
      </c>
      <c r="B784" s="3" t="str">
        <f t="shared" si="24"/>
        <v>3</v>
      </c>
      <c r="C784" s="4" t="s">
        <v>204</v>
      </c>
      <c r="D784" s="5" t="s">
        <v>1760</v>
      </c>
      <c r="E784" s="4" t="s">
        <v>4</v>
      </c>
      <c r="F784" s="2" t="str">
        <f t="shared" si="25"/>
        <v>Non-routine cognitive</v>
      </c>
    </row>
    <row r="785" spans="1:6" ht="28.5" x14ac:dyDescent="0.4">
      <c r="A785" s="3">
        <v>3212</v>
      </c>
      <c r="B785" s="3" t="str">
        <f t="shared" si="24"/>
        <v>3</v>
      </c>
      <c r="C785" s="4" t="s">
        <v>204</v>
      </c>
      <c r="D785" s="4" t="s">
        <v>208</v>
      </c>
      <c r="E785" s="4" t="s">
        <v>4</v>
      </c>
      <c r="F785" s="2" t="str">
        <f t="shared" si="25"/>
        <v>Non-routine cognitive</v>
      </c>
    </row>
    <row r="786" spans="1:6" ht="28.5" x14ac:dyDescent="0.4">
      <c r="A786" s="3">
        <v>3212</v>
      </c>
      <c r="B786" s="3" t="str">
        <f t="shared" si="24"/>
        <v>3</v>
      </c>
      <c r="C786" s="4" t="s">
        <v>204</v>
      </c>
      <c r="D786" s="6" t="s">
        <v>209</v>
      </c>
      <c r="E786" s="4" t="s">
        <v>4</v>
      </c>
      <c r="F786" s="2" t="str">
        <f t="shared" si="25"/>
        <v>Non-routine cognitive</v>
      </c>
    </row>
    <row r="787" spans="1:6" ht="28.5" x14ac:dyDescent="0.4">
      <c r="A787" s="3">
        <v>3212</v>
      </c>
      <c r="B787" s="3" t="str">
        <f t="shared" si="24"/>
        <v>3</v>
      </c>
      <c r="C787" s="4" t="s">
        <v>204</v>
      </c>
      <c r="D787" s="4" t="s">
        <v>210</v>
      </c>
      <c r="E787" s="4" t="s">
        <v>4</v>
      </c>
      <c r="F787" s="2" t="str">
        <f t="shared" si="25"/>
        <v>Non-routine cognitive</v>
      </c>
    </row>
    <row r="788" spans="1:6" ht="28.5" x14ac:dyDescent="0.4">
      <c r="A788" s="3">
        <v>3213</v>
      </c>
      <c r="B788" s="3" t="str">
        <f t="shared" si="24"/>
        <v>3</v>
      </c>
      <c r="C788" s="4" t="s">
        <v>211</v>
      </c>
      <c r="D788" s="8" t="s">
        <v>1761</v>
      </c>
      <c r="E788" s="4" t="s">
        <v>50</v>
      </c>
      <c r="F788" s="2" t="str">
        <f t="shared" si="25"/>
        <v>Routine cognitive</v>
      </c>
    </row>
    <row r="789" spans="1:6" ht="42.75" x14ac:dyDescent="0.4">
      <c r="A789" s="3">
        <v>3213</v>
      </c>
      <c r="B789" s="3" t="str">
        <f t="shared" si="24"/>
        <v>3</v>
      </c>
      <c r="C789" s="4" t="s">
        <v>211</v>
      </c>
      <c r="D789" s="8" t="s">
        <v>1762</v>
      </c>
      <c r="E789" s="4" t="s">
        <v>50</v>
      </c>
      <c r="F789" s="2" t="str">
        <f t="shared" si="25"/>
        <v>Routine cognitive</v>
      </c>
    </row>
    <row r="790" spans="1:6" ht="57" x14ac:dyDescent="0.4">
      <c r="A790" s="3">
        <v>3213</v>
      </c>
      <c r="B790" s="3" t="str">
        <f t="shared" si="24"/>
        <v>3</v>
      </c>
      <c r="C790" s="4" t="s">
        <v>211</v>
      </c>
      <c r="D790" s="5" t="s">
        <v>1763</v>
      </c>
      <c r="E790" s="4" t="s">
        <v>50</v>
      </c>
      <c r="F790" s="2" t="str">
        <f t="shared" si="25"/>
        <v>Routine cognitive</v>
      </c>
    </row>
    <row r="791" spans="1:6" ht="28.5" x14ac:dyDescent="0.4">
      <c r="A791" s="3">
        <v>3213</v>
      </c>
      <c r="B791" s="3" t="str">
        <f t="shared" si="24"/>
        <v>3</v>
      </c>
      <c r="C791" s="5" t="s">
        <v>1764</v>
      </c>
      <c r="D791" s="5" t="s">
        <v>1765</v>
      </c>
      <c r="E791" s="4" t="s">
        <v>50</v>
      </c>
      <c r="F791" s="2" t="str">
        <f t="shared" si="25"/>
        <v>Routine cognitive</v>
      </c>
    </row>
    <row r="792" spans="1:6" ht="28.5" x14ac:dyDescent="0.4">
      <c r="A792" s="3">
        <v>3213</v>
      </c>
      <c r="B792" s="3" t="str">
        <f t="shared" si="24"/>
        <v>3</v>
      </c>
      <c r="C792" s="4" t="s">
        <v>211</v>
      </c>
      <c r="D792" s="10" t="s">
        <v>1766</v>
      </c>
      <c r="E792" s="4" t="s">
        <v>50</v>
      </c>
      <c r="F792" s="2" t="str">
        <f t="shared" si="25"/>
        <v>Routine cognitive</v>
      </c>
    </row>
    <row r="793" spans="1:6" ht="42.75" x14ac:dyDescent="0.4">
      <c r="A793" s="3">
        <v>3213</v>
      </c>
      <c r="B793" s="3" t="str">
        <f t="shared" si="24"/>
        <v>3</v>
      </c>
      <c r="C793" s="4" t="s">
        <v>211</v>
      </c>
      <c r="D793" s="8" t="s">
        <v>1767</v>
      </c>
      <c r="E793" s="4" t="s">
        <v>50</v>
      </c>
      <c r="F793" s="2" t="str">
        <f t="shared" si="25"/>
        <v>Routine cognitive</v>
      </c>
    </row>
    <row r="794" spans="1:6" ht="42.75" x14ac:dyDescent="0.4">
      <c r="A794" s="3">
        <v>3213</v>
      </c>
      <c r="B794" s="3" t="str">
        <f t="shared" si="24"/>
        <v>3</v>
      </c>
      <c r="C794" s="4" t="s">
        <v>211</v>
      </c>
      <c r="D794" s="8" t="s">
        <v>1768</v>
      </c>
      <c r="E794" s="4" t="s">
        <v>50</v>
      </c>
      <c r="F794" s="2" t="str">
        <f t="shared" si="25"/>
        <v>Routine cognitive</v>
      </c>
    </row>
    <row r="795" spans="1:6" ht="42.75" x14ac:dyDescent="0.4">
      <c r="A795" s="3">
        <v>3213</v>
      </c>
      <c r="B795" s="3" t="str">
        <f t="shared" si="24"/>
        <v>3</v>
      </c>
      <c r="C795" s="4" t="s">
        <v>211</v>
      </c>
      <c r="D795" s="5" t="s">
        <v>1769</v>
      </c>
      <c r="E795" s="4" t="s">
        <v>50</v>
      </c>
      <c r="F795" s="2" t="str">
        <f t="shared" si="25"/>
        <v>Routine cognitive</v>
      </c>
    </row>
    <row r="796" spans="1:6" ht="42.75" x14ac:dyDescent="0.4">
      <c r="A796" s="3">
        <v>3213</v>
      </c>
      <c r="B796" s="3" t="str">
        <f t="shared" si="24"/>
        <v>3</v>
      </c>
      <c r="C796" s="4" t="s">
        <v>211</v>
      </c>
      <c r="D796" s="5" t="s">
        <v>1770</v>
      </c>
      <c r="E796" s="4" t="s">
        <v>106</v>
      </c>
      <c r="F796" s="2" t="str">
        <f t="shared" si="25"/>
        <v>Non-routine manual</v>
      </c>
    </row>
    <row r="797" spans="1:6" ht="42.75" x14ac:dyDescent="0.4">
      <c r="A797" s="3">
        <v>3214</v>
      </c>
      <c r="B797" s="3" t="str">
        <f t="shared" si="24"/>
        <v>3</v>
      </c>
      <c r="C797" s="4" t="s">
        <v>212</v>
      </c>
      <c r="D797" s="5" t="s">
        <v>1771</v>
      </c>
      <c r="E797" s="4" t="s">
        <v>50</v>
      </c>
      <c r="F797" s="2" t="str">
        <f t="shared" si="25"/>
        <v>Routine cognitive</v>
      </c>
    </row>
    <row r="798" spans="1:6" ht="42.75" x14ac:dyDescent="0.4">
      <c r="A798" s="3">
        <v>3214</v>
      </c>
      <c r="B798" s="3" t="str">
        <f t="shared" si="24"/>
        <v>3</v>
      </c>
      <c r="C798" s="4" t="s">
        <v>212</v>
      </c>
      <c r="D798" s="5" t="s">
        <v>1772</v>
      </c>
      <c r="E798" s="4" t="s">
        <v>3</v>
      </c>
      <c r="F798" s="2" t="str">
        <f t="shared" si="25"/>
        <v>Non-routine cognitive</v>
      </c>
    </row>
    <row r="799" spans="1:6" ht="28.5" x14ac:dyDescent="0.4">
      <c r="A799" s="3">
        <v>3214</v>
      </c>
      <c r="B799" s="3" t="str">
        <f t="shared" si="24"/>
        <v>3</v>
      </c>
      <c r="C799" s="4" t="s">
        <v>212</v>
      </c>
      <c r="D799" s="4" t="s">
        <v>213</v>
      </c>
      <c r="E799" s="4" t="s">
        <v>4</v>
      </c>
      <c r="F799" s="2" t="str">
        <f t="shared" si="25"/>
        <v>Non-routine cognitive</v>
      </c>
    </row>
    <row r="800" spans="1:6" ht="42.75" x14ac:dyDescent="0.4">
      <c r="A800" s="3">
        <v>3214</v>
      </c>
      <c r="B800" s="3" t="str">
        <f t="shared" si="24"/>
        <v>3</v>
      </c>
      <c r="C800" s="4" t="s">
        <v>212</v>
      </c>
      <c r="D800" s="5" t="s">
        <v>1773</v>
      </c>
      <c r="E800" s="4" t="s">
        <v>50</v>
      </c>
      <c r="F800" s="2" t="str">
        <f t="shared" si="25"/>
        <v>Routine cognitive</v>
      </c>
    </row>
    <row r="801" spans="1:6" ht="42.75" x14ac:dyDescent="0.4">
      <c r="A801" s="3">
        <v>3214</v>
      </c>
      <c r="B801" s="3" t="str">
        <f t="shared" si="24"/>
        <v>3</v>
      </c>
      <c r="C801" s="4" t="s">
        <v>212</v>
      </c>
      <c r="D801" s="5" t="s">
        <v>1774</v>
      </c>
      <c r="E801" s="4" t="s">
        <v>4</v>
      </c>
      <c r="F801" s="2" t="str">
        <f t="shared" si="25"/>
        <v>Non-routine cognitive</v>
      </c>
    </row>
    <row r="802" spans="1:6" ht="42.75" x14ac:dyDescent="0.4">
      <c r="A802" s="3">
        <v>3214</v>
      </c>
      <c r="B802" s="3" t="str">
        <f t="shared" si="24"/>
        <v>3</v>
      </c>
      <c r="C802" s="4" t="s">
        <v>212</v>
      </c>
      <c r="D802" s="5" t="s">
        <v>1775</v>
      </c>
      <c r="E802" s="4" t="s">
        <v>50</v>
      </c>
      <c r="F802" s="2" t="str">
        <f t="shared" si="25"/>
        <v>Routine cognitive</v>
      </c>
    </row>
    <row r="803" spans="1:6" ht="28.5" x14ac:dyDescent="0.4">
      <c r="A803" s="3">
        <v>3214</v>
      </c>
      <c r="B803" s="3" t="str">
        <f t="shared" si="24"/>
        <v>3</v>
      </c>
      <c r="C803" s="4" t="s">
        <v>212</v>
      </c>
      <c r="D803" s="5" t="s">
        <v>1776</v>
      </c>
      <c r="E803" s="4" t="s">
        <v>106</v>
      </c>
      <c r="F803" s="2" t="str">
        <f t="shared" si="25"/>
        <v>Non-routine manual</v>
      </c>
    </row>
    <row r="804" spans="1:6" ht="42.75" x14ac:dyDescent="0.4">
      <c r="A804" s="3">
        <v>3214</v>
      </c>
      <c r="B804" s="3" t="str">
        <f t="shared" si="24"/>
        <v>3</v>
      </c>
      <c r="C804" s="4" t="s">
        <v>212</v>
      </c>
      <c r="D804" s="5" t="s">
        <v>1777</v>
      </c>
      <c r="E804" s="4" t="s">
        <v>106</v>
      </c>
      <c r="F804" s="2" t="str">
        <f t="shared" si="25"/>
        <v>Non-routine manual</v>
      </c>
    </row>
    <row r="805" spans="1:6" ht="42.75" x14ac:dyDescent="0.4">
      <c r="A805" s="3">
        <v>3214</v>
      </c>
      <c r="B805" s="3" t="str">
        <f t="shared" si="24"/>
        <v>3</v>
      </c>
      <c r="C805" s="4" t="s">
        <v>212</v>
      </c>
      <c r="D805" s="5" t="s">
        <v>1778</v>
      </c>
      <c r="E805" s="4" t="s">
        <v>106</v>
      </c>
      <c r="F805" s="2" t="str">
        <f t="shared" si="25"/>
        <v>Non-routine manual</v>
      </c>
    </row>
    <row r="806" spans="1:6" ht="28.5" x14ac:dyDescent="0.4">
      <c r="A806" s="3">
        <v>3214</v>
      </c>
      <c r="B806" s="3" t="str">
        <f t="shared" si="24"/>
        <v>3</v>
      </c>
      <c r="C806" s="4" t="s">
        <v>212</v>
      </c>
      <c r="D806" s="4" t="s">
        <v>214</v>
      </c>
      <c r="E806" s="4" t="s">
        <v>3</v>
      </c>
      <c r="F806" s="2" t="str">
        <f t="shared" si="25"/>
        <v>Non-routine cognitive</v>
      </c>
    </row>
    <row r="807" spans="1:6" ht="42.75" x14ac:dyDescent="0.4">
      <c r="A807" s="3">
        <v>3240</v>
      </c>
      <c r="B807" s="3" t="str">
        <f t="shared" si="24"/>
        <v>3</v>
      </c>
      <c r="C807" s="4" t="s">
        <v>215</v>
      </c>
      <c r="D807" s="5" t="s">
        <v>1779</v>
      </c>
      <c r="E807" s="4" t="s">
        <v>4</v>
      </c>
      <c r="F807" s="2" t="str">
        <f t="shared" si="25"/>
        <v>Non-routine cognitive</v>
      </c>
    </row>
    <row r="808" spans="1:6" ht="42.75" x14ac:dyDescent="0.4">
      <c r="A808" s="3">
        <v>3240</v>
      </c>
      <c r="B808" s="3" t="str">
        <f t="shared" si="24"/>
        <v>3</v>
      </c>
      <c r="C808" s="4" t="s">
        <v>215</v>
      </c>
      <c r="D808" s="5" t="s">
        <v>1780</v>
      </c>
      <c r="E808" s="4" t="s">
        <v>4</v>
      </c>
      <c r="F808" s="2" t="str">
        <f t="shared" si="25"/>
        <v>Non-routine cognitive</v>
      </c>
    </row>
    <row r="809" spans="1:6" ht="28.5" x14ac:dyDescent="0.4">
      <c r="A809" s="3">
        <v>3240</v>
      </c>
      <c r="B809" s="3" t="str">
        <f t="shared" si="24"/>
        <v>3</v>
      </c>
      <c r="C809" s="5" t="s">
        <v>1781</v>
      </c>
      <c r="D809" s="5" t="s">
        <v>1782</v>
      </c>
      <c r="E809" s="4" t="s">
        <v>106</v>
      </c>
      <c r="F809" s="2" t="str">
        <f t="shared" si="25"/>
        <v>Non-routine manual</v>
      </c>
    </row>
    <row r="810" spans="1:6" ht="42.75" x14ac:dyDescent="0.4">
      <c r="A810" s="3">
        <v>3240</v>
      </c>
      <c r="B810" s="3" t="str">
        <f t="shared" si="24"/>
        <v>3</v>
      </c>
      <c r="C810" s="4" t="s">
        <v>215</v>
      </c>
      <c r="D810" s="5" t="s">
        <v>1783</v>
      </c>
      <c r="E810" s="4" t="s">
        <v>106</v>
      </c>
      <c r="F810" s="2" t="str">
        <f t="shared" si="25"/>
        <v>Non-routine manual</v>
      </c>
    </row>
    <row r="811" spans="1:6" ht="28.5" x14ac:dyDescent="0.4">
      <c r="A811" s="3">
        <v>3240</v>
      </c>
      <c r="B811" s="3" t="str">
        <f t="shared" si="24"/>
        <v>3</v>
      </c>
      <c r="C811" s="4" t="s">
        <v>215</v>
      </c>
      <c r="D811" s="7" t="s">
        <v>216</v>
      </c>
      <c r="E811" s="4" t="s">
        <v>106</v>
      </c>
      <c r="F811" s="2" t="str">
        <f t="shared" si="25"/>
        <v>Non-routine manual</v>
      </c>
    </row>
    <row r="812" spans="1:6" ht="42.75" x14ac:dyDescent="0.4">
      <c r="A812" s="3">
        <v>3240</v>
      </c>
      <c r="B812" s="3" t="str">
        <f t="shared" si="24"/>
        <v>3</v>
      </c>
      <c r="C812" s="4" t="s">
        <v>215</v>
      </c>
      <c r="D812" s="5" t="s">
        <v>1784</v>
      </c>
      <c r="E812" s="4" t="s">
        <v>106</v>
      </c>
      <c r="F812" s="2" t="str">
        <f t="shared" si="25"/>
        <v>Non-routine manual</v>
      </c>
    </row>
    <row r="813" spans="1:6" ht="28.5" x14ac:dyDescent="0.4">
      <c r="A813" s="3">
        <v>3240</v>
      </c>
      <c r="B813" s="3" t="str">
        <f t="shared" si="24"/>
        <v>3</v>
      </c>
      <c r="C813" s="5" t="s">
        <v>1781</v>
      </c>
      <c r="D813" s="10" t="s">
        <v>1785</v>
      </c>
      <c r="E813" s="4" t="s">
        <v>106</v>
      </c>
      <c r="F813" s="2" t="str">
        <f t="shared" si="25"/>
        <v>Non-routine manual</v>
      </c>
    </row>
    <row r="814" spans="1:6" ht="28.5" x14ac:dyDescent="0.4">
      <c r="A814" s="3">
        <v>3240</v>
      </c>
      <c r="B814" s="3" t="str">
        <f t="shared" si="24"/>
        <v>3</v>
      </c>
      <c r="C814" s="5" t="s">
        <v>1781</v>
      </c>
      <c r="D814" s="8" t="s">
        <v>1786</v>
      </c>
      <c r="E814" s="4" t="s">
        <v>106</v>
      </c>
      <c r="F814" s="2" t="str">
        <f t="shared" si="25"/>
        <v>Non-routine manual</v>
      </c>
    </row>
    <row r="815" spans="1:6" ht="28.5" x14ac:dyDescent="0.4">
      <c r="A815" s="3">
        <v>3240</v>
      </c>
      <c r="B815" s="3" t="str">
        <f t="shared" si="24"/>
        <v>3</v>
      </c>
      <c r="C815" s="4" t="s">
        <v>215</v>
      </c>
      <c r="D815" s="5" t="s">
        <v>1787</v>
      </c>
      <c r="E815" s="4" t="s">
        <v>106</v>
      </c>
      <c r="F815" s="2" t="str">
        <f t="shared" si="25"/>
        <v>Non-routine manual</v>
      </c>
    </row>
    <row r="816" spans="1:6" ht="28.5" x14ac:dyDescent="0.4">
      <c r="A816" s="3">
        <v>3240</v>
      </c>
      <c r="B816" s="3" t="str">
        <f t="shared" si="24"/>
        <v>3</v>
      </c>
      <c r="C816" s="4" t="s">
        <v>215</v>
      </c>
      <c r="D816" s="5" t="s">
        <v>1788</v>
      </c>
      <c r="E816" s="4" t="s">
        <v>50</v>
      </c>
      <c r="F816" s="2" t="str">
        <f t="shared" si="25"/>
        <v>Routine cognitive</v>
      </c>
    </row>
    <row r="817" spans="1:6" ht="42.75" x14ac:dyDescent="0.4">
      <c r="A817" s="3">
        <v>3251</v>
      </c>
      <c r="B817" s="3" t="str">
        <f t="shared" si="24"/>
        <v>3</v>
      </c>
      <c r="C817" s="4" t="s">
        <v>217</v>
      </c>
      <c r="D817" s="5" t="s">
        <v>1789</v>
      </c>
      <c r="E817" s="4" t="s">
        <v>4</v>
      </c>
      <c r="F817" s="2" t="str">
        <f t="shared" si="25"/>
        <v>Non-routine cognitive</v>
      </c>
    </row>
    <row r="818" spans="1:6" ht="42.75" x14ac:dyDescent="0.4">
      <c r="A818" s="3">
        <v>3251</v>
      </c>
      <c r="B818" s="3" t="str">
        <f t="shared" si="24"/>
        <v>3</v>
      </c>
      <c r="C818" s="4" t="s">
        <v>217</v>
      </c>
      <c r="D818" s="5" t="s">
        <v>1790</v>
      </c>
      <c r="E818" s="4" t="s">
        <v>106</v>
      </c>
      <c r="F818" s="2" t="str">
        <f t="shared" si="25"/>
        <v>Non-routine manual</v>
      </c>
    </row>
    <row r="819" spans="1:6" ht="42.75" x14ac:dyDescent="0.4">
      <c r="A819" s="3">
        <v>3251</v>
      </c>
      <c r="B819" s="3" t="str">
        <f t="shared" si="24"/>
        <v>3</v>
      </c>
      <c r="C819" s="4" t="s">
        <v>217</v>
      </c>
      <c r="D819" s="5" t="s">
        <v>1791</v>
      </c>
      <c r="E819" s="4" t="s">
        <v>4</v>
      </c>
      <c r="F819" s="2" t="str">
        <f t="shared" si="25"/>
        <v>Non-routine cognitive</v>
      </c>
    </row>
    <row r="820" spans="1:6" ht="28.5" x14ac:dyDescent="0.4">
      <c r="A820" s="3">
        <v>3251</v>
      </c>
      <c r="B820" s="3" t="str">
        <f t="shared" si="24"/>
        <v>3</v>
      </c>
      <c r="C820" s="4" t="s">
        <v>217</v>
      </c>
      <c r="D820" s="7" t="s">
        <v>218</v>
      </c>
      <c r="E820" s="4" t="s">
        <v>106</v>
      </c>
      <c r="F820" s="2" t="str">
        <f t="shared" si="25"/>
        <v>Non-routine manual</v>
      </c>
    </row>
    <row r="821" spans="1:6" ht="57" x14ac:dyDescent="0.4">
      <c r="A821" s="3">
        <v>3251</v>
      </c>
      <c r="B821" s="3" t="str">
        <f t="shared" si="24"/>
        <v>3</v>
      </c>
      <c r="C821" s="4" t="s">
        <v>217</v>
      </c>
      <c r="D821" s="5" t="s">
        <v>1792</v>
      </c>
      <c r="E821" s="4" t="s">
        <v>106</v>
      </c>
      <c r="F821" s="2" t="str">
        <f t="shared" si="25"/>
        <v>Non-routine manual</v>
      </c>
    </row>
    <row r="822" spans="1:6" ht="42.75" x14ac:dyDescent="0.4">
      <c r="A822" s="3">
        <v>3251</v>
      </c>
      <c r="B822" s="3" t="str">
        <f t="shared" si="24"/>
        <v>3</v>
      </c>
      <c r="C822" s="4" t="s">
        <v>217</v>
      </c>
      <c r="D822" s="5" t="s">
        <v>1793</v>
      </c>
      <c r="E822" s="4" t="s">
        <v>106</v>
      </c>
      <c r="F822" s="2" t="str">
        <f t="shared" si="25"/>
        <v>Non-routine manual</v>
      </c>
    </row>
    <row r="823" spans="1:6" ht="42.75" x14ac:dyDescent="0.4">
      <c r="A823" s="3">
        <v>3251</v>
      </c>
      <c r="B823" s="3" t="str">
        <f t="shared" si="24"/>
        <v>3</v>
      </c>
      <c r="C823" s="4" t="s">
        <v>217</v>
      </c>
      <c r="D823" s="5" t="s">
        <v>1794</v>
      </c>
      <c r="E823" s="4" t="s">
        <v>106</v>
      </c>
      <c r="F823" s="2" t="str">
        <f t="shared" si="25"/>
        <v>Non-routine manual</v>
      </c>
    </row>
    <row r="824" spans="1:6" ht="28.5" x14ac:dyDescent="0.4">
      <c r="A824" s="3">
        <v>3251</v>
      </c>
      <c r="B824" s="3" t="str">
        <f t="shared" si="24"/>
        <v>3</v>
      </c>
      <c r="C824" s="4" t="s">
        <v>217</v>
      </c>
      <c r="D824" s="4" t="s">
        <v>219</v>
      </c>
      <c r="E824" s="4" t="s">
        <v>4</v>
      </c>
      <c r="F824" s="2" t="str">
        <f t="shared" si="25"/>
        <v>Non-routine cognitive</v>
      </c>
    </row>
    <row r="825" spans="1:6" ht="42.75" x14ac:dyDescent="0.4">
      <c r="A825" s="3">
        <v>3252</v>
      </c>
      <c r="B825" s="3" t="str">
        <f t="shared" si="24"/>
        <v>3</v>
      </c>
      <c r="C825" s="4" t="s">
        <v>220</v>
      </c>
      <c r="D825" s="5" t="s">
        <v>1795</v>
      </c>
      <c r="E825" s="4" t="s">
        <v>50</v>
      </c>
      <c r="F825" s="2" t="str">
        <f t="shared" si="25"/>
        <v>Routine cognitive</v>
      </c>
    </row>
    <row r="826" spans="1:6" ht="71.25" x14ac:dyDescent="0.4">
      <c r="A826" s="3">
        <v>3252</v>
      </c>
      <c r="B826" s="3" t="str">
        <f t="shared" si="24"/>
        <v>3</v>
      </c>
      <c r="C826" s="4" t="s">
        <v>220</v>
      </c>
      <c r="D826" s="5" t="s">
        <v>1796</v>
      </c>
      <c r="E826" s="4" t="s">
        <v>50</v>
      </c>
      <c r="F826" s="2" t="str">
        <f t="shared" si="25"/>
        <v>Routine cognitive</v>
      </c>
    </row>
    <row r="827" spans="1:6" ht="28.5" x14ac:dyDescent="0.4">
      <c r="A827" s="3">
        <v>3252</v>
      </c>
      <c r="B827" s="3" t="str">
        <f t="shared" si="24"/>
        <v>3</v>
      </c>
      <c r="C827" s="4" t="s">
        <v>220</v>
      </c>
      <c r="D827" s="4" t="s">
        <v>221</v>
      </c>
      <c r="E827" s="4" t="s">
        <v>50</v>
      </c>
      <c r="F827" s="2" t="str">
        <f t="shared" si="25"/>
        <v>Routine cognitive</v>
      </c>
    </row>
    <row r="828" spans="1:6" ht="57" x14ac:dyDescent="0.4">
      <c r="A828" s="3">
        <v>3252</v>
      </c>
      <c r="B828" s="3" t="str">
        <f t="shared" si="24"/>
        <v>3</v>
      </c>
      <c r="C828" s="4" t="s">
        <v>220</v>
      </c>
      <c r="D828" s="5" t="s">
        <v>1797</v>
      </c>
      <c r="E828" s="4" t="s">
        <v>50</v>
      </c>
      <c r="F828" s="2" t="str">
        <f t="shared" si="25"/>
        <v>Routine cognitive</v>
      </c>
    </row>
    <row r="829" spans="1:6" ht="42.75" x14ac:dyDescent="0.4">
      <c r="A829" s="3">
        <v>3252</v>
      </c>
      <c r="B829" s="3" t="str">
        <f t="shared" si="24"/>
        <v>3</v>
      </c>
      <c r="C829" s="4" t="s">
        <v>220</v>
      </c>
      <c r="D829" s="5" t="s">
        <v>1798</v>
      </c>
      <c r="E829" s="4" t="s">
        <v>50</v>
      </c>
      <c r="F829" s="2" t="str">
        <f t="shared" si="25"/>
        <v>Routine cognitive</v>
      </c>
    </row>
    <row r="830" spans="1:6" ht="28.5" x14ac:dyDescent="0.4">
      <c r="A830" s="3">
        <v>3252</v>
      </c>
      <c r="B830" s="3" t="str">
        <f t="shared" si="24"/>
        <v>3</v>
      </c>
      <c r="C830" s="4" t="s">
        <v>220</v>
      </c>
      <c r="D830" s="4" t="s">
        <v>222</v>
      </c>
      <c r="E830" s="4" t="s">
        <v>3</v>
      </c>
      <c r="F830" s="2" t="str">
        <f t="shared" si="25"/>
        <v>Non-routine cognitive</v>
      </c>
    </row>
    <row r="831" spans="1:6" ht="71.25" x14ac:dyDescent="0.4">
      <c r="A831" s="3">
        <v>3253</v>
      </c>
      <c r="B831" s="3" t="str">
        <f t="shared" si="24"/>
        <v>3</v>
      </c>
      <c r="C831" s="4" t="s">
        <v>223</v>
      </c>
      <c r="D831" s="5" t="s">
        <v>1799</v>
      </c>
      <c r="E831" s="4" t="s">
        <v>3</v>
      </c>
      <c r="F831" s="2" t="str">
        <f t="shared" si="25"/>
        <v>Non-routine cognitive</v>
      </c>
    </row>
    <row r="832" spans="1:6" ht="42.75" x14ac:dyDescent="0.4">
      <c r="A832" s="3">
        <v>3253</v>
      </c>
      <c r="B832" s="3" t="str">
        <f t="shared" si="24"/>
        <v>3</v>
      </c>
      <c r="C832" s="4" t="s">
        <v>223</v>
      </c>
      <c r="D832" s="5" t="s">
        <v>1800</v>
      </c>
      <c r="E832" s="4" t="s">
        <v>3</v>
      </c>
      <c r="F832" s="2" t="str">
        <f t="shared" si="25"/>
        <v>Non-routine cognitive</v>
      </c>
    </row>
    <row r="833" spans="1:6" ht="57" x14ac:dyDescent="0.4">
      <c r="A833" s="3">
        <v>3253</v>
      </c>
      <c r="B833" s="3" t="str">
        <f t="shared" si="24"/>
        <v>3</v>
      </c>
      <c r="C833" s="4" t="s">
        <v>223</v>
      </c>
      <c r="D833" s="5" t="s">
        <v>1801</v>
      </c>
      <c r="E833" s="4" t="s">
        <v>3</v>
      </c>
      <c r="F833" s="2" t="str">
        <f t="shared" si="25"/>
        <v>Non-routine cognitive</v>
      </c>
    </row>
    <row r="834" spans="1:6" ht="71.25" x14ac:dyDescent="0.4">
      <c r="A834" s="3">
        <v>3253</v>
      </c>
      <c r="B834" s="3" t="str">
        <f t="shared" si="24"/>
        <v>3</v>
      </c>
      <c r="C834" s="4" t="s">
        <v>223</v>
      </c>
      <c r="D834" s="5" t="s">
        <v>1802</v>
      </c>
      <c r="E834" s="4" t="s">
        <v>3</v>
      </c>
      <c r="F834" s="2" t="str">
        <f t="shared" si="25"/>
        <v>Non-routine cognitive</v>
      </c>
    </row>
    <row r="835" spans="1:6" ht="42.75" x14ac:dyDescent="0.4">
      <c r="A835" s="3">
        <v>3253</v>
      </c>
      <c r="B835" s="3" t="str">
        <f t="shared" ref="B835:B898" si="26">LEFT(A835,1)</f>
        <v>3</v>
      </c>
      <c r="C835" s="4" t="s">
        <v>223</v>
      </c>
      <c r="D835" s="5" t="s">
        <v>1803</v>
      </c>
      <c r="E835" s="4" t="s">
        <v>4</v>
      </c>
      <c r="F835" s="2" t="str">
        <f t="shared" ref="F835:F898" si="27">IF(E835="Non-routine interpersonal","Non-routine cognitive",IF(E835="Non-routine analytical","Non-routine cognitive",IF(E835="Non-routine manual physical","Non-routine manual",E835)))</f>
        <v>Non-routine cognitive</v>
      </c>
    </row>
    <row r="836" spans="1:6" ht="42.75" x14ac:dyDescent="0.4">
      <c r="A836" s="3">
        <v>3254</v>
      </c>
      <c r="B836" s="3" t="str">
        <f t="shared" si="26"/>
        <v>3</v>
      </c>
      <c r="C836" s="4" t="s">
        <v>224</v>
      </c>
      <c r="D836" s="5" t="s">
        <v>1804</v>
      </c>
      <c r="E836" s="4" t="s">
        <v>4</v>
      </c>
      <c r="F836" s="2" t="str">
        <f t="shared" si="27"/>
        <v>Non-routine cognitive</v>
      </c>
    </row>
    <row r="837" spans="1:6" ht="42.75" x14ac:dyDescent="0.4">
      <c r="A837" s="3">
        <v>3254</v>
      </c>
      <c r="B837" s="3" t="str">
        <f t="shared" si="26"/>
        <v>3</v>
      </c>
      <c r="C837" s="4" t="s">
        <v>224</v>
      </c>
      <c r="D837" s="5" t="s">
        <v>1805</v>
      </c>
      <c r="E837" s="4" t="s">
        <v>3</v>
      </c>
      <c r="F837" s="2" t="str">
        <f t="shared" si="27"/>
        <v>Non-routine cognitive</v>
      </c>
    </row>
    <row r="838" spans="1:6" ht="57" x14ac:dyDescent="0.4">
      <c r="A838" s="3">
        <v>3254</v>
      </c>
      <c r="B838" s="3" t="str">
        <f t="shared" si="26"/>
        <v>3</v>
      </c>
      <c r="C838" s="4" t="s">
        <v>224</v>
      </c>
      <c r="D838" s="5" t="s">
        <v>1806</v>
      </c>
      <c r="E838" s="4" t="s">
        <v>4</v>
      </c>
      <c r="F838" s="2" t="str">
        <f t="shared" si="27"/>
        <v>Non-routine cognitive</v>
      </c>
    </row>
    <row r="839" spans="1:6" ht="42.75" x14ac:dyDescent="0.4">
      <c r="A839" s="3">
        <v>3254</v>
      </c>
      <c r="B839" s="3" t="str">
        <f t="shared" si="26"/>
        <v>3</v>
      </c>
      <c r="C839" s="4" t="s">
        <v>224</v>
      </c>
      <c r="D839" s="5" t="s">
        <v>1807</v>
      </c>
      <c r="E839" s="4" t="s">
        <v>50</v>
      </c>
      <c r="F839" s="2" t="str">
        <f t="shared" si="27"/>
        <v>Routine cognitive</v>
      </c>
    </row>
    <row r="840" spans="1:6" ht="28.5" x14ac:dyDescent="0.4">
      <c r="A840" s="3">
        <v>3255</v>
      </c>
      <c r="B840" s="3" t="str">
        <f t="shared" si="26"/>
        <v>3</v>
      </c>
      <c r="C840" s="4" t="s">
        <v>225</v>
      </c>
      <c r="D840" s="5" t="s">
        <v>1808</v>
      </c>
      <c r="E840" s="4" t="s">
        <v>50</v>
      </c>
      <c r="F840" s="2" t="str">
        <f t="shared" si="27"/>
        <v>Routine cognitive</v>
      </c>
    </row>
    <row r="841" spans="1:6" ht="28.5" x14ac:dyDescent="0.4">
      <c r="A841" s="3">
        <v>3255</v>
      </c>
      <c r="B841" s="3" t="str">
        <f t="shared" si="26"/>
        <v>3</v>
      </c>
      <c r="C841" s="4" t="s">
        <v>225</v>
      </c>
      <c r="D841" s="5" t="s">
        <v>1809</v>
      </c>
      <c r="E841" s="4" t="s">
        <v>50</v>
      </c>
      <c r="F841" s="2" t="str">
        <f t="shared" si="27"/>
        <v>Routine cognitive</v>
      </c>
    </row>
    <row r="842" spans="1:6" ht="42.75" x14ac:dyDescent="0.4">
      <c r="A842" s="3">
        <v>3255</v>
      </c>
      <c r="B842" s="3" t="str">
        <f t="shared" si="26"/>
        <v>3</v>
      </c>
      <c r="C842" s="4" t="s">
        <v>225</v>
      </c>
      <c r="D842" s="5" t="s">
        <v>1810</v>
      </c>
      <c r="E842" s="4" t="s">
        <v>3</v>
      </c>
      <c r="F842" s="2" t="str">
        <f t="shared" si="27"/>
        <v>Non-routine cognitive</v>
      </c>
    </row>
    <row r="843" spans="1:6" ht="42.75" x14ac:dyDescent="0.4">
      <c r="A843" s="3">
        <v>3255</v>
      </c>
      <c r="B843" s="3" t="str">
        <f t="shared" si="26"/>
        <v>3</v>
      </c>
      <c r="C843" s="4" t="s">
        <v>225</v>
      </c>
      <c r="D843" s="5" t="s">
        <v>1811</v>
      </c>
      <c r="E843" s="4" t="s">
        <v>4</v>
      </c>
      <c r="F843" s="2" t="str">
        <f t="shared" si="27"/>
        <v>Non-routine cognitive</v>
      </c>
    </row>
    <row r="844" spans="1:6" ht="28.5" x14ac:dyDescent="0.4">
      <c r="A844" s="3">
        <v>3255</v>
      </c>
      <c r="B844" s="3" t="str">
        <f t="shared" si="26"/>
        <v>3</v>
      </c>
      <c r="C844" s="4" t="s">
        <v>225</v>
      </c>
      <c r="D844" s="5" t="s">
        <v>1812</v>
      </c>
      <c r="E844" s="4" t="s">
        <v>4</v>
      </c>
      <c r="F844" s="2" t="str">
        <f t="shared" si="27"/>
        <v>Non-routine cognitive</v>
      </c>
    </row>
    <row r="845" spans="1:6" ht="42.75" x14ac:dyDescent="0.4">
      <c r="A845" s="3">
        <v>3255</v>
      </c>
      <c r="B845" s="3" t="str">
        <f t="shared" si="26"/>
        <v>3</v>
      </c>
      <c r="C845" s="4" t="s">
        <v>225</v>
      </c>
      <c r="D845" s="5" t="s">
        <v>1813</v>
      </c>
      <c r="E845" s="4" t="s">
        <v>106</v>
      </c>
      <c r="F845" s="2" t="str">
        <f t="shared" si="27"/>
        <v>Non-routine manual</v>
      </c>
    </row>
    <row r="846" spans="1:6" ht="57" x14ac:dyDescent="0.4">
      <c r="A846" s="3">
        <v>3257</v>
      </c>
      <c r="B846" s="3" t="str">
        <f t="shared" si="26"/>
        <v>3</v>
      </c>
      <c r="C846" s="4" t="s">
        <v>226</v>
      </c>
      <c r="D846" s="5" t="s">
        <v>1814</v>
      </c>
      <c r="E846" s="4" t="s">
        <v>4</v>
      </c>
      <c r="F846" s="2" t="str">
        <f t="shared" si="27"/>
        <v>Non-routine cognitive</v>
      </c>
    </row>
    <row r="847" spans="1:6" ht="71.25" x14ac:dyDescent="0.4">
      <c r="A847" s="3">
        <v>3257</v>
      </c>
      <c r="B847" s="3" t="str">
        <f t="shared" si="26"/>
        <v>3</v>
      </c>
      <c r="C847" s="4" t="s">
        <v>226</v>
      </c>
      <c r="D847" s="5" t="s">
        <v>1815</v>
      </c>
      <c r="E847" s="4" t="s">
        <v>50</v>
      </c>
      <c r="F847" s="2" t="str">
        <f t="shared" si="27"/>
        <v>Routine cognitive</v>
      </c>
    </row>
    <row r="848" spans="1:6" ht="28.5" x14ac:dyDescent="0.4">
      <c r="A848" s="3">
        <v>3257</v>
      </c>
      <c r="B848" s="3" t="str">
        <f t="shared" si="26"/>
        <v>3</v>
      </c>
      <c r="C848" s="4" t="s">
        <v>226</v>
      </c>
      <c r="D848" s="7" t="s">
        <v>227</v>
      </c>
      <c r="E848" s="4" t="s">
        <v>3</v>
      </c>
      <c r="F848" s="2" t="str">
        <f t="shared" si="27"/>
        <v>Non-routine cognitive</v>
      </c>
    </row>
    <row r="849" spans="1:6" ht="57" x14ac:dyDescent="0.4">
      <c r="A849" s="3">
        <v>3257</v>
      </c>
      <c r="B849" s="3" t="str">
        <f t="shared" si="26"/>
        <v>3</v>
      </c>
      <c r="C849" s="4" t="s">
        <v>226</v>
      </c>
      <c r="D849" s="5" t="s">
        <v>1816</v>
      </c>
      <c r="E849" s="4" t="s">
        <v>50</v>
      </c>
      <c r="F849" s="2" t="str">
        <f t="shared" si="27"/>
        <v>Routine cognitive</v>
      </c>
    </row>
    <row r="850" spans="1:6" ht="57" x14ac:dyDescent="0.4">
      <c r="A850" s="3">
        <v>3257</v>
      </c>
      <c r="B850" s="3" t="str">
        <f t="shared" si="26"/>
        <v>3</v>
      </c>
      <c r="C850" s="4" t="s">
        <v>226</v>
      </c>
      <c r="D850" s="5" t="s">
        <v>1817</v>
      </c>
      <c r="E850" s="4" t="s">
        <v>50</v>
      </c>
      <c r="F850" s="2" t="str">
        <f t="shared" si="27"/>
        <v>Routine cognitive</v>
      </c>
    </row>
    <row r="851" spans="1:6" ht="71.25" x14ac:dyDescent="0.4">
      <c r="A851" s="3">
        <v>3257</v>
      </c>
      <c r="B851" s="3" t="str">
        <f t="shared" si="26"/>
        <v>3</v>
      </c>
      <c r="C851" s="4" t="s">
        <v>226</v>
      </c>
      <c r="D851" s="5" t="s">
        <v>1818</v>
      </c>
      <c r="E851" s="4" t="s">
        <v>4</v>
      </c>
      <c r="F851" s="2" t="str">
        <f t="shared" si="27"/>
        <v>Non-routine cognitive</v>
      </c>
    </row>
    <row r="852" spans="1:6" ht="57" x14ac:dyDescent="0.4">
      <c r="A852" s="3">
        <v>3257</v>
      </c>
      <c r="B852" s="3" t="str">
        <f t="shared" si="26"/>
        <v>3</v>
      </c>
      <c r="C852" s="4" t="s">
        <v>226</v>
      </c>
      <c r="D852" s="5" t="s">
        <v>1819</v>
      </c>
      <c r="E852" s="4" t="s">
        <v>50</v>
      </c>
      <c r="F852" s="2" t="str">
        <f t="shared" si="27"/>
        <v>Routine cognitive</v>
      </c>
    </row>
    <row r="853" spans="1:6" ht="42.75" x14ac:dyDescent="0.4">
      <c r="A853" s="3">
        <v>3257</v>
      </c>
      <c r="B853" s="3" t="str">
        <f t="shared" si="26"/>
        <v>3</v>
      </c>
      <c r="C853" s="4" t="s">
        <v>226</v>
      </c>
      <c r="D853" s="5" t="s">
        <v>1820</v>
      </c>
      <c r="E853" s="4" t="s">
        <v>3</v>
      </c>
      <c r="F853" s="2" t="str">
        <f t="shared" si="27"/>
        <v>Non-routine cognitive</v>
      </c>
    </row>
    <row r="854" spans="1:6" ht="57" x14ac:dyDescent="0.4">
      <c r="A854" s="3">
        <v>3257</v>
      </c>
      <c r="B854" s="3" t="str">
        <f t="shared" si="26"/>
        <v>3</v>
      </c>
      <c r="C854" s="4" t="s">
        <v>226</v>
      </c>
      <c r="D854" s="8" t="s">
        <v>1821</v>
      </c>
      <c r="E854" s="4" t="s">
        <v>3</v>
      </c>
      <c r="F854" s="2" t="str">
        <f t="shared" si="27"/>
        <v>Non-routine cognitive</v>
      </c>
    </row>
    <row r="855" spans="1:6" ht="42.75" x14ac:dyDescent="0.4">
      <c r="A855" s="3">
        <v>3257</v>
      </c>
      <c r="B855" s="3" t="str">
        <f t="shared" si="26"/>
        <v>3</v>
      </c>
      <c r="C855" s="4" t="s">
        <v>226</v>
      </c>
      <c r="D855" s="8" t="s">
        <v>1822</v>
      </c>
      <c r="E855" s="4" t="s">
        <v>4</v>
      </c>
      <c r="F855" s="2" t="str">
        <f t="shared" si="27"/>
        <v>Non-routine cognitive</v>
      </c>
    </row>
    <row r="856" spans="1:6" ht="42.75" x14ac:dyDescent="0.4">
      <c r="A856" s="3">
        <v>3311</v>
      </c>
      <c r="B856" s="3" t="str">
        <f t="shared" si="26"/>
        <v>3</v>
      </c>
      <c r="C856" s="4" t="s">
        <v>228</v>
      </c>
      <c r="D856" s="10" t="s">
        <v>1823</v>
      </c>
      <c r="E856" s="4" t="s">
        <v>3</v>
      </c>
      <c r="F856" s="2" t="str">
        <f t="shared" si="27"/>
        <v>Non-routine cognitive</v>
      </c>
    </row>
    <row r="857" spans="1:6" ht="42.75" x14ac:dyDescent="0.4">
      <c r="A857" s="3">
        <v>3311</v>
      </c>
      <c r="B857" s="3" t="str">
        <f t="shared" si="26"/>
        <v>3</v>
      </c>
      <c r="C857" s="4" t="s">
        <v>228</v>
      </c>
      <c r="D857" s="5" t="s">
        <v>1824</v>
      </c>
      <c r="E857" s="4" t="s">
        <v>4</v>
      </c>
      <c r="F857" s="2" t="str">
        <f t="shared" si="27"/>
        <v>Non-routine cognitive</v>
      </c>
    </row>
    <row r="858" spans="1:6" ht="28.5" x14ac:dyDescent="0.4">
      <c r="A858" s="3">
        <v>3311</v>
      </c>
      <c r="B858" s="3" t="str">
        <f t="shared" si="26"/>
        <v>3</v>
      </c>
      <c r="C858" s="5" t="s">
        <v>1825</v>
      </c>
      <c r="D858" s="10" t="s">
        <v>1826</v>
      </c>
      <c r="E858" s="4" t="s">
        <v>3</v>
      </c>
      <c r="F858" s="2" t="str">
        <f t="shared" si="27"/>
        <v>Non-routine cognitive</v>
      </c>
    </row>
    <row r="859" spans="1:6" ht="57" x14ac:dyDescent="0.4">
      <c r="A859" s="3">
        <v>3311</v>
      </c>
      <c r="B859" s="3" t="str">
        <f t="shared" si="26"/>
        <v>3</v>
      </c>
      <c r="C859" s="4" t="s">
        <v>228</v>
      </c>
      <c r="D859" s="5" t="s">
        <v>1827</v>
      </c>
      <c r="E859" s="4" t="s">
        <v>4</v>
      </c>
      <c r="F859" s="2" t="str">
        <f t="shared" si="27"/>
        <v>Non-routine cognitive</v>
      </c>
    </row>
    <row r="860" spans="1:6" ht="42.75" x14ac:dyDescent="0.4">
      <c r="A860" s="3">
        <v>3311</v>
      </c>
      <c r="B860" s="3" t="str">
        <f t="shared" si="26"/>
        <v>3</v>
      </c>
      <c r="C860" s="4" t="s">
        <v>228</v>
      </c>
      <c r="D860" s="5" t="s">
        <v>1828</v>
      </c>
      <c r="E860" s="4" t="s">
        <v>50</v>
      </c>
      <c r="F860" s="2" t="str">
        <f t="shared" si="27"/>
        <v>Routine cognitive</v>
      </c>
    </row>
    <row r="861" spans="1:6" ht="28.5" x14ac:dyDescent="0.4">
      <c r="A861" s="3">
        <v>3312</v>
      </c>
      <c r="B861" s="3" t="str">
        <f t="shared" si="26"/>
        <v>3</v>
      </c>
      <c r="C861" s="4" t="s">
        <v>229</v>
      </c>
      <c r="D861" s="5" t="s">
        <v>1829</v>
      </c>
      <c r="E861" s="4" t="s">
        <v>3</v>
      </c>
      <c r="F861" s="2" t="str">
        <f t="shared" si="27"/>
        <v>Non-routine cognitive</v>
      </c>
    </row>
    <row r="862" spans="1:6" ht="42.75" x14ac:dyDescent="0.4">
      <c r="A862" s="3">
        <v>3312</v>
      </c>
      <c r="B862" s="3" t="str">
        <f t="shared" si="26"/>
        <v>3</v>
      </c>
      <c r="C862" s="4" t="s">
        <v>229</v>
      </c>
      <c r="D862" s="5" t="s">
        <v>1830</v>
      </c>
      <c r="E862" s="4" t="s">
        <v>4</v>
      </c>
      <c r="F862" s="2" t="str">
        <f t="shared" si="27"/>
        <v>Non-routine cognitive</v>
      </c>
    </row>
    <row r="863" spans="1:6" ht="28.5" x14ac:dyDescent="0.4">
      <c r="A863" s="3">
        <v>3312</v>
      </c>
      <c r="B863" s="3" t="str">
        <f t="shared" si="26"/>
        <v>3</v>
      </c>
      <c r="C863" s="4" t="s">
        <v>229</v>
      </c>
      <c r="D863" s="5" t="s">
        <v>1831</v>
      </c>
      <c r="E863" s="4" t="s">
        <v>50</v>
      </c>
      <c r="F863" s="2" t="str">
        <f t="shared" si="27"/>
        <v>Routine cognitive</v>
      </c>
    </row>
    <row r="864" spans="1:6" ht="42.75" x14ac:dyDescent="0.4">
      <c r="A864" s="3">
        <v>3312</v>
      </c>
      <c r="B864" s="3" t="str">
        <f t="shared" si="26"/>
        <v>3</v>
      </c>
      <c r="C864" s="4" t="s">
        <v>229</v>
      </c>
      <c r="D864" s="5" t="s">
        <v>1832</v>
      </c>
      <c r="E864" s="4" t="s">
        <v>50</v>
      </c>
      <c r="F864" s="2" t="str">
        <f t="shared" si="27"/>
        <v>Routine cognitive</v>
      </c>
    </row>
    <row r="865" spans="1:6" ht="28.5" x14ac:dyDescent="0.4">
      <c r="A865" s="3">
        <v>3312</v>
      </c>
      <c r="B865" s="3" t="str">
        <f t="shared" si="26"/>
        <v>3</v>
      </c>
      <c r="C865" s="4" t="s">
        <v>229</v>
      </c>
      <c r="D865" s="4" t="s">
        <v>3653</v>
      </c>
      <c r="E865" s="4" t="s">
        <v>50</v>
      </c>
      <c r="F865" s="2" t="str">
        <f t="shared" si="27"/>
        <v>Routine cognitive</v>
      </c>
    </row>
    <row r="866" spans="1:6" x14ac:dyDescent="0.4">
      <c r="A866" s="3">
        <v>3312</v>
      </c>
      <c r="B866" s="3" t="str">
        <f t="shared" si="26"/>
        <v>3</v>
      </c>
      <c r="C866" s="4" t="s">
        <v>229</v>
      </c>
      <c r="D866" s="7" t="s">
        <v>230</v>
      </c>
      <c r="E866" s="4" t="s">
        <v>50</v>
      </c>
      <c r="F866" s="2" t="str">
        <f t="shared" si="27"/>
        <v>Routine cognitive</v>
      </c>
    </row>
    <row r="867" spans="1:6" ht="42.75" x14ac:dyDescent="0.4">
      <c r="A867" s="3">
        <v>3313</v>
      </c>
      <c r="B867" s="3" t="str">
        <f t="shared" si="26"/>
        <v>3</v>
      </c>
      <c r="C867" s="4" t="s">
        <v>231</v>
      </c>
      <c r="D867" s="5" t="s">
        <v>1833</v>
      </c>
      <c r="E867" s="4" t="s">
        <v>50</v>
      </c>
      <c r="F867" s="2" t="str">
        <f t="shared" si="27"/>
        <v>Routine cognitive</v>
      </c>
    </row>
    <row r="868" spans="1:6" ht="28.5" x14ac:dyDescent="0.4">
      <c r="A868" s="3">
        <v>3313</v>
      </c>
      <c r="B868" s="3" t="str">
        <f t="shared" si="26"/>
        <v>3</v>
      </c>
      <c r="C868" s="4" t="s">
        <v>231</v>
      </c>
      <c r="D868" s="5" t="s">
        <v>1834</v>
      </c>
      <c r="E868" s="4" t="s">
        <v>50</v>
      </c>
      <c r="F868" s="2" t="str">
        <f t="shared" si="27"/>
        <v>Routine cognitive</v>
      </c>
    </row>
    <row r="869" spans="1:6" ht="28.5" x14ac:dyDescent="0.4">
      <c r="A869" s="3">
        <v>3313</v>
      </c>
      <c r="B869" s="3" t="str">
        <f t="shared" si="26"/>
        <v>3</v>
      </c>
      <c r="C869" s="5" t="s">
        <v>1835</v>
      </c>
      <c r="D869" s="5" t="s">
        <v>1836</v>
      </c>
      <c r="E869" s="4" t="s">
        <v>4</v>
      </c>
      <c r="F869" s="2" t="str">
        <f t="shared" si="27"/>
        <v>Non-routine cognitive</v>
      </c>
    </row>
    <row r="870" spans="1:6" ht="42.75" x14ac:dyDescent="0.4">
      <c r="A870" s="3">
        <v>3313</v>
      </c>
      <c r="B870" s="3" t="str">
        <f t="shared" si="26"/>
        <v>3</v>
      </c>
      <c r="C870" s="4" t="s">
        <v>231</v>
      </c>
      <c r="D870" s="5" t="s">
        <v>1837</v>
      </c>
      <c r="E870" s="4" t="s">
        <v>4</v>
      </c>
      <c r="F870" s="2" t="str">
        <f t="shared" si="27"/>
        <v>Non-routine cognitive</v>
      </c>
    </row>
    <row r="871" spans="1:6" ht="28.5" x14ac:dyDescent="0.4">
      <c r="A871" s="3">
        <v>3313</v>
      </c>
      <c r="B871" s="3" t="str">
        <f t="shared" si="26"/>
        <v>3</v>
      </c>
      <c r="C871" s="4" t="s">
        <v>231</v>
      </c>
      <c r="D871" s="5" t="s">
        <v>1838</v>
      </c>
      <c r="E871" s="4" t="s">
        <v>4</v>
      </c>
      <c r="F871" s="2" t="str">
        <f t="shared" si="27"/>
        <v>Non-routine cognitive</v>
      </c>
    </row>
    <row r="872" spans="1:6" x14ac:dyDescent="0.4">
      <c r="A872" s="3">
        <v>3313</v>
      </c>
      <c r="B872" s="3" t="str">
        <f t="shared" si="26"/>
        <v>3</v>
      </c>
      <c r="C872" s="4" t="s">
        <v>231</v>
      </c>
      <c r="D872" s="4" t="s">
        <v>232</v>
      </c>
      <c r="E872" s="4" t="s">
        <v>3</v>
      </c>
      <c r="F872" s="2" t="str">
        <f t="shared" si="27"/>
        <v>Non-routine cognitive</v>
      </c>
    </row>
    <row r="873" spans="1:6" ht="28.5" x14ac:dyDescent="0.4">
      <c r="A873" s="3">
        <v>3314</v>
      </c>
      <c r="B873" s="3" t="str">
        <f t="shared" si="26"/>
        <v>3</v>
      </c>
      <c r="C873" s="4" t="s">
        <v>233</v>
      </c>
      <c r="D873" s="8" t="s">
        <v>1839</v>
      </c>
      <c r="E873" s="4" t="s">
        <v>4</v>
      </c>
      <c r="F873" s="2" t="str">
        <f t="shared" si="27"/>
        <v>Non-routine cognitive</v>
      </c>
    </row>
    <row r="874" spans="1:6" ht="42.75" x14ac:dyDescent="0.4">
      <c r="A874" s="3">
        <v>3314</v>
      </c>
      <c r="B874" s="3" t="str">
        <f t="shared" si="26"/>
        <v>3</v>
      </c>
      <c r="C874" s="4" t="s">
        <v>233</v>
      </c>
      <c r="D874" s="8" t="s">
        <v>1840</v>
      </c>
      <c r="E874" s="4" t="s">
        <v>4</v>
      </c>
      <c r="F874" s="2" t="str">
        <f t="shared" si="27"/>
        <v>Non-routine cognitive</v>
      </c>
    </row>
    <row r="875" spans="1:6" ht="42.75" x14ac:dyDescent="0.4">
      <c r="A875" s="3">
        <v>3314</v>
      </c>
      <c r="B875" s="3" t="str">
        <f t="shared" si="26"/>
        <v>3</v>
      </c>
      <c r="C875" s="4" t="s">
        <v>233</v>
      </c>
      <c r="D875" s="5" t="s">
        <v>1841</v>
      </c>
      <c r="E875" s="4" t="s">
        <v>4</v>
      </c>
      <c r="F875" s="2" t="str">
        <f t="shared" si="27"/>
        <v>Non-routine cognitive</v>
      </c>
    </row>
    <row r="876" spans="1:6" ht="42.75" x14ac:dyDescent="0.4">
      <c r="A876" s="3">
        <v>3314</v>
      </c>
      <c r="B876" s="3" t="str">
        <f t="shared" si="26"/>
        <v>3</v>
      </c>
      <c r="C876" s="4" t="s">
        <v>233</v>
      </c>
      <c r="D876" s="8" t="s">
        <v>1842</v>
      </c>
      <c r="E876" s="4" t="s">
        <v>4</v>
      </c>
      <c r="F876" s="2" t="str">
        <f t="shared" si="27"/>
        <v>Non-routine cognitive</v>
      </c>
    </row>
    <row r="877" spans="1:6" ht="28.5" x14ac:dyDescent="0.4">
      <c r="A877" s="3">
        <v>3314</v>
      </c>
      <c r="B877" s="3" t="str">
        <f t="shared" si="26"/>
        <v>3</v>
      </c>
      <c r="C877" s="4" t="s">
        <v>233</v>
      </c>
      <c r="D877" s="5" t="s">
        <v>1843</v>
      </c>
      <c r="E877" s="4" t="s">
        <v>4</v>
      </c>
      <c r="F877" s="2" t="str">
        <f t="shared" si="27"/>
        <v>Non-routine cognitive</v>
      </c>
    </row>
    <row r="878" spans="1:6" ht="28.5" x14ac:dyDescent="0.4">
      <c r="A878" s="3">
        <v>3314</v>
      </c>
      <c r="B878" s="3" t="str">
        <f t="shared" si="26"/>
        <v>3</v>
      </c>
      <c r="C878" s="4" t="s">
        <v>233</v>
      </c>
      <c r="D878" s="5" t="s">
        <v>1844</v>
      </c>
      <c r="E878" s="4" t="s">
        <v>4</v>
      </c>
      <c r="F878" s="2" t="str">
        <f t="shared" si="27"/>
        <v>Non-routine cognitive</v>
      </c>
    </row>
    <row r="879" spans="1:6" ht="57" x14ac:dyDescent="0.4">
      <c r="A879" s="3">
        <v>3314</v>
      </c>
      <c r="B879" s="3" t="str">
        <f t="shared" si="26"/>
        <v>3</v>
      </c>
      <c r="C879" s="4" t="s">
        <v>233</v>
      </c>
      <c r="D879" s="5" t="s">
        <v>1845</v>
      </c>
      <c r="E879" s="4" t="s">
        <v>4</v>
      </c>
      <c r="F879" s="2" t="str">
        <f t="shared" si="27"/>
        <v>Non-routine cognitive</v>
      </c>
    </row>
    <row r="880" spans="1:6" ht="28.5" x14ac:dyDescent="0.4">
      <c r="A880" s="3">
        <v>3314</v>
      </c>
      <c r="B880" s="3" t="str">
        <f t="shared" si="26"/>
        <v>3</v>
      </c>
      <c r="C880" s="4" t="s">
        <v>233</v>
      </c>
      <c r="D880" s="7" t="s">
        <v>234</v>
      </c>
      <c r="E880" s="4" t="s">
        <v>3</v>
      </c>
      <c r="F880" s="2" t="str">
        <f t="shared" si="27"/>
        <v>Non-routine cognitive</v>
      </c>
    </row>
    <row r="881" spans="1:6" ht="42.75" x14ac:dyDescent="0.4">
      <c r="A881" s="3">
        <v>3315</v>
      </c>
      <c r="B881" s="3" t="str">
        <f t="shared" si="26"/>
        <v>3</v>
      </c>
      <c r="C881" s="4" t="s">
        <v>235</v>
      </c>
      <c r="D881" s="5" t="s">
        <v>1846</v>
      </c>
      <c r="E881" s="4" t="s">
        <v>4</v>
      </c>
      <c r="F881" s="2" t="str">
        <f t="shared" si="27"/>
        <v>Non-routine cognitive</v>
      </c>
    </row>
    <row r="882" spans="1:6" ht="42.75" x14ac:dyDescent="0.4">
      <c r="A882" s="3">
        <v>3315</v>
      </c>
      <c r="B882" s="3" t="str">
        <f t="shared" si="26"/>
        <v>3</v>
      </c>
      <c r="C882" s="4" t="s">
        <v>235</v>
      </c>
      <c r="D882" s="8" t="s">
        <v>1847</v>
      </c>
      <c r="E882" s="4" t="s">
        <v>4</v>
      </c>
      <c r="F882" s="2" t="str">
        <f t="shared" si="27"/>
        <v>Non-routine cognitive</v>
      </c>
    </row>
    <row r="883" spans="1:6" ht="28.5" x14ac:dyDescent="0.4">
      <c r="A883" s="3">
        <v>3315</v>
      </c>
      <c r="B883" s="3" t="str">
        <f t="shared" si="26"/>
        <v>3</v>
      </c>
      <c r="C883" s="4" t="s">
        <v>235</v>
      </c>
      <c r="D883" s="8" t="s">
        <v>1848</v>
      </c>
      <c r="E883" s="4" t="s">
        <v>50</v>
      </c>
      <c r="F883" s="2" t="str">
        <f t="shared" si="27"/>
        <v>Routine cognitive</v>
      </c>
    </row>
    <row r="884" spans="1:6" ht="28.5" x14ac:dyDescent="0.4">
      <c r="A884" s="3">
        <v>3315</v>
      </c>
      <c r="B884" s="3" t="str">
        <f t="shared" si="26"/>
        <v>3</v>
      </c>
      <c r="C884" s="4" t="s">
        <v>235</v>
      </c>
      <c r="D884" s="5" t="s">
        <v>1849</v>
      </c>
      <c r="E884" s="4" t="s">
        <v>50</v>
      </c>
      <c r="F884" s="2" t="str">
        <f t="shared" si="27"/>
        <v>Routine cognitive</v>
      </c>
    </row>
    <row r="885" spans="1:6" ht="28.5" x14ac:dyDescent="0.4">
      <c r="A885" s="3">
        <v>3315</v>
      </c>
      <c r="B885" s="3" t="str">
        <f t="shared" si="26"/>
        <v>3</v>
      </c>
      <c r="C885" s="4" t="s">
        <v>235</v>
      </c>
      <c r="D885" s="6" t="s">
        <v>236</v>
      </c>
      <c r="E885" s="4" t="s">
        <v>4</v>
      </c>
      <c r="F885" s="2" t="str">
        <f t="shared" si="27"/>
        <v>Non-routine cognitive</v>
      </c>
    </row>
    <row r="886" spans="1:6" ht="42.75" x14ac:dyDescent="0.4">
      <c r="A886" s="3">
        <v>3321</v>
      </c>
      <c r="B886" s="3" t="str">
        <f t="shared" si="26"/>
        <v>3</v>
      </c>
      <c r="C886" s="4" t="s">
        <v>237</v>
      </c>
      <c r="D886" s="8" t="s">
        <v>1850</v>
      </c>
      <c r="E886" s="4" t="s">
        <v>50</v>
      </c>
      <c r="F886" s="2" t="str">
        <f t="shared" si="27"/>
        <v>Routine cognitive</v>
      </c>
    </row>
    <row r="887" spans="1:6" ht="28.5" x14ac:dyDescent="0.4">
      <c r="A887" s="3">
        <v>3321</v>
      </c>
      <c r="B887" s="3" t="str">
        <f t="shared" si="26"/>
        <v>3</v>
      </c>
      <c r="C887" s="4" t="s">
        <v>237</v>
      </c>
      <c r="D887" s="8" t="s">
        <v>1851</v>
      </c>
      <c r="E887" s="4" t="s">
        <v>3</v>
      </c>
      <c r="F887" s="2" t="str">
        <f t="shared" si="27"/>
        <v>Non-routine cognitive</v>
      </c>
    </row>
    <row r="888" spans="1:6" ht="42.75" x14ac:dyDescent="0.4">
      <c r="A888" s="3">
        <v>3321</v>
      </c>
      <c r="B888" s="3" t="str">
        <f t="shared" si="26"/>
        <v>3</v>
      </c>
      <c r="C888" s="4" t="s">
        <v>237</v>
      </c>
      <c r="D888" s="8" t="s">
        <v>1852</v>
      </c>
      <c r="E888" s="4" t="s">
        <v>3</v>
      </c>
      <c r="F888" s="2" t="str">
        <f t="shared" si="27"/>
        <v>Non-routine cognitive</v>
      </c>
    </row>
    <row r="889" spans="1:6" ht="42.75" x14ac:dyDescent="0.4">
      <c r="A889" s="3">
        <v>3321</v>
      </c>
      <c r="B889" s="3" t="str">
        <f t="shared" si="26"/>
        <v>3</v>
      </c>
      <c r="C889" s="4" t="s">
        <v>237</v>
      </c>
      <c r="D889" s="5" t="s">
        <v>1853</v>
      </c>
      <c r="E889" s="4" t="s">
        <v>4</v>
      </c>
      <c r="F889" s="2" t="str">
        <f t="shared" si="27"/>
        <v>Non-routine cognitive</v>
      </c>
    </row>
    <row r="890" spans="1:6" x14ac:dyDescent="0.4">
      <c r="A890" s="3">
        <v>3321</v>
      </c>
      <c r="B890" s="3" t="str">
        <f t="shared" si="26"/>
        <v>3</v>
      </c>
      <c r="C890" s="4" t="s">
        <v>237</v>
      </c>
      <c r="D890" s="7" t="s">
        <v>238</v>
      </c>
      <c r="E890" s="4" t="s">
        <v>3</v>
      </c>
      <c r="F890" s="2" t="str">
        <f t="shared" si="27"/>
        <v>Non-routine cognitive</v>
      </c>
    </row>
    <row r="891" spans="1:6" ht="42.75" x14ac:dyDescent="0.4">
      <c r="A891" s="3">
        <v>3321</v>
      </c>
      <c r="B891" s="3" t="str">
        <f t="shared" si="26"/>
        <v>3</v>
      </c>
      <c r="C891" s="4" t="s">
        <v>237</v>
      </c>
      <c r="D891" s="8" t="s">
        <v>1854</v>
      </c>
      <c r="E891" s="4" t="s">
        <v>4</v>
      </c>
      <c r="F891" s="2" t="str">
        <f t="shared" si="27"/>
        <v>Non-routine cognitive</v>
      </c>
    </row>
    <row r="892" spans="1:6" ht="28.5" x14ac:dyDescent="0.4">
      <c r="A892" s="3">
        <v>3322</v>
      </c>
      <c r="B892" s="3" t="str">
        <f t="shared" si="26"/>
        <v>3</v>
      </c>
      <c r="C892" s="4" t="s">
        <v>239</v>
      </c>
      <c r="D892" s="8" t="s">
        <v>1569</v>
      </c>
      <c r="E892" s="4" t="s">
        <v>50</v>
      </c>
      <c r="F892" s="2" t="str">
        <f t="shared" si="27"/>
        <v>Routine cognitive</v>
      </c>
    </row>
    <row r="893" spans="1:6" ht="42.75" x14ac:dyDescent="0.4">
      <c r="A893" s="3">
        <v>3322</v>
      </c>
      <c r="B893" s="3" t="str">
        <f t="shared" si="26"/>
        <v>3</v>
      </c>
      <c r="C893" s="4" t="s">
        <v>239</v>
      </c>
      <c r="D893" s="8" t="s">
        <v>1855</v>
      </c>
      <c r="E893" s="4" t="s">
        <v>50</v>
      </c>
      <c r="F893" s="2" t="str">
        <f t="shared" si="27"/>
        <v>Routine cognitive</v>
      </c>
    </row>
    <row r="894" spans="1:6" ht="28.5" x14ac:dyDescent="0.4">
      <c r="A894" s="3">
        <v>3322</v>
      </c>
      <c r="B894" s="3" t="str">
        <f t="shared" si="26"/>
        <v>3</v>
      </c>
      <c r="C894" s="4" t="s">
        <v>239</v>
      </c>
      <c r="D894" s="8" t="s">
        <v>3654</v>
      </c>
      <c r="E894" s="4" t="s">
        <v>4</v>
      </c>
      <c r="F894" s="2" t="str">
        <f t="shared" si="27"/>
        <v>Non-routine cognitive</v>
      </c>
    </row>
    <row r="895" spans="1:6" ht="57" x14ac:dyDescent="0.4">
      <c r="A895" s="3">
        <v>3322</v>
      </c>
      <c r="B895" s="3" t="str">
        <f t="shared" si="26"/>
        <v>3</v>
      </c>
      <c r="C895" s="4" t="s">
        <v>239</v>
      </c>
      <c r="D895" s="8" t="s">
        <v>1856</v>
      </c>
      <c r="E895" s="4" t="s">
        <v>3</v>
      </c>
      <c r="F895" s="2" t="str">
        <f t="shared" si="27"/>
        <v>Non-routine cognitive</v>
      </c>
    </row>
    <row r="896" spans="1:6" ht="28.5" x14ac:dyDescent="0.4">
      <c r="A896" s="3">
        <v>3322</v>
      </c>
      <c r="B896" s="3" t="str">
        <f t="shared" si="26"/>
        <v>3</v>
      </c>
      <c r="C896" s="4" t="s">
        <v>239</v>
      </c>
      <c r="D896" s="8" t="s">
        <v>1857</v>
      </c>
      <c r="E896" s="4" t="s">
        <v>50</v>
      </c>
      <c r="F896" s="2" t="str">
        <f t="shared" si="27"/>
        <v>Routine cognitive</v>
      </c>
    </row>
    <row r="897" spans="1:6" ht="28.5" x14ac:dyDescent="0.4">
      <c r="A897" s="3">
        <v>3322</v>
      </c>
      <c r="B897" s="3" t="str">
        <f t="shared" si="26"/>
        <v>3</v>
      </c>
      <c r="C897" s="4" t="s">
        <v>239</v>
      </c>
      <c r="D897" s="6" t="s">
        <v>240</v>
      </c>
      <c r="E897" s="4" t="s">
        <v>50</v>
      </c>
      <c r="F897" s="2" t="str">
        <f t="shared" si="27"/>
        <v>Routine cognitive</v>
      </c>
    </row>
    <row r="898" spans="1:6" ht="28.5" x14ac:dyDescent="0.4">
      <c r="A898" s="3">
        <v>3322</v>
      </c>
      <c r="B898" s="3" t="str">
        <f t="shared" si="26"/>
        <v>3</v>
      </c>
      <c r="C898" s="4" t="s">
        <v>239</v>
      </c>
      <c r="D898" s="10" t="s">
        <v>1858</v>
      </c>
      <c r="E898" s="4" t="s">
        <v>50</v>
      </c>
      <c r="F898" s="2" t="str">
        <f t="shared" si="27"/>
        <v>Routine cognitive</v>
      </c>
    </row>
    <row r="899" spans="1:6" ht="57" x14ac:dyDescent="0.4">
      <c r="A899" s="3">
        <v>3323</v>
      </c>
      <c r="B899" s="3" t="str">
        <f t="shared" ref="B899:B962" si="28">LEFT(A899,1)</f>
        <v>3</v>
      </c>
      <c r="C899" s="4" t="s">
        <v>241</v>
      </c>
      <c r="D899" s="5" t="s">
        <v>1859</v>
      </c>
      <c r="E899" s="4" t="s">
        <v>3</v>
      </c>
      <c r="F899" s="2" t="str">
        <f t="shared" ref="F899:F962" si="29">IF(E899="Non-routine interpersonal","Non-routine cognitive",IF(E899="Non-routine analytical","Non-routine cognitive",IF(E899="Non-routine manual physical","Non-routine manual",E899)))</f>
        <v>Non-routine cognitive</v>
      </c>
    </row>
    <row r="900" spans="1:6" ht="57" x14ac:dyDescent="0.4">
      <c r="A900" s="3">
        <v>3323</v>
      </c>
      <c r="B900" s="3" t="str">
        <f t="shared" si="28"/>
        <v>3</v>
      </c>
      <c r="C900" s="4" t="s">
        <v>241</v>
      </c>
      <c r="D900" s="5" t="s">
        <v>1860</v>
      </c>
      <c r="E900" s="4" t="s">
        <v>4</v>
      </c>
      <c r="F900" s="2" t="str">
        <f t="shared" si="29"/>
        <v>Non-routine cognitive</v>
      </c>
    </row>
    <row r="901" spans="1:6" ht="42.75" x14ac:dyDescent="0.4">
      <c r="A901" s="3">
        <v>3323</v>
      </c>
      <c r="B901" s="3" t="str">
        <f t="shared" si="28"/>
        <v>3</v>
      </c>
      <c r="C901" s="4" t="s">
        <v>241</v>
      </c>
      <c r="D901" s="5" t="s">
        <v>1861</v>
      </c>
      <c r="E901" s="4" t="s">
        <v>3</v>
      </c>
      <c r="F901" s="2" t="str">
        <f t="shared" si="29"/>
        <v>Non-routine cognitive</v>
      </c>
    </row>
    <row r="902" spans="1:6" ht="28.5" x14ac:dyDescent="0.4">
      <c r="A902" s="3">
        <v>3323</v>
      </c>
      <c r="B902" s="3" t="str">
        <f t="shared" si="28"/>
        <v>3</v>
      </c>
      <c r="C902" s="4" t="s">
        <v>241</v>
      </c>
      <c r="D902" s="8" t="s">
        <v>1862</v>
      </c>
      <c r="E902" s="4" t="s">
        <v>3</v>
      </c>
      <c r="F902" s="2" t="str">
        <f t="shared" si="29"/>
        <v>Non-routine cognitive</v>
      </c>
    </row>
    <row r="903" spans="1:6" ht="28.5" x14ac:dyDescent="0.4">
      <c r="A903" s="3">
        <v>3323</v>
      </c>
      <c r="B903" s="3" t="str">
        <f t="shared" si="28"/>
        <v>3</v>
      </c>
      <c r="C903" s="4" t="s">
        <v>241</v>
      </c>
      <c r="D903" s="8" t="s">
        <v>1863</v>
      </c>
      <c r="E903" s="4" t="s">
        <v>3</v>
      </c>
      <c r="F903" s="2" t="str">
        <f t="shared" si="29"/>
        <v>Non-routine cognitive</v>
      </c>
    </row>
    <row r="904" spans="1:6" ht="57" x14ac:dyDescent="0.4">
      <c r="A904" s="3">
        <v>3323</v>
      </c>
      <c r="B904" s="3" t="str">
        <f t="shared" si="28"/>
        <v>3</v>
      </c>
      <c r="C904" s="4" t="s">
        <v>241</v>
      </c>
      <c r="D904" s="8" t="s">
        <v>1864</v>
      </c>
      <c r="E904" s="4" t="s">
        <v>4</v>
      </c>
      <c r="F904" s="2" t="str">
        <f t="shared" si="29"/>
        <v>Non-routine cognitive</v>
      </c>
    </row>
    <row r="905" spans="1:6" ht="28.5" x14ac:dyDescent="0.4">
      <c r="A905" s="3">
        <v>3323</v>
      </c>
      <c r="B905" s="3" t="str">
        <f t="shared" si="28"/>
        <v>3</v>
      </c>
      <c r="C905" s="4" t="s">
        <v>241</v>
      </c>
      <c r="D905" s="8" t="s">
        <v>1865</v>
      </c>
      <c r="E905" s="4" t="s">
        <v>50</v>
      </c>
      <c r="F905" s="2" t="str">
        <f t="shared" si="29"/>
        <v>Routine cognitive</v>
      </c>
    </row>
    <row r="906" spans="1:6" ht="42.75" x14ac:dyDescent="0.4">
      <c r="A906" s="3">
        <v>3323</v>
      </c>
      <c r="B906" s="3" t="str">
        <f t="shared" si="28"/>
        <v>3</v>
      </c>
      <c r="C906" s="4" t="s">
        <v>241</v>
      </c>
      <c r="D906" s="8" t="s">
        <v>1866</v>
      </c>
      <c r="E906" s="4" t="s">
        <v>3</v>
      </c>
      <c r="F906" s="2" t="str">
        <f t="shared" si="29"/>
        <v>Non-routine cognitive</v>
      </c>
    </row>
    <row r="907" spans="1:6" ht="42.75" x14ac:dyDescent="0.4">
      <c r="A907" s="3">
        <v>3323</v>
      </c>
      <c r="B907" s="3" t="str">
        <f t="shared" si="28"/>
        <v>3</v>
      </c>
      <c r="C907" s="4" t="s">
        <v>241</v>
      </c>
      <c r="D907" s="8" t="s">
        <v>1867</v>
      </c>
      <c r="E907" s="4" t="s">
        <v>3</v>
      </c>
      <c r="F907" s="2" t="str">
        <f t="shared" si="29"/>
        <v>Non-routine cognitive</v>
      </c>
    </row>
    <row r="908" spans="1:6" ht="42.75" x14ac:dyDescent="0.4">
      <c r="A908" s="3">
        <v>3323</v>
      </c>
      <c r="B908" s="3" t="str">
        <f t="shared" si="28"/>
        <v>3</v>
      </c>
      <c r="C908" s="4" t="s">
        <v>241</v>
      </c>
      <c r="D908" s="5" t="s">
        <v>1868</v>
      </c>
      <c r="E908" s="4" t="s">
        <v>50</v>
      </c>
      <c r="F908" s="2" t="str">
        <f t="shared" si="29"/>
        <v>Routine cognitive</v>
      </c>
    </row>
    <row r="909" spans="1:6" ht="28.5" x14ac:dyDescent="0.4">
      <c r="A909" s="3">
        <v>3331</v>
      </c>
      <c r="B909" s="3" t="str">
        <f t="shared" si="28"/>
        <v>3</v>
      </c>
      <c r="C909" s="4" t="s">
        <v>242</v>
      </c>
      <c r="D909" s="10" t="s">
        <v>1869</v>
      </c>
      <c r="E909" s="4" t="s">
        <v>50</v>
      </c>
      <c r="F909" s="2" t="str">
        <f t="shared" si="29"/>
        <v>Routine cognitive</v>
      </c>
    </row>
    <row r="910" spans="1:6" x14ac:dyDescent="0.4">
      <c r="A910" s="3">
        <v>3331</v>
      </c>
      <c r="B910" s="3" t="str">
        <f t="shared" si="28"/>
        <v>3</v>
      </c>
      <c r="C910" s="4" t="s">
        <v>242</v>
      </c>
      <c r="D910" s="6" t="s">
        <v>243</v>
      </c>
      <c r="E910" s="4" t="s">
        <v>50</v>
      </c>
      <c r="F910" s="2" t="str">
        <f t="shared" si="29"/>
        <v>Routine cognitive</v>
      </c>
    </row>
    <row r="911" spans="1:6" ht="28.5" x14ac:dyDescent="0.4">
      <c r="A911" s="3">
        <v>3331</v>
      </c>
      <c r="B911" s="3" t="str">
        <f t="shared" si="28"/>
        <v>3</v>
      </c>
      <c r="C911" s="4" t="s">
        <v>242</v>
      </c>
      <c r="D911" s="8" t="s">
        <v>1870</v>
      </c>
      <c r="E911" s="4" t="s">
        <v>50</v>
      </c>
      <c r="F911" s="2" t="str">
        <f t="shared" si="29"/>
        <v>Routine cognitive</v>
      </c>
    </row>
    <row r="912" spans="1:6" x14ac:dyDescent="0.4">
      <c r="A912" s="3">
        <v>3331</v>
      </c>
      <c r="B912" s="3" t="str">
        <f t="shared" si="28"/>
        <v>3</v>
      </c>
      <c r="C912" s="4" t="s">
        <v>242</v>
      </c>
      <c r="D912" s="6" t="s">
        <v>244</v>
      </c>
      <c r="E912" s="4" t="s">
        <v>50</v>
      </c>
      <c r="F912" s="2" t="str">
        <f t="shared" si="29"/>
        <v>Routine cognitive</v>
      </c>
    </row>
    <row r="913" spans="1:6" ht="57" x14ac:dyDescent="0.4">
      <c r="A913" s="3">
        <v>3331</v>
      </c>
      <c r="B913" s="3" t="str">
        <f t="shared" si="28"/>
        <v>3</v>
      </c>
      <c r="C913" s="4" t="s">
        <v>242</v>
      </c>
      <c r="D913" s="5" t="s">
        <v>1871</v>
      </c>
      <c r="E913" s="4" t="s">
        <v>50</v>
      </c>
      <c r="F913" s="2" t="str">
        <f t="shared" si="29"/>
        <v>Routine cognitive</v>
      </c>
    </row>
    <row r="914" spans="1:6" ht="28.5" x14ac:dyDescent="0.4">
      <c r="A914" s="3">
        <v>3332</v>
      </c>
      <c r="B914" s="3" t="str">
        <f t="shared" si="28"/>
        <v>3</v>
      </c>
      <c r="C914" s="4" t="s">
        <v>245</v>
      </c>
      <c r="D914" s="5" t="s">
        <v>1872</v>
      </c>
      <c r="E914" s="4" t="s">
        <v>3</v>
      </c>
      <c r="F914" s="2" t="str">
        <f t="shared" si="29"/>
        <v>Non-routine cognitive</v>
      </c>
    </row>
    <row r="915" spans="1:6" ht="28.5" x14ac:dyDescent="0.4">
      <c r="A915" s="3">
        <v>3332</v>
      </c>
      <c r="B915" s="3" t="str">
        <f t="shared" si="28"/>
        <v>3</v>
      </c>
      <c r="C915" s="4" t="s">
        <v>245</v>
      </c>
      <c r="D915" s="5" t="s">
        <v>1873</v>
      </c>
      <c r="E915" s="4" t="s">
        <v>50</v>
      </c>
      <c r="F915" s="2" t="str">
        <f t="shared" si="29"/>
        <v>Routine cognitive</v>
      </c>
    </row>
    <row r="916" spans="1:6" ht="42.75" x14ac:dyDescent="0.4">
      <c r="A916" s="3">
        <v>3332</v>
      </c>
      <c r="B916" s="3" t="str">
        <f t="shared" si="28"/>
        <v>3</v>
      </c>
      <c r="C916" s="4" t="s">
        <v>245</v>
      </c>
      <c r="D916" s="5" t="s">
        <v>1874</v>
      </c>
      <c r="E916" s="4" t="s">
        <v>3</v>
      </c>
      <c r="F916" s="2" t="str">
        <f t="shared" si="29"/>
        <v>Non-routine cognitive</v>
      </c>
    </row>
    <row r="917" spans="1:6" ht="57" x14ac:dyDescent="0.4">
      <c r="A917" s="3">
        <v>3332</v>
      </c>
      <c r="B917" s="3" t="str">
        <f t="shared" si="28"/>
        <v>3</v>
      </c>
      <c r="C917" s="4" t="s">
        <v>245</v>
      </c>
      <c r="D917" s="5" t="s">
        <v>1875</v>
      </c>
      <c r="E917" s="4" t="s">
        <v>3</v>
      </c>
      <c r="F917" s="2" t="str">
        <f t="shared" si="29"/>
        <v>Non-routine cognitive</v>
      </c>
    </row>
    <row r="918" spans="1:6" x14ac:dyDescent="0.4">
      <c r="A918" s="3">
        <v>3332</v>
      </c>
      <c r="B918" s="3" t="str">
        <f t="shared" si="28"/>
        <v>3</v>
      </c>
      <c r="C918" s="4" t="s">
        <v>245</v>
      </c>
      <c r="D918" s="7" t="s">
        <v>246</v>
      </c>
      <c r="E918" s="4" t="s">
        <v>3</v>
      </c>
      <c r="F918" s="2" t="str">
        <f t="shared" si="29"/>
        <v>Non-routine cognitive</v>
      </c>
    </row>
    <row r="919" spans="1:6" ht="28.5" x14ac:dyDescent="0.4">
      <c r="A919" s="3">
        <v>3332</v>
      </c>
      <c r="B919" s="3" t="str">
        <f t="shared" si="28"/>
        <v>3</v>
      </c>
      <c r="C919" s="4" t="s">
        <v>245</v>
      </c>
      <c r="D919" s="5" t="s">
        <v>1876</v>
      </c>
      <c r="E919" s="4" t="s">
        <v>3</v>
      </c>
      <c r="F919" s="2" t="str">
        <f t="shared" si="29"/>
        <v>Non-routine cognitive</v>
      </c>
    </row>
    <row r="920" spans="1:6" ht="28.5" x14ac:dyDescent="0.4">
      <c r="A920" s="3">
        <v>3332</v>
      </c>
      <c r="B920" s="3" t="str">
        <f t="shared" si="28"/>
        <v>3</v>
      </c>
      <c r="C920" s="4" t="s">
        <v>245</v>
      </c>
      <c r="D920" s="8" t="s">
        <v>1877</v>
      </c>
      <c r="E920" s="4" t="s">
        <v>3</v>
      </c>
      <c r="F920" s="2" t="str">
        <f t="shared" si="29"/>
        <v>Non-routine cognitive</v>
      </c>
    </row>
    <row r="921" spans="1:6" ht="42.75" x14ac:dyDescent="0.4">
      <c r="A921" s="3">
        <v>3334</v>
      </c>
      <c r="B921" s="3" t="str">
        <f t="shared" si="28"/>
        <v>3</v>
      </c>
      <c r="C921" s="4" t="s">
        <v>247</v>
      </c>
      <c r="D921" s="8" t="s">
        <v>1878</v>
      </c>
      <c r="E921" s="4" t="s">
        <v>50</v>
      </c>
      <c r="F921" s="2" t="str">
        <f t="shared" si="29"/>
        <v>Routine cognitive</v>
      </c>
    </row>
    <row r="922" spans="1:6" ht="42.75" x14ac:dyDescent="0.4">
      <c r="A922" s="3">
        <v>3334</v>
      </c>
      <c r="B922" s="3" t="str">
        <f t="shared" si="28"/>
        <v>3</v>
      </c>
      <c r="C922" s="4" t="s">
        <v>247</v>
      </c>
      <c r="D922" s="8" t="s">
        <v>1879</v>
      </c>
      <c r="E922" s="4" t="s">
        <v>50</v>
      </c>
      <c r="F922" s="2" t="str">
        <f t="shared" si="29"/>
        <v>Routine cognitive</v>
      </c>
    </row>
    <row r="923" spans="1:6" ht="28.5" x14ac:dyDescent="0.4">
      <c r="A923" s="3">
        <v>3334</v>
      </c>
      <c r="B923" s="3" t="str">
        <f t="shared" si="28"/>
        <v>3</v>
      </c>
      <c r="C923" s="4" t="s">
        <v>247</v>
      </c>
      <c r="D923" s="10" t="s">
        <v>1880</v>
      </c>
      <c r="E923" s="4" t="s">
        <v>3</v>
      </c>
      <c r="F923" s="2" t="str">
        <f t="shared" si="29"/>
        <v>Non-routine cognitive</v>
      </c>
    </row>
    <row r="924" spans="1:6" ht="28.5" x14ac:dyDescent="0.4">
      <c r="A924" s="3">
        <v>3334</v>
      </c>
      <c r="B924" s="3" t="str">
        <f t="shared" si="28"/>
        <v>3</v>
      </c>
      <c r="C924" s="4" t="s">
        <v>247</v>
      </c>
      <c r="D924" s="10" t="s">
        <v>1881</v>
      </c>
      <c r="E924" s="4" t="s">
        <v>4</v>
      </c>
      <c r="F924" s="2" t="str">
        <f t="shared" si="29"/>
        <v>Non-routine cognitive</v>
      </c>
    </row>
    <row r="925" spans="1:6" ht="28.5" x14ac:dyDescent="0.4">
      <c r="A925" s="3">
        <v>3334</v>
      </c>
      <c r="B925" s="3" t="str">
        <f t="shared" si="28"/>
        <v>3</v>
      </c>
      <c r="C925" s="4" t="s">
        <v>247</v>
      </c>
      <c r="D925" s="8" t="s">
        <v>1882</v>
      </c>
      <c r="E925" s="4" t="s">
        <v>3</v>
      </c>
      <c r="F925" s="2" t="str">
        <f t="shared" si="29"/>
        <v>Non-routine cognitive</v>
      </c>
    </row>
    <row r="926" spans="1:6" ht="42.75" x14ac:dyDescent="0.4">
      <c r="A926" s="3">
        <v>3334</v>
      </c>
      <c r="B926" s="3" t="str">
        <f t="shared" si="28"/>
        <v>3</v>
      </c>
      <c r="C926" s="4" t="s">
        <v>247</v>
      </c>
      <c r="D926" s="8" t="s">
        <v>1883</v>
      </c>
      <c r="E926" s="4" t="s">
        <v>3</v>
      </c>
      <c r="F926" s="2" t="str">
        <f t="shared" si="29"/>
        <v>Non-routine cognitive</v>
      </c>
    </row>
    <row r="927" spans="1:6" ht="28.5" x14ac:dyDescent="0.4">
      <c r="A927" s="3">
        <v>3334</v>
      </c>
      <c r="B927" s="3" t="str">
        <f t="shared" si="28"/>
        <v>3</v>
      </c>
      <c r="C927" s="4" t="s">
        <v>247</v>
      </c>
      <c r="D927" s="5" t="s">
        <v>1884</v>
      </c>
      <c r="E927" s="4" t="s">
        <v>50</v>
      </c>
      <c r="F927" s="2" t="str">
        <f t="shared" si="29"/>
        <v>Routine cognitive</v>
      </c>
    </row>
    <row r="928" spans="1:6" ht="28.5" x14ac:dyDescent="0.4">
      <c r="A928" s="3">
        <v>3339</v>
      </c>
      <c r="B928" s="3" t="str">
        <f t="shared" si="28"/>
        <v>3</v>
      </c>
      <c r="C928" s="4" t="s">
        <v>248</v>
      </c>
      <c r="D928" s="6" t="s">
        <v>249</v>
      </c>
      <c r="E928" s="4" t="s">
        <v>50</v>
      </c>
      <c r="F928" s="2" t="str">
        <f t="shared" si="29"/>
        <v>Routine cognitive</v>
      </c>
    </row>
    <row r="929" spans="1:6" ht="42.75" x14ac:dyDescent="0.4">
      <c r="A929" s="3">
        <v>3339</v>
      </c>
      <c r="B929" s="3" t="str">
        <f t="shared" si="28"/>
        <v>3</v>
      </c>
      <c r="C929" s="4" t="s">
        <v>248</v>
      </c>
      <c r="D929" s="8" t="s">
        <v>1885</v>
      </c>
      <c r="E929" s="4" t="s">
        <v>50</v>
      </c>
      <c r="F929" s="2" t="str">
        <f t="shared" si="29"/>
        <v>Routine cognitive</v>
      </c>
    </row>
    <row r="930" spans="1:6" ht="42.75" x14ac:dyDescent="0.4">
      <c r="A930" s="3">
        <v>3339</v>
      </c>
      <c r="B930" s="3" t="str">
        <f t="shared" si="28"/>
        <v>3</v>
      </c>
      <c r="C930" s="4" t="s">
        <v>248</v>
      </c>
      <c r="D930" s="8" t="s">
        <v>1886</v>
      </c>
      <c r="E930" s="4" t="s">
        <v>50</v>
      </c>
      <c r="F930" s="2" t="str">
        <f t="shared" si="29"/>
        <v>Routine cognitive</v>
      </c>
    </row>
    <row r="931" spans="1:6" ht="42.75" x14ac:dyDescent="0.4">
      <c r="A931" s="3">
        <v>3339</v>
      </c>
      <c r="B931" s="3" t="str">
        <f t="shared" si="28"/>
        <v>3</v>
      </c>
      <c r="C931" s="4" t="s">
        <v>248</v>
      </c>
      <c r="D931" s="5" t="s">
        <v>1887</v>
      </c>
      <c r="E931" s="4" t="s">
        <v>50</v>
      </c>
      <c r="F931" s="2" t="str">
        <f t="shared" si="29"/>
        <v>Routine cognitive</v>
      </c>
    </row>
    <row r="932" spans="1:6" ht="28.5" x14ac:dyDescent="0.4">
      <c r="A932" s="3">
        <v>3339</v>
      </c>
      <c r="B932" s="3" t="str">
        <f t="shared" si="28"/>
        <v>3</v>
      </c>
      <c r="C932" s="4" t="s">
        <v>248</v>
      </c>
      <c r="D932" s="8" t="s">
        <v>1888</v>
      </c>
      <c r="E932" s="4" t="s">
        <v>50</v>
      </c>
      <c r="F932" s="2" t="str">
        <f t="shared" si="29"/>
        <v>Routine cognitive</v>
      </c>
    </row>
    <row r="933" spans="1:6" ht="28.5" x14ac:dyDescent="0.4">
      <c r="A933" s="3">
        <v>3339</v>
      </c>
      <c r="B933" s="3" t="str">
        <f t="shared" si="28"/>
        <v>3</v>
      </c>
      <c r="C933" s="4" t="s">
        <v>248</v>
      </c>
      <c r="D933" s="5" t="s">
        <v>1889</v>
      </c>
      <c r="E933" s="4" t="s">
        <v>3</v>
      </c>
      <c r="F933" s="2" t="str">
        <f t="shared" si="29"/>
        <v>Non-routine cognitive</v>
      </c>
    </row>
    <row r="934" spans="1:6" ht="71.25" x14ac:dyDescent="0.4">
      <c r="A934" s="3">
        <v>3341</v>
      </c>
      <c r="B934" s="3" t="str">
        <f t="shared" si="28"/>
        <v>3</v>
      </c>
      <c r="C934" s="4" t="s">
        <v>250</v>
      </c>
      <c r="D934" s="5" t="s">
        <v>1890</v>
      </c>
      <c r="E934" s="4" t="s">
        <v>3</v>
      </c>
      <c r="F934" s="2" t="str">
        <f t="shared" si="29"/>
        <v>Non-routine cognitive</v>
      </c>
    </row>
    <row r="935" spans="1:6" ht="42.75" x14ac:dyDescent="0.4">
      <c r="A935" s="3">
        <v>3341</v>
      </c>
      <c r="B935" s="3" t="str">
        <f t="shared" si="28"/>
        <v>3</v>
      </c>
      <c r="C935" s="4" t="s">
        <v>250</v>
      </c>
      <c r="D935" s="5" t="s">
        <v>1891</v>
      </c>
      <c r="E935" s="4" t="s">
        <v>3</v>
      </c>
      <c r="F935" s="2" t="str">
        <f t="shared" si="29"/>
        <v>Non-routine cognitive</v>
      </c>
    </row>
    <row r="936" spans="1:6" ht="42.75" x14ac:dyDescent="0.4">
      <c r="A936" s="3">
        <v>3341</v>
      </c>
      <c r="B936" s="3" t="str">
        <f t="shared" si="28"/>
        <v>3</v>
      </c>
      <c r="C936" s="4" t="s">
        <v>250</v>
      </c>
      <c r="D936" s="5" t="s">
        <v>1892</v>
      </c>
      <c r="E936" s="4" t="s">
        <v>3</v>
      </c>
      <c r="F936" s="2" t="str">
        <f t="shared" si="29"/>
        <v>Non-routine cognitive</v>
      </c>
    </row>
    <row r="937" spans="1:6" ht="42.75" x14ac:dyDescent="0.4">
      <c r="A937" s="3">
        <v>3341</v>
      </c>
      <c r="B937" s="3" t="str">
        <f t="shared" si="28"/>
        <v>3</v>
      </c>
      <c r="C937" s="4" t="s">
        <v>250</v>
      </c>
      <c r="D937" s="5" t="s">
        <v>1893</v>
      </c>
      <c r="E937" s="4" t="s">
        <v>3</v>
      </c>
      <c r="F937" s="2" t="str">
        <f t="shared" si="29"/>
        <v>Non-routine cognitive</v>
      </c>
    </row>
    <row r="938" spans="1:6" ht="42.75" x14ac:dyDescent="0.4">
      <c r="A938" s="3">
        <v>3341</v>
      </c>
      <c r="B938" s="3" t="str">
        <f t="shared" si="28"/>
        <v>3</v>
      </c>
      <c r="C938" s="4" t="s">
        <v>250</v>
      </c>
      <c r="D938" s="5" t="s">
        <v>1894</v>
      </c>
      <c r="E938" s="4" t="s">
        <v>4</v>
      </c>
      <c r="F938" s="2" t="str">
        <f t="shared" si="29"/>
        <v>Non-routine cognitive</v>
      </c>
    </row>
    <row r="939" spans="1:6" ht="28.5" x14ac:dyDescent="0.4">
      <c r="A939" s="3">
        <v>3341</v>
      </c>
      <c r="B939" s="3" t="str">
        <f t="shared" si="28"/>
        <v>3</v>
      </c>
      <c r="C939" s="4" t="s">
        <v>250</v>
      </c>
      <c r="D939" s="8" t="s">
        <v>1895</v>
      </c>
      <c r="E939" s="4" t="s">
        <v>3</v>
      </c>
      <c r="F939" s="2" t="str">
        <f t="shared" si="29"/>
        <v>Non-routine cognitive</v>
      </c>
    </row>
    <row r="940" spans="1:6" ht="42.75" x14ac:dyDescent="0.4">
      <c r="A940" s="3">
        <v>3342</v>
      </c>
      <c r="B940" s="3" t="str">
        <f t="shared" si="28"/>
        <v>3</v>
      </c>
      <c r="C940" s="4" t="s">
        <v>251</v>
      </c>
      <c r="D940" s="8" t="s">
        <v>1896</v>
      </c>
      <c r="E940" s="4" t="s">
        <v>50</v>
      </c>
      <c r="F940" s="2" t="str">
        <f t="shared" si="29"/>
        <v>Routine cognitive</v>
      </c>
    </row>
    <row r="941" spans="1:6" ht="42.75" x14ac:dyDescent="0.4">
      <c r="A941" s="3">
        <v>3342</v>
      </c>
      <c r="B941" s="3" t="str">
        <f t="shared" si="28"/>
        <v>3</v>
      </c>
      <c r="C941" s="4" t="s">
        <v>251</v>
      </c>
      <c r="D941" s="5" t="s">
        <v>1897</v>
      </c>
      <c r="E941" s="4" t="s">
        <v>50</v>
      </c>
      <c r="F941" s="2" t="str">
        <f t="shared" si="29"/>
        <v>Routine cognitive</v>
      </c>
    </row>
    <row r="942" spans="1:6" ht="28.5" x14ac:dyDescent="0.4">
      <c r="A942" s="3">
        <v>3342</v>
      </c>
      <c r="B942" s="3" t="str">
        <f t="shared" si="28"/>
        <v>3</v>
      </c>
      <c r="C942" s="4" t="s">
        <v>251</v>
      </c>
      <c r="D942" s="8" t="s">
        <v>1898</v>
      </c>
      <c r="E942" s="4" t="s">
        <v>50</v>
      </c>
      <c r="F942" s="2" t="str">
        <f t="shared" si="29"/>
        <v>Routine cognitive</v>
      </c>
    </row>
    <row r="943" spans="1:6" ht="28.5" x14ac:dyDescent="0.4">
      <c r="A943" s="3">
        <v>3342</v>
      </c>
      <c r="B943" s="3" t="str">
        <f t="shared" si="28"/>
        <v>3</v>
      </c>
      <c r="C943" s="4" t="s">
        <v>251</v>
      </c>
      <c r="D943" s="8" t="s">
        <v>1899</v>
      </c>
      <c r="E943" s="4" t="s">
        <v>50</v>
      </c>
      <c r="F943" s="2" t="str">
        <f t="shared" si="29"/>
        <v>Routine cognitive</v>
      </c>
    </row>
    <row r="944" spans="1:6" ht="28.5" x14ac:dyDescent="0.4">
      <c r="A944" s="3">
        <v>3342</v>
      </c>
      <c r="B944" s="3" t="str">
        <f t="shared" si="28"/>
        <v>3</v>
      </c>
      <c r="C944" s="4" t="s">
        <v>251</v>
      </c>
      <c r="D944" s="10" t="s">
        <v>1900</v>
      </c>
      <c r="E944" s="4" t="s">
        <v>50</v>
      </c>
      <c r="F944" s="2" t="str">
        <f t="shared" si="29"/>
        <v>Routine cognitive</v>
      </c>
    </row>
    <row r="945" spans="1:6" ht="42.75" x14ac:dyDescent="0.4">
      <c r="A945" s="3">
        <v>3342</v>
      </c>
      <c r="B945" s="3" t="str">
        <f t="shared" si="28"/>
        <v>3</v>
      </c>
      <c r="C945" s="4" t="s">
        <v>251</v>
      </c>
      <c r="D945" s="8" t="s">
        <v>1901</v>
      </c>
      <c r="E945" s="4" t="s">
        <v>50</v>
      </c>
      <c r="F945" s="2" t="str">
        <f t="shared" si="29"/>
        <v>Routine cognitive</v>
      </c>
    </row>
    <row r="946" spans="1:6" x14ac:dyDescent="0.4">
      <c r="A946" s="3">
        <v>3342</v>
      </c>
      <c r="B946" s="3" t="str">
        <f t="shared" si="28"/>
        <v>3</v>
      </c>
      <c r="C946" s="4" t="s">
        <v>251</v>
      </c>
      <c r="D946" s="7" t="s">
        <v>252</v>
      </c>
      <c r="E946" s="4" t="s">
        <v>3</v>
      </c>
      <c r="F946" s="2" t="str">
        <f t="shared" si="29"/>
        <v>Non-routine cognitive</v>
      </c>
    </row>
    <row r="947" spans="1:6" ht="28.5" x14ac:dyDescent="0.4">
      <c r="A947" s="3">
        <v>3343</v>
      </c>
      <c r="B947" s="3" t="str">
        <f t="shared" si="28"/>
        <v>3</v>
      </c>
      <c r="C947" s="4" t="s">
        <v>253</v>
      </c>
      <c r="D947" s="6" t="s">
        <v>254</v>
      </c>
      <c r="E947" s="4" t="s">
        <v>50</v>
      </c>
      <c r="F947" s="2" t="str">
        <f t="shared" si="29"/>
        <v>Routine cognitive</v>
      </c>
    </row>
    <row r="948" spans="1:6" ht="28.5" x14ac:dyDescent="0.4">
      <c r="A948" s="3">
        <v>3343</v>
      </c>
      <c r="B948" s="3" t="str">
        <f t="shared" si="28"/>
        <v>3</v>
      </c>
      <c r="C948" s="5" t="s">
        <v>1902</v>
      </c>
      <c r="D948" s="8" t="s">
        <v>1903</v>
      </c>
      <c r="E948" s="4" t="s">
        <v>50</v>
      </c>
      <c r="F948" s="2" t="str">
        <f t="shared" si="29"/>
        <v>Routine cognitive</v>
      </c>
    </row>
    <row r="949" spans="1:6" ht="42.75" x14ac:dyDescent="0.4">
      <c r="A949" s="3">
        <v>3343</v>
      </c>
      <c r="B949" s="3" t="str">
        <f t="shared" si="28"/>
        <v>3</v>
      </c>
      <c r="C949" s="4" t="s">
        <v>253</v>
      </c>
      <c r="D949" s="5" t="s">
        <v>1904</v>
      </c>
      <c r="E949" s="4" t="s">
        <v>50</v>
      </c>
      <c r="F949" s="2" t="str">
        <f t="shared" si="29"/>
        <v>Routine cognitive</v>
      </c>
    </row>
    <row r="950" spans="1:6" ht="42.75" x14ac:dyDescent="0.4">
      <c r="A950" s="3">
        <v>3343</v>
      </c>
      <c r="B950" s="3" t="str">
        <f t="shared" si="28"/>
        <v>3</v>
      </c>
      <c r="C950" s="4" t="s">
        <v>253</v>
      </c>
      <c r="D950" s="5" t="s">
        <v>1905</v>
      </c>
      <c r="E950" s="4" t="s">
        <v>50</v>
      </c>
      <c r="F950" s="2" t="str">
        <f t="shared" si="29"/>
        <v>Routine cognitive</v>
      </c>
    </row>
    <row r="951" spans="1:6" ht="28.5" x14ac:dyDescent="0.4">
      <c r="A951" s="3">
        <v>3343</v>
      </c>
      <c r="B951" s="3" t="str">
        <f t="shared" si="28"/>
        <v>3</v>
      </c>
      <c r="C951" s="4" t="s">
        <v>253</v>
      </c>
      <c r="D951" s="8" t="s">
        <v>1906</v>
      </c>
      <c r="E951" s="4" t="s">
        <v>3</v>
      </c>
      <c r="F951" s="2" t="str">
        <f t="shared" si="29"/>
        <v>Non-routine cognitive</v>
      </c>
    </row>
    <row r="952" spans="1:6" ht="28.5" x14ac:dyDescent="0.4">
      <c r="A952" s="3">
        <v>3343</v>
      </c>
      <c r="B952" s="3" t="str">
        <f t="shared" si="28"/>
        <v>3</v>
      </c>
      <c r="C952" s="4" t="s">
        <v>253</v>
      </c>
      <c r="D952" s="10" t="s">
        <v>1907</v>
      </c>
      <c r="E952" s="4" t="s">
        <v>50</v>
      </c>
      <c r="F952" s="2" t="str">
        <f t="shared" si="29"/>
        <v>Routine cognitive</v>
      </c>
    </row>
    <row r="953" spans="1:6" ht="42.75" x14ac:dyDescent="0.4">
      <c r="A953" s="3">
        <v>3343</v>
      </c>
      <c r="B953" s="3" t="str">
        <f t="shared" si="28"/>
        <v>3</v>
      </c>
      <c r="C953" s="4" t="s">
        <v>253</v>
      </c>
      <c r="D953" s="8" t="s">
        <v>1908</v>
      </c>
      <c r="E953" s="4" t="s">
        <v>50</v>
      </c>
      <c r="F953" s="2" t="str">
        <f t="shared" si="29"/>
        <v>Routine cognitive</v>
      </c>
    </row>
    <row r="954" spans="1:6" ht="28.5" x14ac:dyDescent="0.4">
      <c r="A954" s="3">
        <v>3343</v>
      </c>
      <c r="B954" s="3" t="str">
        <f t="shared" si="28"/>
        <v>3</v>
      </c>
      <c r="C954" s="5" t="s">
        <v>1902</v>
      </c>
      <c r="D954" s="7" t="s">
        <v>255</v>
      </c>
      <c r="E954" s="4" t="s">
        <v>3</v>
      </c>
      <c r="F954" s="2" t="str">
        <f t="shared" si="29"/>
        <v>Non-routine cognitive</v>
      </c>
    </row>
    <row r="955" spans="1:6" ht="28.5" x14ac:dyDescent="0.4">
      <c r="A955" s="3">
        <v>3344</v>
      </c>
      <c r="B955" s="3" t="str">
        <f t="shared" si="28"/>
        <v>3</v>
      </c>
      <c r="C955" s="4" t="s">
        <v>256</v>
      </c>
      <c r="D955" s="5" t="s">
        <v>1909</v>
      </c>
      <c r="E955" s="4" t="s">
        <v>50</v>
      </c>
      <c r="F955" s="2" t="str">
        <f t="shared" si="29"/>
        <v>Routine cognitive</v>
      </c>
    </row>
    <row r="956" spans="1:6" ht="42.75" x14ac:dyDescent="0.4">
      <c r="A956" s="3">
        <v>3344</v>
      </c>
      <c r="B956" s="3" t="str">
        <f t="shared" si="28"/>
        <v>3</v>
      </c>
      <c r="C956" s="4" t="s">
        <v>256</v>
      </c>
      <c r="D956" s="8" t="s">
        <v>1910</v>
      </c>
      <c r="E956" s="4" t="s">
        <v>50</v>
      </c>
      <c r="F956" s="2" t="str">
        <f t="shared" si="29"/>
        <v>Routine cognitive</v>
      </c>
    </row>
    <row r="957" spans="1:6" ht="28.5" x14ac:dyDescent="0.4">
      <c r="A957" s="3">
        <v>3344</v>
      </c>
      <c r="B957" s="3" t="str">
        <f t="shared" si="28"/>
        <v>3</v>
      </c>
      <c r="C957" s="4" t="s">
        <v>256</v>
      </c>
      <c r="D957" s="10" t="s">
        <v>1911</v>
      </c>
      <c r="E957" s="4" t="s">
        <v>3</v>
      </c>
      <c r="F957" s="2" t="str">
        <f t="shared" si="29"/>
        <v>Non-routine cognitive</v>
      </c>
    </row>
    <row r="958" spans="1:6" x14ac:dyDescent="0.4">
      <c r="A958" s="3">
        <v>3344</v>
      </c>
      <c r="B958" s="3" t="str">
        <f t="shared" si="28"/>
        <v>3</v>
      </c>
      <c r="C958" s="4" t="s">
        <v>256</v>
      </c>
      <c r="D958" s="6" t="s">
        <v>257</v>
      </c>
      <c r="E958" s="4" t="s">
        <v>50</v>
      </c>
      <c r="F958" s="2" t="str">
        <f t="shared" si="29"/>
        <v>Routine cognitive</v>
      </c>
    </row>
    <row r="959" spans="1:6" ht="28.5" x14ac:dyDescent="0.4">
      <c r="A959" s="3">
        <v>3344</v>
      </c>
      <c r="B959" s="3" t="str">
        <f t="shared" si="28"/>
        <v>3</v>
      </c>
      <c r="C959" s="4" t="s">
        <v>256</v>
      </c>
      <c r="D959" s="8" t="s">
        <v>1912</v>
      </c>
      <c r="E959" s="4" t="s">
        <v>50</v>
      </c>
      <c r="F959" s="2" t="str">
        <f t="shared" si="29"/>
        <v>Routine cognitive</v>
      </c>
    </row>
    <row r="960" spans="1:6" ht="28.5" x14ac:dyDescent="0.4">
      <c r="A960" s="3">
        <v>3344</v>
      </c>
      <c r="B960" s="3" t="str">
        <f t="shared" si="28"/>
        <v>3</v>
      </c>
      <c r="C960" s="4" t="s">
        <v>256</v>
      </c>
      <c r="D960" s="11" t="s">
        <v>1913</v>
      </c>
      <c r="E960" s="4" t="s">
        <v>4</v>
      </c>
      <c r="F960" s="2" t="str">
        <f t="shared" si="29"/>
        <v>Non-routine cognitive</v>
      </c>
    </row>
    <row r="961" spans="1:6" ht="42.75" x14ac:dyDescent="0.4">
      <c r="A961" s="3">
        <v>3344</v>
      </c>
      <c r="B961" s="3" t="str">
        <f t="shared" si="28"/>
        <v>3</v>
      </c>
      <c r="C961" s="4" t="s">
        <v>256</v>
      </c>
      <c r="D961" s="5" t="s">
        <v>1914</v>
      </c>
      <c r="E961" s="4" t="s">
        <v>4</v>
      </c>
      <c r="F961" s="2" t="str">
        <f t="shared" si="29"/>
        <v>Non-routine cognitive</v>
      </c>
    </row>
    <row r="962" spans="1:6" ht="28.5" x14ac:dyDescent="0.4">
      <c r="A962" s="3">
        <v>3344</v>
      </c>
      <c r="B962" s="3" t="str">
        <f t="shared" si="28"/>
        <v>3</v>
      </c>
      <c r="C962" s="4" t="s">
        <v>256</v>
      </c>
      <c r="D962" s="10" t="s">
        <v>1915</v>
      </c>
      <c r="E962" s="4" t="s">
        <v>3</v>
      </c>
      <c r="F962" s="2" t="str">
        <f t="shared" si="29"/>
        <v>Non-routine cognitive</v>
      </c>
    </row>
    <row r="963" spans="1:6" ht="42.75" x14ac:dyDescent="0.4">
      <c r="A963" s="3">
        <v>3351</v>
      </c>
      <c r="B963" s="3" t="str">
        <f t="shared" ref="B963:B1026" si="30">LEFT(A963,1)</f>
        <v>3</v>
      </c>
      <c r="C963" s="4" t="s">
        <v>258</v>
      </c>
      <c r="D963" s="5" t="s">
        <v>1916</v>
      </c>
      <c r="E963" s="4" t="s">
        <v>106</v>
      </c>
      <c r="F963" s="2" t="str">
        <f t="shared" ref="F963:F1026" si="31">IF(E963="Non-routine interpersonal","Non-routine cognitive",IF(E963="Non-routine analytical","Non-routine cognitive",IF(E963="Non-routine manual physical","Non-routine manual",E963)))</f>
        <v>Non-routine manual</v>
      </c>
    </row>
    <row r="964" spans="1:6" ht="57" x14ac:dyDescent="0.4">
      <c r="A964" s="3">
        <v>3351</v>
      </c>
      <c r="B964" s="3" t="str">
        <f t="shared" si="30"/>
        <v>3</v>
      </c>
      <c r="C964" s="4" t="s">
        <v>258</v>
      </c>
      <c r="D964" s="5" t="s">
        <v>1917</v>
      </c>
      <c r="E964" s="4" t="s">
        <v>50</v>
      </c>
      <c r="F964" s="2" t="str">
        <f t="shared" si="31"/>
        <v>Routine cognitive</v>
      </c>
    </row>
    <row r="965" spans="1:6" ht="57" x14ac:dyDescent="0.4">
      <c r="A965" s="3">
        <v>3351</v>
      </c>
      <c r="B965" s="3" t="str">
        <f t="shared" si="30"/>
        <v>3</v>
      </c>
      <c r="C965" s="4" t="s">
        <v>258</v>
      </c>
      <c r="D965" s="5" t="s">
        <v>1918</v>
      </c>
      <c r="E965" s="4" t="s">
        <v>50</v>
      </c>
      <c r="F965" s="2" t="str">
        <f t="shared" si="31"/>
        <v>Routine cognitive</v>
      </c>
    </row>
    <row r="966" spans="1:6" ht="71.25" x14ac:dyDescent="0.4">
      <c r="A966" s="3">
        <v>3351</v>
      </c>
      <c r="B966" s="3" t="str">
        <f t="shared" si="30"/>
        <v>3</v>
      </c>
      <c r="C966" s="4" t="s">
        <v>258</v>
      </c>
      <c r="D966" s="5" t="s">
        <v>1919</v>
      </c>
      <c r="E966" s="4" t="s">
        <v>50</v>
      </c>
      <c r="F966" s="2" t="str">
        <f t="shared" si="31"/>
        <v>Routine cognitive</v>
      </c>
    </row>
    <row r="967" spans="1:6" ht="42.75" x14ac:dyDescent="0.4">
      <c r="A967" s="3">
        <v>3351</v>
      </c>
      <c r="B967" s="3" t="str">
        <f t="shared" si="30"/>
        <v>3</v>
      </c>
      <c r="C967" s="4" t="s">
        <v>258</v>
      </c>
      <c r="D967" s="8" t="s">
        <v>1920</v>
      </c>
      <c r="E967" s="4" t="s">
        <v>182</v>
      </c>
      <c r="F967" s="2" t="str">
        <f t="shared" si="31"/>
        <v>Routine manual</v>
      </c>
    </row>
    <row r="968" spans="1:6" ht="42.75" x14ac:dyDescent="0.4">
      <c r="A968" s="3">
        <v>3351</v>
      </c>
      <c r="B968" s="3" t="str">
        <f t="shared" si="30"/>
        <v>3</v>
      </c>
      <c r="C968" s="4" t="s">
        <v>258</v>
      </c>
      <c r="D968" s="5" t="s">
        <v>1921</v>
      </c>
      <c r="E968" s="4" t="s">
        <v>3</v>
      </c>
      <c r="F968" s="2" t="str">
        <f t="shared" si="31"/>
        <v>Non-routine cognitive</v>
      </c>
    </row>
    <row r="969" spans="1:6" ht="42.75" x14ac:dyDescent="0.4">
      <c r="A969" s="3">
        <v>3351</v>
      </c>
      <c r="B969" s="3" t="str">
        <f t="shared" si="30"/>
        <v>3</v>
      </c>
      <c r="C969" s="4" t="s">
        <v>258</v>
      </c>
      <c r="D969" s="5" t="s">
        <v>1922</v>
      </c>
      <c r="E969" s="4" t="s">
        <v>50</v>
      </c>
      <c r="F969" s="2" t="str">
        <f t="shared" si="31"/>
        <v>Routine cognitive</v>
      </c>
    </row>
    <row r="970" spans="1:6" ht="28.5" x14ac:dyDescent="0.4">
      <c r="A970" s="3">
        <v>3351</v>
      </c>
      <c r="B970" s="3" t="str">
        <f t="shared" si="30"/>
        <v>3</v>
      </c>
      <c r="C970" s="4" t="s">
        <v>258</v>
      </c>
      <c r="D970" s="6" t="s">
        <v>259</v>
      </c>
      <c r="E970" s="4" t="s">
        <v>4</v>
      </c>
      <c r="F970" s="2" t="str">
        <f t="shared" si="31"/>
        <v>Non-routine cognitive</v>
      </c>
    </row>
    <row r="971" spans="1:6" ht="57" x14ac:dyDescent="0.4">
      <c r="A971" s="3">
        <v>3352</v>
      </c>
      <c r="B971" s="3" t="str">
        <f t="shared" si="30"/>
        <v>3</v>
      </c>
      <c r="C971" s="4" t="s">
        <v>260</v>
      </c>
      <c r="D971" s="5" t="s">
        <v>1923</v>
      </c>
      <c r="E971" s="4" t="s">
        <v>4</v>
      </c>
      <c r="F971" s="2" t="str">
        <f t="shared" si="31"/>
        <v>Non-routine cognitive</v>
      </c>
    </row>
    <row r="972" spans="1:6" ht="42.75" x14ac:dyDescent="0.4">
      <c r="A972" s="3">
        <v>3352</v>
      </c>
      <c r="B972" s="3" t="str">
        <f t="shared" si="30"/>
        <v>3</v>
      </c>
      <c r="C972" s="4" t="s">
        <v>260</v>
      </c>
      <c r="D972" s="8" t="s">
        <v>1924</v>
      </c>
      <c r="E972" s="4" t="s">
        <v>4</v>
      </c>
      <c r="F972" s="2" t="str">
        <f t="shared" si="31"/>
        <v>Non-routine cognitive</v>
      </c>
    </row>
    <row r="973" spans="1:6" ht="57" x14ac:dyDescent="0.4">
      <c r="A973" s="3">
        <v>3352</v>
      </c>
      <c r="B973" s="3" t="str">
        <f t="shared" si="30"/>
        <v>3</v>
      </c>
      <c r="C973" s="4" t="s">
        <v>260</v>
      </c>
      <c r="D973" s="5" t="s">
        <v>1925</v>
      </c>
      <c r="E973" s="4" t="s">
        <v>4</v>
      </c>
      <c r="F973" s="2" t="str">
        <f t="shared" si="31"/>
        <v>Non-routine cognitive</v>
      </c>
    </row>
    <row r="974" spans="1:6" ht="42.75" x14ac:dyDescent="0.4">
      <c r="A974" s="3">
        <v>3352</v>
      </c>
      <c r="B974" s="3" t="str">
        <f t="shared" si="30"/>
        <v>3</v>
      </c>
      <c r="C974" s="4" t="s">
        <v>260</v>
      </c>
      <c r="D974" s="8" t="s">
        <v>1926</v>
      </c>
      <c r="E974" s="4" t="s">
        <v>50</v>
      </c>
      <c r="F974" s="2" t="str">
        <f t="shared" si="31"/>
        <v>Routine cognitive</v>
      </c>
    </row>
    <row r="975" spans="1:6" ht="42.75" x14ac:dyDescent="0.4">
      <c r="A975" s="3">
        <v>3355</v>
      </c>
      <c r="B975" s="3" t="str">
        <f t="shared" si="30"/>
        <v>3</v>
      </c>
      <c r="C975" s="4" t="s">
        <v>261</v>
      </c>
      <c r="D975" s="8" t="s">
        <v>1927</v>
      </c>
      <c r="E975" s="4" t="s">
        <v>3</v>
      </c>
      <c r="F975" s="2" t="str">
        <f t="shared" si="31"/>
        <v>Non-routine cognitive</v>
      </c>
    </row>
    <row r="976" spans="1:6" ht="57" x14ac:dyDescent="0.4">
      <c r="A976" s="3">
        <v>3355</v>
      </c>
      <c r="B976" s="3" t="str">
        <f t="shared" si="30"/>
        <v>3</v>
      </c>
      <c r="C976" s="4" t="s">
        <v>261</v>
      </c>
      <c r="D976" s="5" t="s">
        <v>1928</v>
      </c>
      <c r="E976" s="4" t="s">
        <v>4</v>
      </c>
      <c r="F976" s="2" t="str">
        <f t="shared" si="31"/>
        <v>Non-routine cognitive</v>
      </c>
    </row>
    <row r="977" spans="1:6" ht="28.5" x14ac:dyDescent="0.4">
      <c r="A977" s="3">
        <v>3355</v>
      </c>
      <c r="B977" s="3" t="str">
        <f t="shared" si="30"/>
        <v>3</v>
      </c>
      <c r="C977" s="4" t="s">
        <v>261</v>
      </c>
      <c r="D977" s="8" t="s">
        <v>1929</v>
      </c>
      <c r="E977" s="4" t="s">
        <v>4</v>
      </c>
      <c r="F977" s="2" t="str">
        <f t="shared" si="31"/>
        <v>Non-routine cognitive</v>
      </c>
    </row>
    <row r="978" spans="1:6" ht="71.25" x14ac:dyDescent="0.4">
      <c r="A978" s="3">
        <v>3355</v>
      </c>
      <c r="B978" s="3" t="str">
        <f t="shared" si="30"/>
        <v>3</v>
      </c>
      <c r="C978" s="4" t="s">
        <v>261</v>
      </c>
      <c r="D978" s="5" t="s">
        <v>1930</v>
      </c>
      <c r="E978" s="4" t="s">
        <v>3</v>
      </c>
      <c r="F978" s="2" t="str">
        <f t="shared" si="31"/>
        <v>Non-routine cognitive</v>
      </c>
    </row>
    <row r="979" spans="1:6" ht="28.5" x14ac:dyDescent="0.4">
      <c r="A979" s="3">
        <v>3355</v>
      </c>
      <c r="B979" s="3" t="str">
        <f t="shared" si="30"/>
        <v>3</v>
      </c>
      <c r="C979" s="4" t="s">
        <v>261</v>
      </c>
      <c r="D979" s="16" t="s">
        <v>262</v>
      </c>
      <c r="E979" s="4" t="s">
        <v>106</v>
      </c>
      <c r="F979" s="2" t="str">
        <f t="shared" si="31"/>
        <v>Non-routine manual</v>
      </c>
    </row>
    <row r="980" spans="1:6" ht="42.75" x14ac:dyDescent="0.4">
      <c r="A980" s="3">
        <v>3355</v>
      </c>
      <c r="B980" s="3" t="str">
        <f t="shared" si="30"/>
        <v>3</v>
      </c>
      <c r="C980" s="4" t="s">
        <v>261</v>
      </c>
      <c r="D980" s="8" t="s">
        <v>1931</v>
      </c>
      <c r="E980" s="4" t="s">
        <v>4</v>
      </c>
      <c r="F980" s="2" t="str">
        <f t="shared" si="31"/>
        <v>Non-routine cognitive</v>
      </c>
    </row>
    <row r="981" spans="1:6" ht="42.75" x14ac:dyDescent="0.4">
      <c r="A981" s="3">
        <v>3359</v>
      </c>
      <c r="B981" s="3" t="str">
        <f t="shared" si="30"/>
        <v>3</v>
      </c>
      <c r="C981" s="4" t="s">
        <v>263</v>
      </c>
      <c r="D981" s="8" t="s">
        <v>1932</v>
      </c>
      <c r="E981" s="4" t="s">
        <v>50</v>
      </c>
      <c r="F981" s="2" t="str">
        <f t="shared" si="31"/>
        <v>Routine cognitive</v>
      </c>
    </row>
    <row r="982" spans="1:6" ht="28.5" x14ac:dyDescent="0.4">
      <c r="A982" s="3">
        <v>3359</v>
      </c>
      <c r="B982" s="3" t="str">
        <f t="shared" si="30"/>
        <v>3</v>
      </c>
      <c r="C982" s="4" t="s">
        <v>263</v>
      </c>
      <c r="D982" s="5" t="s">
        <v>1933</v>
      </c>
      <c r="E982" s="4" t="s">
        <v>4</v>
      </c>
      <c r="F982" s="2" t="str">
        <f t="shared" si="31"/>
        <v>Non-routine cognitive</v>
      </c>
    </row>
    <row r="983" spans="1:6" ht="42.75" x14ac:dyDescent="0.4">
      <c r="A983" s="3">
        <v>3359</v>
      </c>
      <c r="B983" s="3" t="str">
        <f t="shared" si="30"/>
        <v>3</v>
      </c>
      <c r="C983" s="4" t="s">
        <v>263</v>
      </c>
      <c r="D983" s="5" t="s">
        <v>1934</v>
      </c>
      <c r="E983" s="4" t="s">
        <v>4</v>
      </c>
      <c r="F983" s="2" t="str">
        <f t="shared" si="31"/>
        <v>Non-routine cognitive</v>
      </c>
    </row>
    <row r="984" spans="1:6" ht="57" x14ac:dyDescent="0.4">
      <c r="A984" s="3">
        <v>3359</v>
      </c>
      <c r="B984" s="3" t="str">
        <f t="shared" si="30"/>
        <v>3</v>
      </c>
      <c r="C984" s="4" t="s">
        <v>263</v>
      </c>
      <c r="D984" s="5" t="s">
        <v>1935</v>
      </c>
      <c r="E984" s="4" t="s">
        <v>50</v>
      </c>
      <c r="F984" s="2" t="str">
        <f t="shared" si="31"/>
        <v>Routine cognitive</v>
      </c>
    </row>
    <row r="985" spans="1:6" ht="42.75" x14ac:dyDescent="0.4">
      <c r="A985" s="3">
        <v>3412</v>
      </c>
      <c r="B985" s="3" t="str">
        <f t="shared" si="30"/>
        <v>3</v>
      </c>
      <c r="C985" s="4" t="s">
        <v>264</v>
      </c>
      <c r="D985" s="8" t="s">
        <v>1936</v>
      </c>
      <c r="E985" s="4" t="s">
        <v>4</v>
      </c>
      <c r="F985" s="2" t="str">
        <f t="shared" si="31"/>
        <v>Non-routine cognitive</v>
      </c>
    </row>
    <row r="986" spans="1:6" ht="42.75" x14ac:dyDescent="0.4">
      <c r="A986" s="3">
        <v>3412</v>
      </c>
      <c r="B986" s="3" t="str">
        <f t="shared" si="30"/>
        <v>3</v>
      </c>
      <c r="C986" s="4" t="s">
        <v>264</v>
      </c>
      <c r="D986" s="5" t="s">
        <v>1937</v>
      </c>
      <c r="E986" s="4" t="s">
        <v>3</v>
      </c>
      <c r="F986" s="2" t="str">
        <f t="shared" si="31"/>
        <v>Non-routine cognitive</v>
      </c>
    </row>
    <row r="987" spans="1:6" ht="42.75" x14ac:dyDescent="0.4">
      <c r="A987" s="3">
        <v>3412</v>
      </c>
      <c r="B987" s="3" t="str">
        <f t="shared" si="30"/>
        <v>3</v>
      </c>
      <c r="C987" s="4" t="s">
        <v>264</v>
      </c>
      <c r="D987" s="5" t="s">
        <v>1938</v>
      </c>
      <c r="E987" s="4" t="s">
        <v>3</v>
      </c>
      <c r="F987" s="2" t="str">
        <f t="shared" si="31"/>
        <v>Non-routine cognitive</v>
      </c>
    </row>
    <row r="988" spans="1:6" ht="57" x14ac:dyDescent="0.4">
      <c r="A988" s="3">
        <v>3412</v>
      </c>
      <c r="B988" s="3" t="str">
        <f t="shared" si="30"/>
        <v>3</v>
      </c>
      <c r="C988" s="4" t="s">
        <v>264</v>
      </c>
      <c r="D988" s="5" t="s">
        <v>1939</v>
      </c>
      <c r="E988" s="4" t="s">
        <v>3</v>
      </c>
      <c r="F988" s="2" t="str">
        <f t="shared" si="31"/>
        <v>Non-routine cognitive</v>
      </c>
    </row>
    <row r="989" spans="1:6" ht="42.75" x14ac:dyDescent="0.4">
      <c r="A989" s="3">
        <v>3412</v>
      </c>
      <c r="B989" s="3" t="str">
        <f t="shared" si="30"/>
        <v>3</v>
      </c>
      <c r="C989" s="4" t="s">
        <v>264</v>
      </c>
      <c r="D989" s="8" t="s">
        <v>1940</v>
      </c>
      <c r="E989" s="4" t="s">
        <v>3</v>
      </c>
      <c r="F989" s="2" t="str">
        <f t="shared" si="31"/>
        <v>Non-routine cognitive</v>
      </c>
    </row>
    <row r="990" spans="1:6" ht="42.75" x14ac:dyDescent="0.4">
      <c r="A990" s="3">
        <v>3412</v>
      </c>
      <c r="B990" s="3" t="str">
        <f t="shared" si="30"/>
        <v>3</v>
      </c>
      <c r="C990" s="4" t="s">
        <v>264</v>
      </c>
      <c r="D990" s="5" t="s">
        <v>1941</v>
      </c>
      <c r="E990" s="4" t="s">
        <v>4</v>
      </c>
      <c r="F990" s="2" t="str">
        <f t="shared" si="31"/>
        <v>Non-routine cognitive</v>
      </c>
    </row>
    <row r="991" spans="1:6" ht="28.5" x14ac:dyDescent="0.4">
      <c r="A991" s="3">
        <v>3412</v>
      </c>
      <c r="B991" s="3" t="str">
        <f t="shared" si="30"/>
        <v>3</v>
      </c>
      <c r="C991" s="5" t="s">
        <v>1942</v>
      </c>
      <c r="D991" s="8" t="s">
        <v>1943</v>
      </c>
      <c r="E991" s="4" t="s">
        <v>4</v>
      </c>
      <c r="F991" s="2" t="str">
        <f t="shared" si="31"/>
        <v>Non-routine cognitive</v>
      </c>
    </row>
    <row r="992" spans="1:6" ht="71.25" x14ac:dyDescent="0.4">
      <c r="A992" s="3">
        <v>3412</v>
      </c>
      <c r="B992" s="3" t="str">
        <f t="shared" si="30"/>
        <v>3</v>
      </c>
      <c r="C992" s="4" t="s">
        <v>264</v>
      </c>
      <c r="D992" s="5" t="s">
        <v>1944</v>
      </c>
      <c r="E992" s="4" t="s">
        <v>4</v>
      </c>
      <c r="F992" s="2" t="str">
        <f t="shared" si="31"/>
        <v>Non-routine cognitive</v>
      </c>
    </row>
    <row r="993" spans="1:6" ht="42.75" x14ac:dyDescent="0.4">
      <c r="A993" s="3">
        <v>3412</v>
      </c>
      <c r="B993" s="3" t="str">
        <f t="shared" si="30"/>
        <v>3</v>
      </c>
      <c r="C993" s="4" t="s">
        <v>264</v>
      </c>
      <c r="D993" s="5" t="s">
        <v>1945</v>
      </c>
      <c r="E993" s="4" t="s">
        <v>4</v>
      </c>
      <c r="F993" s="2" t="str">
        <f t="shared" si="31"/>
        <v>Non-routine cognitive</v>
      </c>
    </row>
    <row r="994" spans="1:6" ht="57" x14ac:dyDescent="0.4">
      <c r="A994" s="3">
        <v>3412</v>
      </c>
      <c r="B994" s="3" t="str">
        <f t="shared" si="30"/>
        <v>3</v>
      </c>
      <c r="C994" s="4" t="s">
        <v>264</v>
      </c>
      <c r="D994" s="5" t="s">
        <v>1946</v>
      </c>
      <c r="E994" s="4" t="s">
        <v>3</v>
      </c>
      <c r="F994" s="2" t="str">
        <f t="shared" si="31"/>
        <v>Non-routine cognitive</v>
      </c>
    </row>
    <row r="995" spans="1:6" x14ac:dyDescent="0.4">
      <c r="A995" s="3">
        <v>3413</v>
      </c>
      <c r="B995" s="3" t="str">
        <f t="shared" si="30"/>
        <v>3</v>
      </c>
      <c r="C995" s="4" t="s">
        <v>265</v>
      </c>
      <c r="D995" s="7" t="s">
        <v>266</v>
      </c>
      <c r="E995" s="4" t="s">
        <v>3</v>
      </c>
      <c r="F995" s="2" t="str">
        <f t="shared" si="31"/>
        <v>Non-routine cognitive</v>
      </c>
    </row>
    <row r="996" spans="1:6" ht="28.5" x14ac:dyDescent="0.4">
      <c r="A996" s="3">
        <v>3413</v>
      </c>
      <c r="B996" s="3" t="str">
        <f t="shared" si="30"/>
        <v>3</v>
      </c>
      <c r="C996" s="4" t="s">
        <v>265</v>
      </c>
      <c r="D996" s="5" t="s">
        <v>1947</v>
      </c>
      <c r="E996" s="4" t="s">
        <v>3</v>
      </c>
      <c r="F996" s="2" t="str">
        <f t="shared" si="31"/>
        <v>Non-routine cognitive</v>
      </c>
    </row>
    <row r="997" spans="1:6" ht="28.5" x14ac:dyDescent="0.4">
      <c r="A997" s="3">
        <v>3413</v>
      </c>
      <c r="B997" s="3" t="str">
        <f t="shared" si="30"/>
        <v>3</v>
      </c>
      <c r="C997" s="4" t="s">
        <v>265</v>
      </c>
      <c r="D997" s="8" t="s">
        <v>1948</v>
      </c>
      <c r="E997" s="4" t="s">
        <v>3</v>
      </c>
      <c r="F997" s="2" t="str">
        <f t="shared" si="31"/>
        <v>Non-routine cognitive</v>
      </c>
    </row>
    <row r="998" spans="1:6" ht="42.75" x14ac:dyDescent="0.4">
      <c r="A998" s="3">
        <v>3413</v>
      </c>
      <c r="B998" s="3" t="str">
        <f t="shared" si="30"/>
        <v>3</v>
      </c>
      <c r="C998" s="4" t="s">
        <v>265</v>
      </c>
      <c r="D998" s="5" t="s">
        <v>1949</v>
      </c>
      <c r="E998" s="4" t="s">
        <v>3</v>
      </c>
      <c r="F998" s="2" t="str">
        <f t="shared" si="31"/>
        <v>Non-routine cognitive</v>
      </c>
    </row>
    <row r="999" spans="1:6" ht="42.75" x14ac:dyDescent="0.4">
      <c r="A999" s="3">
        <v>3413</v>
      </c>
      <c r="B999" s="3" t="str">
        <f t="shared" si="30"/>
        <v>3</v>
      </c>
      <c r="C999" s="4" t="s">
        <v>265</v>
      </c>
      <c r="D999" s="5" t="s">
        <v>1950</v>
      </c>
      <c r="E999" s="4" t="s">
        <v>50</v>
      </c>
      <c r="F999" s="2" t="str">
        <f t="shared" si="31"/>
        <v>Routine cognitive</v>
      </c>
    </row>
    <row r="1000" spans="1:6" ht="28.5" x14ac:dyDescent="0.4">
      <c r="A1000" s="3">
        <v>3413</v>
      </c>
      <c r="B1000" s="3" t="str">
        <f t="shared" si="30"/>
        <v>3</v>
      </c>
      <c r="C1000" s="4" t="s">
        <v>265</v>
      </c>
      <c r="D1000" s="8" t="s">
        <v>1951</v>
      </c>
      <c r="E1000" s="4" t="s">
        <v>4</v>
      </c>
      <c r="F1000" s="2" t="str">
        <f t="shared" si="31"/>
        <v>Non-routine cognitive</v>
      </c>
    </row>
    <row r="1001" spans="1:6" x14ac:dyDescent="0.4">
      <c r="A1001" s="3">
        <v>3421</v>
      </c>
      <c r="B1001" s="3" t="str">
        <f t="shared" si="30"/>
        <v>3</v>
      </c>
      <c r="C1001" s="4" t="s">
        <v>267</v>
      </c>
      <c r="D1001" s="6" t="s">
        <v>268</v>
      </c>
      <c r="E1001" s="4" t="s">
        <v>3</v>
      </c>
      <c r="F1001" s="2" t="str">
        <f t="shared" si="31"/>
        <v>Non-routine cognitive</v>
      </c>
    </row>
    <row r="1002" spans="1:6" ht="42.75" x14ac:dyDescent="0.4">
      <c r="A1002" s="3">
        <v>3421</v>
      </c>
      <c r="B1002" s="3" t="str">
        <f t="shared" si="30"/>
        <v>3</v>
      </c>
      <c r="C1002" s="4" t="s">
        <v>267</v>
      </c>
      <c r="D1002" s="5" t="s">
        <v>1952</v>
      </c>
      <c r="E1002" s="4" t="s">
        <v>106</v>
      </c>
      <c r="F1002" s="2" t="str">
        <f t="shared" si="31"/>
        <v>Non-routine manual</v>
      </c>
    </row>
    <row r="1003" spans="1:6" ht="28.5" x14ac:dyDescent="0.4">
      <c r="A1003" s="3">
        <v>3421</v>
      </c>
      <c r="B1003" s="3" t="str">
        <f t="shared" si="30"/>
        <v>3</v>
      </c>
      <c r="C1003" s="4" t="s">
        <v>267</v>
      </c>
      <c r="D1003" s="10" t="s">
        <v>1953</v>
      </c>
      <c r="E1003" s="4" t="s">
        <v>3</v>
      </c>
      <c r="F1003" s="2" t="str">
        <f t="shared" si="31"/>
        <v>Non-routine cognitive</v>
      </c>
    </row>
    <row r="1004" spans="1:6" ht="28.5" x14ac:dyDescent="0.4">
      <c r="A1004" s="3">
        <v>3421</v>
      </c>
      <c r="B1004" s="3" t="str">
        <f t="shared" si="30"/>
        <v>3</v>
      </c>
      <c r="C1004" s="4" t="s">
        <v>267</v>
      </c>
      <c r="D1004" s="8" t="s">
        <v>1954</v>
      </c>
      <c r="E1004" s="4" t="s">
        <v>106</v>
      </c>
      <c r="F1004" s="2" t="str">
        <f t="shared" si="31"/>
        <v>Non-routine manual</v>
      </c>
    </row>
    <row r="1005" spans="1:6" x14ac:dyDescent="0.4">
      <c r="A1005" s="3">
        <v>3421</v>
      </c>
      <c r="B1005" s="3" t="str">
        <f t="shared" si="30"/>
        <v>3</v>
      </c>
      <c r="C1005" s="4" t="s">
        <v>267</v>
      </c>
      <c r="D1005" s="6" t="s">
        <v>269</v>
      </c>
      <c r="E1005" s="4" t="s">
        <v>4</v>
      </c>
      <c r="F1005" s="2" t="str">
        <f t="shared" si="31"/>
        <v>Non-routine cognitive</v>
      </c>
    </row>
    <row r="1006" spans="1:6" ht="28.5" x14ac:dyDescent="0.4">
      <c r="A1006" s="3">
        <v>3421</v>
      </c>
      <c r="B1006" s="3" t="str">
        <f t="shared" si="30"/>
        <v>3</v>
      </c>
      <c r="C1006" s="4" t="s">
        <v>267</v>
      </c>
      <c r="D1006" s="8" t="s">
        <v>1955</v>
      </c>
      <c r="E1006" s="4" t="s">
        <v>4</v>
      </c>
      <c r="F1006" s="2" t="str">
        <f t="shared" si="31"/>
        <v>Non-routine cognitive</v>
      </c>
    </row>
    <row r="1007" spans="1:6" x14ac:dyDescent="0.4">
      <c r="A1007" s="3">
        <v>3421</v>
      </c>
      <c r="B1007" s="3" t="str">
        <f t="shared" si="30"/>
        <v>3</v>
      </c>
      <c r="C1007" s="4" t="s">
        <v>267</v>
      </c>
      <c r="D1007" s="7" t="s">
        <v>270</v>
      </c>
      <c r="E1007" s="4" t="s">
        <v>3</v>
      </c>
      <c r="F1007" s="2" t="str">
        <f t="shared" si="31"/>
        <v>Non-routine cognitive</v>
      </c>
    </row>
    <row r="1008" spans="1:6" ht="28.5" x14ac:dyDescent="0.4">
      <c r="A1008" s="3">
        <v>3421</v>
      </c>
      <c r="B1008" s="3" t="str">
        <f t="shared" si="30"/>
        <v>3</v>
      </c>
      <c r="C1008" s="4" t="s">
        <v>267</v>
      </c>
      <c r="D1008" s="8" t="s">
        <v>1956</v>
      </c>
      <c r="E1008" s="4" t="s">
        <v>50</v>
      </c>
      <c r="F1008" s="2" t="str">
        <f t="shared" si="31"/>
        <v>Routine cognitive</v>
      </c>
    </row>
    <row r="1009" spans="1:6" ht="28.5" x14ac:dyDescent="0.4">
      <c r="A1009" s="3">
        <v>3422</v>
      </c>
      <c r="B1009" s="3" t="str">
        <f t="shared" si="30"/>
        <v>3</v>
      </c>
      <c r="C1009" s="5" t="s">
        <v>1957</v>
      </c>
      <c r="D1009" s="8" t="s">
        <v>1958</v>
      </c>
      <c r="E1009" s="4" t="s">
        <v>4</v>
      </c>
      <c r="F1009" s="2" t="str">
        <f t="shared" si="31"/>
        <v>Non-routine cognitive</v>
      </c>
    </row>
    <row r="1010" spans="1:6" ht="28.5" x14ac:dyDescent="0.4">
      <c r="A1010" s="3">
        <v>3422</v>
      </c>
      <c r="B1010" s="3" t="str">
        <f t="shared" si="30"/>
        <v>3</v>
      </c>
      <c r="C1010" s="5" t="s">
        <v>1957</v>
      </c>
      <c r="D1010" s="8" t="s">
        <v>1959</v>
      </c>
      <c r="E1010" s="4" t="s">
        <v>3</v>
      </c>
      <c r="F1010" s="2" t="str">
        <f t="shared" si="31"/>
        <v>Non-routine cognitive</v>
      </c>
    </row>
    <row r="1011" spans="1:6" ht="28.5" x14ac:dyDescent="0.4">
      <c r="A1011" s="3">
        <v>3422</v>
      </c>
      <c r="B1011" s="3" t="str">
        <f t="shared" si="30"/>
        <v>3</v>
      </c>
      <c r="C1011" s="5" t="s">
        <v>1960</v>
      </c>
      <c r="D1011" s="8" t="s">
        <v>1961</v>
      </c>
      <c r="E1011" s="4" t="s">
        <v>3</v>
      </c>
      <c r="F1011" s="2" t="str">
        <f t="shared" si="31"/>
        <v>Non-routine cognitive</v>
      </c>
    </row>
    <row r="1012" spans="1:6" ht="28.5" x14ac:dyDescent="0.4">
      <c r="A1012" s="3">
        <v>3422</v>
      </c>
      <c r="B1012" s="3" t="str">
        <f t="shared" si="30"/>
        <v>3</v>
      </c>
      <c r="C1012" s="5" t="s">
        <v>1960</v>
      </c>
      <c r="D1012" s="8" t="s">
        <v>1962</v>
      </c>
      <c r="E1012" s="4" t="s">
        <v>3</v>
      </c>
      <c r="F1012" s="2" t="str">
        <f t="shared" si="31"/>
        <v>Non-routine cognitive</v>
      </c>
    </row>
    <row r="1013" spans="1:6" ht="42.75" x14ac:dyDescent="0.4">
      <c r="A1013" s="3">
        <v>3422</v>
      </c>
      <c r="B1013" s="3" t="str">
        <f t="shared" si="30"/>
        <v>3</v>
      </c>
      <c r="C1013" s="4" t="s">
        <v>271</v>
      </c>
      <c r="D1013" s="8" t="s">
        <v>1963</v>
      </c>
      <c r="E1013" s="4" t="s">
        <v>4</v>
      </c>
      <c r="F1013" s="2" t="str">
        <f t="shared" si="31"/>
        <v>Non-routine cognitive</v>
      </c>
    </row>
    <row r="1014" spans="1:6" ht="28.5" x14ac:dyDescent="0.4">
      <c r="A1014" s="3">
        <v>3422</v>
      </c>
      <c r="B1014" s="3" t="str">
        <f t="shared" si="30"/>
        <v>3</v>
      </c>
      <c r="C1014" s="4" t="s">
        <v>271</v>
      </c>
      <c r="D1014" s="8" t="s">
        <v>1964</v>
      </c>
      <c r="E1014" s="4" t="s">
        <v>4</v>
      </c>
      <c r="F1014" s="2" t="str">
        <f t="shared" si="31"/>
        <v>Non-routine cognitive</v>
      </c>
    </row>
    <row r="1015" spans="1:6" ht="42.75" x14ac:dyDescent="0.4">
      <c r="A1015" s="3">
        <v>3422</v>
      </c>
      <c r="B1015" s="3" t="str">
        <f t="shared" si="30"/>
        <v>3</v>
      </c>
      <c r="C1015" s="4" t="s">
        <v>271</v>
      </c>
      <c r="D1015" s="8" t="s">
        <v>1965</v>
      </c>
      <c r="E1015" s="4" t="s">
        <v>4</v>
      </c>
      <c r="F1015" s="2" t="str">
        <f t="shared" si="31"/>
        <v>Non-routine cognitive</v>
      </c>
    </row>
    <row r="1016" spans="1:6" ht="42.75" x14ac:dyDescent="0.4">
      <c r="A1016" s="3">
        <v>3422</v>
      </c>
      <c r="B1016" s="3" t="str">
        <f t="shared" si="30"/>
        <v>3</v>
      </c>
      <c r="C1016" s="4" t="s">
        <v>271</v>
      </c>
      <c r="D1016" s="8" t="s">
        <v>1966</v>
      </c>
      <c r="E1016" s="4" t="s">
        <v>50</v>
      </c>
      <c r="F1016" s="2" t="str">
        <f t="shared" si="31"/>
        <v>Routine cognitive</v>
      </c>
    </row>
    <row r="1017" spans="1:6" ht="28.5" x14ac:dyDescent="0.4">
      <c r="A1017" s="3">
        <v>3422</v>
      </c>
      <c r="B1017" s="3" t="str">
        <f t="shared" si="30"/>
        <v>3</v>
      </c>
      <c r="C1017" s="4" t="s">
        <v>271</v>
      </c>
      <c r="D1017" s="5" t="s">
        <v>1967</v>
      </c>
      <c r="E1017" s="4" t="s">
        <v>50</v>
      </c>
      <c r="F1017" s="2" t="str">
        <f t="shared" si="31"/>
        <v>Routine cognitive</v>
      </c>
    </row>
    <row r="1018" spans="1:6" ht="42.75" x14ac:dyDescent="0.4">
      <c r="A1018" s="3">
        <v>3422</v>
      </c>
      <c r="B1018" s="3" t="str">
        <f t="shared" si="30"/>
        <v>3</v>
      </c>
      <c r="C1018" s="4" t="s">
        <v>271</v>
      </c>
      <c r="D1018" s="8" t="s">
        <v>1968</v>
      </c>
      <c r="E1018" s="4" t="s">
        <v>4</v>
      </c>
      <c r="F1018" s="2" t="str">
        <f t="shared" si="31"/>
        <v>Non-routine cognitive</v>
      </c>
    </row>
    <row r="1019" spans="1:6" ht="28.5" x14ac:dyDescent="0.4">
      <c r="A1019" s="3">
        <v>3422</v>
      </c>
      <c r="B1019" s="3" t="str">
        <f t="shared" si="30"/>
        <v>3</v>
      </c>
      <c r="C1019" s="5" t="s">
        <v>1957</v>
      </c>
      <c r="D1019" s="7" t="s">
        <v>272</v>
      </c>
      <c r="E1019" s="4" t="s">
        <v>50</v>
      </c>
      <c r="F1019" s="2" t="str">
        <f t="shared" si="31"/>
        <v>Routine cognitive</v>
      </c>
    </row>
    <row r="1020" spans="1:6" ht="42.75" x14ac:dyDescent="0.4">
      <c r="A1020" s="3">
        <v>3431</v>
      </c>
      <c r="B1020" s="3" t="str">
        <f t="shared" si="30"/>
        <v>3</v>
      </c>
      <c r="C1020" s="4" t="s">
        <v>273</v>
      </c>
      <c r="D1020" s="5" t="s">
        <v>1969</v>
      </c>
      <c r="E1020" s="4" t="s">
        <v>106</v>
      </c>
      <c r="F1020" s="2" t="str">
        <f t="shared" si="31"/>
        <v>Non-routine manual</v>
      </c>
    </row>
    <row r="1021" spans="1:6" ht="28.5" x14ac:dyDescent="0.4">
      <c r="A1021" s="3">
        <v>3431</v>
      </c>
      <c r="B1021" s="3" t="str">
        <f t="shared" si="30"/>
        <v>3</v>
      </c>
      <c r="C1021" s="4" t="s">
        <v>273</v>
      </c>
      <c r="D1021" s="4" t="s">
        <v>274</v>
      </c>
      <c r="E1021" s="4" t="s">
        <v>106</v>
      </c>
      <c r="F1021" s="2" t="str">
        <f t="shared" si="31"/>
        <v>Non-routine manual</v>
      </c>
    </row>
    <row r="1022" spans="1:6" ht="42.75" x14ac:dyDescent="0.4">
      <c r="A1022" s="3">
        <v>3431</v>
      </c>
      <c r="B1022" s="3" t="str">
        <f t="shared" si="30"/>
        <v>3</v>
      </c>
      <c r="C1022" s="4" t="s">
        <v>273</v>
      </c>
      <c r="D1022" s="5" t="s">
        <v>1970</v>
      </c>
      <c r="E1022" s="4" t="s">
        <v>4</v>
      </c>
      <c r="F1022" s="2" t="str">
        <f t="shared" si="31"/>
        <v>Non-routine cognitive</v>
      </c>
    </row>
    <row r="1023" spans="1:6" ht="42.75" x14ac:dyDescent="0.4">
      <c r="A1023" s="3">
        <v>3431</v>
      </c>
      <c r="B1023" s="3" t="str">
        <f t="shared" si="30"/>
        <v>3</v>
      </c>
      <c r="C1023" s="4" t="s">
        <v>273</v>
      </c>
      <c r="D1023" s="5" t="s">
        <v>1971</v>
      </c>
      <c r="E1023" s="4" t="s">
        <v>4</v>
      </c>
      <c r="F1023" s="2" t="str">
        <f t="shared" si="31"/>
        <v>Non-routine cognitive</v>
      </c>
    </row>
    <row r="1024" spans="1:6" ht="28.5" x14ac:dyDescent="0.4">
      <c r="A1024" s="3">
        <v>3431</v>
      </c>
      <c r="B1024" s="3" t="str">
        <f t="shared" si="30"/>
        <v>3</v>
      </c>
      <c r="C1024" s="4" t="s">
        <v>273</v>
      </c>
      <c r="D1024" s="5" t="s">
        <v>1972</v>
      </c>
      <c r="E1024" s="4" t="s">
        <v>182</v>
      </c>
      <c r="F1024" s="2" t="str">
        <f t="shared" si="31"/>
        <v>Routine manual</v>
      </c>
    </row>
    <row r="1025" spans="1:6" ht="28.5" x14ac:dyDescent="0.4">
      <c r="A1025" s="3">
        <v>3431</v>
      </c>
      <c r="B1025" s="3" t="str">
        <f t="shared" si="30"/>
        <v>3</v>
      </c>
      <c r="C1025" s="4" t="s">
        <v>273</v>
      </c>
      <c r="D1025" s="5" t="s">
        <v>1973</v>
      </c>
      <c r="E1025" s="4" t="s">
        <v>182</v>
      </c>
      <c r="F1025" s="2" t="str">
        <f t="shared" si="31"/>
        <v>Routine manual</v>
      </c>
    </row>
    <row r="1026" spans="1:6" ht="42.75" x14ac:dyDescent="0.4">
      <c r="A1026" s="3">
        <v>3431</v>
      </c>
      <c r="B1026" s="3" t="str">
        <f t="shared" si="30"/>
        <v>3</v>
      </c>
      <c r="C1026" s="4" t="s">
        <v>273</v>
      </c>
      <c r="D1026" s="5" t="s">
        <v>1974</v>
      </c>
      <c r="E1026" s="4" t="s">
        <v>4</v>
      </c>
      <c r="F1026" s="2" t="str">
        <f t="shared" si="31"/>
        <v>Non-routine cognitive</v>
      </c>
    </row>
    <row r="1027" spans="1:6" ht="28.5" x14ac:dyDescent="0.4">
      <c r="A1027" s="3">
        <v>3431</v>
      </c>
      <c r="B1027" s="3" t="str">
        <f t="shared" ref="B1027:B1090" si="32">LEFT(A1027,1)</f>
        <v>3</v>
      </c>
      <c r="C1027" s="4" t="s">
        <v>273</v>
      </c>
      <c r="D1027" s="4" t="s">
        <v>275</v>
      </c>
      <c r="E1027" s="4" t="s">
        <v>106</v>
      </c>
      <c r="F1027" s="2" t="str">
        <f t="shared" ref="F1027:F1090" si="33">IF(E1027="Non-routine interpersonal","Non-routine cognitive",IF(E1027="Non-routine analytical","Non-routine cognitive",IF(E1027="Non-routine manual physical","Non-routine manual",E1027)))</f>
        <v>Non-routine manual</v>
      </c>
    </row>
    <row r="1028" spans="1:6" ht="28.5" x14ac:dyDescent="0.4">
      <c r="A1028" s="3">
        <v>3432</v>
      </c>
      <c r="B1028" s="3" t="str">
        <f t="shared" si="32"/>
        <v>3</v>
      </c>
      <c r="C1028" s="4" t="s">
        <v>276</v>
      </c>
      <c r="D1028" s="8" t="s">
        <v>1975</v>
      </c>
      <c r="E1028" s="4" t="s">
        <v>4</v>
      </c>
      <c r="F1028" s="2" t="str">
        <f t="shared" si="33"/>
        <v>Non-routine cognitive</v>
      </c>
    </row>
    <row r="1029" spans="1:6" ht="28.5" x14ac:dyDescent="0.4">
      <c r="A1029" s="3">
        <v>3432</v>
      </c>
      <c r="B1029" s="3" t="str">
        <f t="shared" si="32"/>
        <v>3</v>
      </c>
      <c r="C1029" s="4" t="s">
        <v>276</v>
      </c>
      <c r="D1029" s="8" t="s">
        <v>1976</v>
      </c>
      <c r="E1029" s="4" t="s">
        <v>4</v>
      </c>
      <c r="F1029" s="2" t="str">
        <f t="shared" si="33"/>
        <v>Non-routine cognitive</v>
      </c>
    </row>
    <row r="1030" spans="1:6" ht="28.5" x14ac:dyDescent="0.4">
      <c r="A1030" s="3">
        <v>3432</v>
      </c>
      <c r="B1030" s="3" t="str">
        <f t="shared" si="32"/>
        <v>3</v>
      </c>
      <c r="C1030" s="4" t="s">
        <v>276</v>
      </c>
      <c r="D1030" s="10" t="s">
        <v>1977</v>
      </c>
      <c r="E1030" s="4" t="s">
        <v>4</v>
      </c>
      <c r="F1030" s="2" t="str">
        <f t="shared" si="33"/>
        <v>Non-routine cognitive</v>
      </c>
    </row>
    <row r="1031" spans="1:6" ht="28.5" x14ac:dyDescent="0.4">
      <c r="A1031" s="3">
        <v>3432</v>
      </c>
      <c r="B1031" s="3" t="str">
        <f t="shared" si="32"/>
        <v>3</v>
      </c>
      <c r="C1031" s="4" t="s">
        <v>276</v>
      </c>
      <c r="D1031" s="7" t="s">
        <v>3655</v>
      </c>
      <c r="E1031" s="4" t="s">
        <v>4</v>
      </c>
      <c r="F1031" s="2" t="str">
        <f t="shared" si="33"/>
        <v>Non-routine cognitive</v>
      </c>
    </row>
    <row r="1032" spans="1:6" ht="42.75" x14ac:dyDescent="0.4">
      <c r="A1032" s="3">
        <v>3432</v>
      </c>
      <c r="B1032" s="3" t="str">
        <f t="shared" si="32"/>
        <v>3</v>
      </c>
      <c r="C1032" s="4" t="s">
        <v>276</v>
      </c>
      <c r="D1032" s="5" t="s">
        <v>1978</v>
      </c>
      <c r="E1032" s="4" t="s">
        <v>3</v>
      </c>
      <c r="F1032" s="2" t="str">
        <f t="shared" si="33"/>
        <v>Non-routine cognitive</v>
      </c>
    </row>
    <row r="1033" spans="1:6" ht="42.75" x14ac:dyDescent="0.4">
      <c r="A1033" s="3">
        <v>3432</v>
      </c>
      <c r="B1033" s="3" t="str">
        <f t="shared" si="32"/>
        <v>3</v>
      </c>
      <c r="C1033" s="4" t="s">
        <v>276</v>
      </c>
      <c r="D1033" s="8" t="s">
        <v>1979</v>
      </c>
      <c r="E1033" s="4" t="s">
        <v>4</v>
      </c>
      <c r="F1033" s="2" t="str">
        <f t="shared" si="33"/>
        <v>Non-routine cognitive</v>
      </c>
    </row>
    <row r="1034" spans="1:6" ht="28.5" x14ac:dyDescent="0.4">
      <c r="A1034" s="3">
        <v>3432</v>
      </c>
      <c r="B1034" s="3" t="str">
        <f t="shared" si="32"/>
        <v>3</v>
      </c>
      <c r="C1034" s="4" t="s">
        <v>276</v>
      </c>
      <c r="D1034" s="5" t="s">
        <v>1980</v>
      </c>
      <c r="E1034" s="4" t="s">
        <v>4</v>
      </c>
      <c r="F1034" s="2" t="str">
        <f t="shared" si="33"/>
        <v>Non-routine cognitive</v>
      </c>
    </row>
    <row r="1035" spans="1:6" x14ac:dyDescent="0.4">
      <c r="A1035" s="3">
        <v>3432</v>
      </c>
      <c r="B1035" s="3" t="str">
        <f t="shared" si="32"/>
        <v>3</v>
      </c>
      <c r="C1035" s="4" t="s">
        <v>276</v>
      </c>
      <c r="D1035" s="14" t="s">
        <v>277</v>
      </c>
      <c r="E1035" s="4" t="s">
        <v>3</v>
      </c>
      <c r="F1035" s="2" t="str">
        <f t="shared" si="33"/>
        <v>Non-routine cognitive</v>
      </c>
    </row>
    <row r="1036" spans="1:6" x14ac:dyDescent="0.4">
      <c r="A1036" s="3">
        <v>3432</v>
      </c>
      <c r="B1036" s="3" t="str">
        <f t="shared" si="32"/>
        <v>3</v>
      </c>
      <c r="C1036" s="4" t="s">
        <v>276</v>
      </c>
      <c r="D1036" s="7" t="s">
        <v>278</v>
      </c>
      <c r="E1036" s="4" t="s">
        <v>4</v>
      </c>
      <c r="F1036" s="2" t="str">
        <f t="shared" si="33"/>
        <v>Non-routine cognitive</v>
      </c>
    </row>
    <row r="1037" spans="1:6" ht="28.5" x14ac:dyDescent="0.4">
      <c r="A1037" s="3">
        <v>3432</v>
      </c>
      <c r="B1037" s="3" t="str">
        <f t="shared" si="32"/>
        <v>3</v>
      </c>
      <c r="C1037" s="4" t="s">
        <v>276</v>
      </c>
      <c r="D1037" s="8" t="s">
        <v>1981</v>
      </c>
      <c r="E1037" s="4" t="s">
        <v>4</v>
      </c>
      <c r="F1037" s="2" t="str">
        <f t="shared" si="33"/>
        <v>Non-routine cognitive</v>
      </c>
    </row>
    <row r="1038" spans="1:6" ht="42.75" x14ac:dyDescent="0.4">
      <c r="A1038" s="3">
        <v>3434</v>
      </c>
      <c r="B1038" s="3" t="str">
        <f t="shared" si="32"/>
        <v>3</v>
      </c>
      <c r="C1038" s="4" t="s">
        <v>279</v>
      </c>
      <c r="D1038" s="5" t="s">
        <v>1982</v>
      </c>
      <c r="E1038" s="4" t="s">
        <v>4</v>
      </c>
      <c r="F1038" s="2" t="str">
        <f t="shared" si="33"/>
        <v>Non-routine cognitive</v>
      </c>
    </row>
    <row r="1039" spans="1:6" ht="28.5" x14ac:dyDescent="0.4">
      <c r="A1039" s="3">
        <v>3434</v>
      </c>
      <c r="B1039" s="3" t="str">
        <f t="shared" si="32"/>
        <v>3</v>
      </c>
      <c r="C1039" s="4" t="s">
        <v>279</v>
      </c>
      <c r="D1039" s="5" t="s">
        <v>1983</v>
      </c>
      <c r="E1039" s="4" t="s">
        <v>4</v>
      </c>
      <c r="F1039" s="2" t="str">
        <f t="shared" si="33"/>
        <v>Non-routine cognitive</v>
      </c>
    </row>
    <row r="1040" spans="1:6" ht="42.75" x14ac:dyDescent="0.4">
      <c r="A1040" s="3">
        <v>3434</v>
      </c>
      <c r="B1040" s="3" t="str">
        <f t="shared" si="32"/>
        <v>3</v>
      </c>
      <c r="C1040" s="4" t="s">
        <v>279</v>
      </c>
      <c r="D1040" s="5" t="s">
        <v>1984</v>
      </c>
      <c r="E1040" s="4" t="s">
        <v>3</v>
      </c>
      <c r="F1040" s="2" t="str">
        <f t="shared" si="33"/>
        <v>Non-routine cognitive</v>
      </c>
    </row>
    <row r="1041" spans="1:6" ht="42.75" x14ac:dyDescent="0.4">
      <c r="A1041" s="3">
        <v>3434</v>
      </c>
      <c r="B1041" s="3" t="str">
        <f t="shared" si="32"/>
        <v>3</v>
      </c>
      <c r="C1041" s="4" t="s">
        <v>279</v>
      </c>
      <c r="D1041" s="5" t="s">
        <v>1985</v>
      </c>
      <c r="E1041" s="4" t="s">
        <v>3</v>
      </c>
      <c r="F1041" s="2" t="str">
        <f t="shared" si="33"/>
        <v>Non-routine cognitive</v>
      </c>
    </row>
    <row r="1042" spans="1:6" ht="42.75" x14ac:dyDescent="0.4">
      <c r="A1042" s="3">
        <v>3434</v>
      </c>
      <c r="B1042" s="3" t="str">
        <f t="shared" si="32"/>
        <v>3</v>
      </c>
      <c r="C1042" s="4" t="s">
        <v>279</v>
      </c>
      <c r="D1042" s="5" t="s">
        <v>1986</v>
      </c>
      <c r="E1042" s="4" t="s">
        <v>50</v>
      </c>
      <c r="F1042" s="2" t="str">
        <f t="shared" si="33"/>
        <v>Routine cognitive</v>
      </c>
    </row>
    <row r="1043" spans="1:6" ht="28.5" x14ac:dyDescent="0.4">
      <c r="A1043" s="3">
        <v>3434</v>
      </c>
      <c r="B1043" s="3" t="str">
        <f t="shared" si="32"/>
        <v>3</v>
      </c>
      <c r="C1043" s="4" t="s">
        <v>279</v>
      </c>
      <c r="D1043" s="5" t="s">
        <v>1987</v>
      </c>
      <c r="E1043" s="4" t="s">
        <v>4</v>
      </c>
      <c r="F1043" s="2" t="str">
        <f t="shared" si="33"/>
        <v>Non-routine cognitive</v>
      </c>
    </row>
    <row r="1044" spans="1:6" ht="42.75" x14ac:dyDescent="0.4">
      <c r="A1044" s="3">
        <v>3434</v>
      </c>
      <c r="B1044" s="3" t="str">
        <f t="shared" si="32"/>
        <v>3</v>
      </c>
      <c r="C1044" s="4" t="s">
        <v>279</v>
      </c>
      <c r="D1044" s="10" t="s">
        <v>1988</v>
      </c>
      <c r="E1044" s="4" t="s">
        <v>3</v>
      </c>
      <c r="F1044" s="2" t="str">
        <f t="shared" si="33"/>
        <v>Non-routine cognitive</v>
      </c>
    </row>
    <row r="1045" spans="1:6" ht="28.5" x14ac:dyDescent="0.4">
      <c r="A1045" s="3">
        <v>3434</v>
      </c>
      <c r="B1045" s="3" t="str">
        <f t="shared" si="32"/>
        <v>3</v>
      </c>
      <c r="C1045" s="4" t="s">
        <v>279</v>
      </c>
      <c r="D1045" s="4" t="s">
        <v>280</v>
      </c>
      <c r="E1045" s="4" t="s">
        <v>3</v>
      </c>
      <c r="F1045" s="2" t="str">
        <f t="shared" si="33"/>
        <v>Non-routine cognitive</v>
      </c>
    </row>
    <row r="1046" spans="1:6" ht="28.5" x14ac:dyDescent="0.4">
      <c r="A1046" s="3">
        <v>3434</v>
      </c>
      <c r="B1046" s="3" t="str">
        <f t="shared" si="32"/>
        <v>3</v>
      </c>
      <c r="C1046" s="4" t="s">
        <v>279</v>
      </c>
      <c r="D1046" s="5" t="s">
        <v>1989</v>
      </c>
      <c r="E1046" s="4" t="s">
        <v>106</v>
      </c>
      <c r="F1046" s="2" t="str">
        <f t="shared" si="33"/>
        <v>Non-routine manual</v>
      </c>
    </row>
    <row r="1047" spans="1:6" ht="28.5" x14ac:dyDescent="0.4">
      <c r="A1047" s="3">
        <v>3434</v>
      </c>
      <c r="B1047" s="3" t="str">
        <f t="shared" si="32"/>
        <v>3</v>
      </c>
      <c r="C1047" s="4" t="s">
        <v>279</v>
      </c>
      <c r="D1047" s="5" t="s">
        <v>1990</v>
      </c>
      <c r="E1047" s="4" t="s">
        <v>3</v>
      </c>
      <c r="F1047" s="2" t="str">
        <f t="shared" si="33"/>
        <v>Non-routine cognitive</v>
      </c>
    </row>
    <row r="1048" spans="1:6" ht="28.5" x14ac:dyDescent="0.4">
      <c r="A1048" s="3">
        <v>3435</v>
      </c>
      <c r="B1048" s="3" t="str">
        <f t="shared" si="32"/>
        <v>3</v>
      </c>
      <c r="C1048" s="4" t="s">
        <v>281</v>
      </c>
      <c r="D1048" s="13" t="s">
        <v>82</v>
      </c>
      <c r="E1048" s="4" t="s">
        <v>3652</v>
      </c>
      <c r="F1048" s="2" t="str">
        <f t="shared" si="33"/>
        <v>NA</v>
      </c>
    </row>
    <row r="1049" spans="1:6" ht="28.5" x14ac:dyDescent="0.4">
      <c r="A1049" s="3">
        <v>3511</v>
      </c>
      <c r="B1049" s="3" t="str">
        <f t="shared" si="32"/>
        <v>3</v>
      </c>
      <c r="C1049" s="4" t="s">
        <v>282</v>
      </c>
      <c r="D1049" s="6" t="s">
        <v>283</v>
      </c>
      <c r="E1049" s="4" t="s">
        <v>182</v>
      </c>
      <c r="F1049" s="2" t="str">
        <f t="shared" si="33"/>
        <v>Routine manual</v>
      </c>
    </row>
    <row r="1050" spans="1:6" ht="42.75" x14ac:dyDescent="0.4">
      <c r="A1050" s="3">
        <v>3511</v>
      </c>
      <c r="B1050" s="3" t="str">
        <f t="shared" si="32"/>
        <v>3</v>
      </c>
      <c r="C1050" s="4" t="s">
        <v>282</v>
      </c>
      <c r="D1050" s="8" t="s">
        <v>1991</v>
      </c>
      <c r="E1050" s="4" t="s">
        <v>50</v>
      </c>
      <c r="F1050" s="2" t="str">
        <f t="shared" si="33"/>
        <v>Routine cognitive</v>
      </c>
    </row>
    <row r="1051" spans="1:6" ht="28.5" x14ac:dyDescent="0.4">
      <c r="A1051" s="3">
        <v>3511</v>
      </c>
      <c r="B1051" s="3" t="str">
        <f t="shared" si="32"/>
        <v>3</v>
      </c>
      <c r="C1051" s="4" t="s">
        <v>282</v>
      </c>
      <c r="D1051" s="8" t="s">
        <v>1992</v>
      </c>
      <c r="E1051" s="4" t="s">
        <v>50</v>
      </c>
      <c r="F1051" s="2" t="str">
        <f t="shared" si="33"/>
        <v>Routine cognitive</v>
      </c>
    </row>
    <row r="1052" spans="1:6" ht="28.5" x14ac:dyDescent="0.4">
      <c r="A1052" s="3">
        <v>3511</v>
      </c>
      <c r="B1052" s="3" t="str">
        <f t="shared" si="32"/>
        <v>3</v>
      </c>
      <c r="C1052" s="4" t="s">
        <v>282</v>
      </c>
      <c r="D1052" s="7" t="s">
        <v>284</v>
      </c>
      <c r="E1052" s="4" t="s">
        <v>3</v>
      </c>
      <c r="F1052" s="2" t="str">
        <f t="shared" si="33"/>
        <v>Non-routine cognitive</v>
      </c>
    </row>
    <row r="1053" spans="1:6" ht="42.75" x14ac:dyDescent="0.4">
      <c r="A1053" s="3">
        <v>3511</v>
      </c>
      <c r="B1053" s="3" t="str">
        <f t="shared" si="32"/>
        <v>3</v>
      </c>
      <c r="C1053" s="4" t="s">
        <v>282</v>
      </c>
      <c r="D1053" s="5" t="s">
        <v>1993</v>
      </c>
      <c r="E1053" s="4" t="s">
        <v>182</v>
      </c>
      <c r="F1053" s="2" t="str">
        <f t="shared" si="33"/>
        <v>Routine manual</v>
      </c>
    </row>
    <row r="1054" spans="1:6" ht="42.75" x14ac:dyDescent="0.4">
      <c r="A1054" s="3">
        <v>3511</v>
      </c>
      <c r="B1054" s="3" t="str">
        <f t="shared" si="32"/>
        <v>3</v>
      </c>
      <c r="C1054" s="4" t="s">
        <v>282</v>
      </c>
      <c r="D1054" s="5" t="s">
        <v>1994</v>
      </c>
      <c r="E1054" s="4" t="s">
        <v>182</v>
      </c>
      <c r="F1054" s="2" t="str">
        <f t="shared" si="33"/>
        <v>Routine manual</v>
      </c>
    </row>
    <row r="1055" spans="1:6" ht="42.75" x14ac:dyDescent="0.4">
      <c r="A1055" s="3">
        <v>3511</v>
      </c>
      <c r="B1055" s="3" t="str">
        <f t="shared" si="32"/>
        <v>3</v>
      </c>
      <c r="C1055" s="4" t="s">
        <v>282</v>
      </c>
      <c r="D1055" s="8" t="s">
        <v>1995</v>
      </c>
      <c r="E1055" s="4" t="s">
        <v>182</v>
      </c>
      <c r="F1055" s="2" t="str">
        <f t="shared" si="33"/>
        <v>Routine manual</v>
      </c>
    </row>
    <row r="1056" spans="1:6" ht="57" x14ac:dyDescent="0.4">
      <c r="A1056" s="3">
        <v>3511</v>
      </c>
      <c r="B1056" s="3" t="str">
        <f t="shared" si="32"/>
        <v>3</v>
      </c>
      <c r="C1056" s="4" t="s">
        <v>282</v>
      </c>
      <c r="D1056" s="5" t="s">
        <v>1996</v>
      </c>
      <c r="E1056" s="4" t="s">
        <v>3</v>
      </c>
      <c r="F1056" s="2" t="str">
        <f t="shared" si="33"/>
        <v>Non-routine cognitive</v>
      </c>
    </row>
    <row r="1057" spans="1:6" ht="28.5" x14ac:dyDescent="0.4">
      <c r="A1057" s="3">
        <v>3512</v>
      </c>
      <c r="B1057" s="3" t="str">
        <f t="shared" si="32"/>
        <v>3</v>
      </c>
      <c r="C1057" s="4" t="s">
        <v>285</v>
      </c>
      <c r="D1057" s="8" t="s">
        <v>1997</v>
      </c>
      <c r="E1057" s="4" t="s">
        <v>50</v>
      </c>
      <c r="F1057" s="2" t="str">
        <f t="shared" si="33"/>
        <v>Routine cognitive</v>
      </c>
    </row>
    <row r="1058" spans="1:6" ht="42.75" x14ac:dyDescent="0.4">
      <c r="A1058" s="3">
        <v>3512</v>
      </c>
      <c r="B1058" s="3" t="str">
        <f t="shared" si="32"/>
        <v>3</v>
      </c>
      <c r="C1058" s="4" t="s">
        <v>285</v>
      </c>
      <c r="D1058" s="8" t="s">
        <v>1998</v>
      </c>
      <c r="E1058" s="4" t="s">
        <v>4</v>
      </c>
      <c r="F1058" s="2" t="str">
        <f t="shared" si="33"/>
        <v>Non-routine cognitive</v>
      </c>
    </row>
    <row r="1059" spans="1:6" ht="42.75" x14ac:dyDescent="0.4">
      <c r="A1059" s="3">
        <v>3512</v>
      </c>
      <c r="B1059" s="3" t="str">
        <f t="shared" si="32"/>
        <v>3</v>
      </c>
      <c r="C1059" s="4" t="s">
        <v>285</v>
      </c>
      <c r="D1059" s="8" t="s">
        <v>1999</v>
      </c>
      <c r="E1059" s="4" t="s">
        <v>106</v>
      </c>
      <c r="F1059" s="2" t="str">
        <f t="shared" si="33"/>
        <v>Non-routine manual</v>
      </c>
    </row>
    <row r="1060" spans="1:6" ht="28.5" x14ac:dyDescent="0.4">
      <c r="A1060" s="3">
        <v>3512</v>
      </c>
      <c r="B1060" s="3" t="str">
        <f t="shared" si="32"/>
        <v>3</v>
      </c>
      <c r="C1060" s="4" t="s">
        <v>285</v>
      </c>
      <c r="D1060" s="8" t="s">
        <v>2000</v>
      </c>
      <c r="E1060" s="4" t="s">
        <v>3</v>
      </c>
      <c r="F1060" s="2" t="str">
        <f t="shared" si="33"/>
        <v>Non-routine cognitive</v>
      </c>
    </row>
    <row r="1061" spans="1:6" ht="42.75" x14ac:dyDescent="0.4">
      <c r="A1061" s="3">
        <v>3512</v>
      </c>
      <c r="B1061" s="3" t="str">
        <f t="shared" si="32"/>
        <v>3</v>
      </c>
      <c r="C1061" s="4" t="s">
        <v>285</v>
      </c>
      <c r="D1061" s="5" t="s">
        <v>2001</v>
      </c>
      <c r="E1061" s="4" t="s">
        <v>182</v>
      </c>
      <c r="F1061" s="2" t="str">
        <f t="shared" si="33"/>
        <v>Routine manual</v>
      </c>
    </row>
    <row r="1062" spans="1:6" ht="42.75" x14ac:dyDescent="0.4">
      <c r="A1062" s="3">
        <v>3512</v>
      </c>
      <c r="B1062" s="3" t="str">
        <f t="shared" si="32"/>
        <v>3</v>
      </c>
      <c r="C1062" s="4" t="s">
        <v>285</v>
      </c>
      <c r="D1062" s="10" t="s">
        <v>2002</v>
      </c>
      <c r="E1062" s="4" t="s">
        <v>50</v>
      </c>
      <c r="F1062" s="2" t="str">
        <f t="shared" si="33"/>
        <v>Routine cognitive</v>
      </c>
    </row>
    <row r="1063" spans="1:6" ht="28.5" x14ac:dyDescent="0.4">
      <c r="A1063" s="3">
        <v>3512</v>
      </c>
      <c r="B1063" s="3" t="str">
        <f t="shared" si="32"/>
        <v>3</v>
      </c>
      <c r="C1063" s="4" t="s">
        <v>285</v>
      </c>
      <c r="D1063" s="8" t="s">
        <v>2003</v>
      </c>
      <c r="E1063" s="4" t="s">
        <v>50</v>
      </c>
      <c r="F1063" s="2" t="str">
        <f t="shared" si="33"/>
        <v>Routine cognitive</v>
      </c>
    </row>
    <row r="1064" spans="1:6" ht="42.75" x14ac:dyDescent="0.4">
      <c r="A1064" s="3">
        <v>3512</v>
      </c>
      <c r="B1064" s="3" t="str">
        <f t="shared" si="32"/>
        <v>3</v>
      </c>
      <c r="C1064" s="4" t="s">
        <v>285</v>
      </c>
      <c r="D1064" s="8" t="s">
        <v>2004</v>
      </c>
      <c r="E1064" s="4" t="s">
        <v>50</v>
      </c>
      <c r="F1064" s="2" t="str">
        <f t="shared" si="33"/>
        <v>Routine cognitive</v>
      </c>
    </row>
    <row r="1065" spans="1:6" ht="42.75" x14ac:dyDescent="0.4">
      <c r="A1065" s="3">
        <v>3512</v>
      </c>
      <c r="B1065" s="3" t="str">
        <f t="shared" si="32"/>
        <v>3</v>
      </c>
      <c r="C1065" s="4" t="s">
        <v>285</v>
      </c>
      <c r="D1065" s="5" t="s">
        <v>2005</v>
      </c>
      <c r="E1065" s="4" t="s">
        <v>50</v>
      </c>
      <c r="F1065" s="2" t="str">
        <f t="shared" si="33"/>
        <v>Routine cognitive</v>
      </c>
    </row>
    <row r="1066" spans="1:6" ht="28.5" x14ac:dyDescent="0.4">
      <c r="A1066" s="3">
        <v>3513</v>
      </c>
      <c r="B1066" s="3" t="str">
        <f t="shared" si="32"/>
        <v>3</v>
      </c>
      <c r="C1066" s="4" t="s">
        <v>286</v>
      </c>
      <c r="D1066" s="4" t="s">
        <v>287</v>
      </c>
      <c r="E1066" s="4" t="s">
        <v>50</v>
      </c>
      <c r="F1066" s="2" t="str">
        <f t="shared" si="33"/>
        <v>Routine cognitive</v>
      </c>
    </row>
    <row r="1067" spans="1:6" ht="28.5" x14ac:dyDescent="0.4">
      <c r="A1067" s="3">
        <v>3513</v>
      </c>
      <c r="B1067" s="3" t="str">
        <f t="shared" si="32"/>
        <v>3</v>
      </c>
      <c r="C1067" s="4" t="s">
        <v>286</v>
      </c>
      <c r="D1067" s="4" t="s">
        <v>288</v>
      </c>
      <c r="E1067" s="4" t="s">
        <v>50</v>
      </c>
      <c r="F1067" s="2" t="str">
        <f t="shared" si="33"/>
        <v>Routine cognitive</v>
      </c>
    </row>
    <row r="1068" spans="1:6" ht="28.5" x14ac:dyDescent="0.4">
      <c r="A1068" s="3">
        <v>3513</v>
      </c>
      <c r="B1068" s="3" t="str">
        <f t="shared" si="32"/>
        <v>3</v>
      </c>
      <c r="C1068" s="4" t="s">
        <v>286</v>
      </c>
      <c r="D1068" s="4" t="s">
        <v>289</v>
      </c>
      <c r="E1068" s="4" t="s">
        <v>50</v>
      </c>
      <c r="F1068" s="2" t="str">
        <f t="shared" si="33"/>
        <v>Routine cognitive</v>
      </c>
    </row>
    <row r="1069" spans="1:6" ht="28.5" x14ac:dyDescent="0.4">
      <c r="A1069" s="3">
        <v>3513</v>
      </c>
      <c r="B1069" s="3" t="str">
        <f t="shared" si="32"/>
        <v>3</v>
      </c>
      <c r="C1069" s="4" t="s">
        <v>286</v>
      </c>
      <c r="D1069" s="4" t="s">
        <v>290</v>
      </c>
      <c r="E1069" s="4" t="s">
        <v>4</v>
      </c>
      <c r="F1069" s="2" t="str">
        <f t="shared" si="33"/>
        <v>Non-routine cognitive</v>
      </c>
    </row>
    <row r="1070" spans="1:6" ht="28.5" x14ac:dyDescent="0.4">
      <c r="A1070" s="3">
        <v>3513</v>
      </c>
      <c r="B1070" s="3" t="str">
        <f t="shared" si="32"/>
        <v>3</v>
      </c>
      <c r="C1070" s="4" t="s">
        <v>286</v>
      </c>
      <c r="D1070" s="4" t="s">
        <v>291</v>
      </c>
      <c r="E1070" s="4" t="s">
        <v>50</v>
      </c>
      <c r="F1070" s="2" t="str">
        <f t="shared" si="33"/>
        <v>Routine cognitive</v>
      </c>
    </row>
    <row r="1071" spans="1:6" ht="28.5" x14ac:dyDescent="0.4">
      <c r="A1071" s="3">
        <v>3513</v>
      </c>
      <c r="B1071" s="3" t="str">
        <f t="shared" si="32"/>
        <v>3</v>
      </c>
      <c r="C1071" s="4" t="s">
        <v>286</v>
      </c>
      <c r="D1071" s="4" t="s">
        <v>292</v>
      </c>
      <c r="E1071" s="4" t="s">
        <v>50</v>
      </c>
      <c r="F1071" s="2" t="str">
        <f t="shared" si="33"/>
        <v>Routine cognitive</v>
      </c>
    </row>
    <row r="1072" spans="1:6" ht="42.75" x14ac:dyDescent="0.4">
      <c r="A1072" s="3">
        <v>3514</v>
      </c>
      <c r="B1072" s="3" t="str">
        <f t="shared" si="32"/>
        <v>3</v>
      </c>
      <c r="C1072" s="4" t="s">
        <v>293</v>
      </c>
      <c r="D1072" s="8" t="s">
        <v>2006</v>
      </c>
      <c r="E1072" s="4" t="s">
        <v>50</v>
      </c>
      <c r="F1072" s="2" t="str">
        <f t="shared" si="33"/>
        <v>Routine cognitive</v>
      </c>
    </row>
    <row r="1073" spans="1:6" ht="42.75" x14ac:dyDescent="0.4">
      <c r="A1073" s="3">
        <v>3514</v>
      </c>
      <c r="B1073" s="3" t="str">
        <f t="shared" si="32"/>
        <v>3</v>
      </c>
      <c r="C1073" s="4" t="s">
        <v>293</v>
      </c>
      <c r="D1073" s="5" t="s">
        <v>2007</v>
      </c>
      <c r="E1073" s="4" t="s">
        <v>50</v>
      </c>
      <c r="F1073" s="2" t="str">
        <f t="shared" si="33"/>
        <v>Routine cognitive</v>
      </c>
    </row>
    <row r="1074" spans="1:6" ht="28.5" x14ac:dyDescent="0.4">
      <c r="A1074" s="3">
        <v>3514</v>
      </c>
      <c r="B1074" s="3" t="str">
        <f t="shared" si="32"/>
        <v>3</v>
      </c>
      <c r="C1074" s="4" t="s">
        <v>293</v>
      </c>
      <c r="D1074" s="8" t="s">
        <v>2008</v>
      </c>
      <c r="E1074" s="4" t="s">
        <v>3</v>
      </c>
      <c r="F1074" s="2" t="str">
        <f t="shared" si="33"/>
        <v>Non-routine cognitive</v>
      </c>
    </row>
    <row r="1075" spans="1:6" ht="42.75" x14ac:dyDescent="0.4">
      <c r="A1075" s="3">
        <v>3514</v>
      </c>
      <c r="B1075" s="3" t="str">
        <f t="shared" si="32"/>
        <v>3</v>
      </c>
      <c r="C1075" s="4" t="s">
        <v>293</v>
      </c>
      <c r="D1075" s="5" t="s">
        <v>2009</v>
      </c>
      <c r="E1075" s="4" t="s">
        <v>4</v>
      </c>
      <c r="F1075" s="2" t="str">
        <f t="shared" si="33"/>
        <v>Non-routine cognitive</v>
      </c>
    </row>
    <row r="1076" spans="1:6" ht="28.5" x14ac:dyDescent="0.4">
      <c r="A1076" s="3">
        <v>3514</v>
      </c>
      <c r="B1076" s="3" t="str">
        <f t="shared" si="32"/>
        <v>3</v>
      </c>
      <c r="C1076" s="4" t="s">
        <v>293</v>
      </c>
      <c r="D1076" s="8" t="s">
        <v>2010</v>
      </c>
      <c r="E1076" s="4" t="s">
        <v>3</v>
      </c>
      <c r="F1076" s="2" t="str">
        <f t="shared" si="33"/>
        <v>Non-routine cognitive</v>
      </c>
    </row>
    <row r="1077" spans="1:6" x14ac:dyDescent="0.4">
      <c r="A1077" s="3">
        <v>3514</v>
      </c>
      <c r="B1077" s="3" t="str">
        <f t="shared" si="32"/>
        <v>3</v>
      </c>
      <c r="C1077" s="4" t="s">
        <v>293</v>
      </c>
      <c r="D1077" s="7" t="s">
        <v>294</v>
      </c>
      <c r="E1077" s="4" t="s">
        <v>4</v>
      </c>
      <c r="F1077" s="2" t="str">
        <f t="shared" si="33"/>
        <v>Non-routine cognitive</v>
      </c>
    </row>
    <row r="1078" spans="1:6" ht="28.5" x14ac:dyDescent="0.4">
      <c r="A1078" s="3">
        <v>3514</v>
      </c>
      <c r="B1078" s="3" t="str">
        <f t="shared" si="32"/>
        <v>3</v>
      </c>
      <c r="C1078" s="4" t="s">
        <v>293</v>
      </c>
      <c r="D1078" s="10" t="s">
        <v>2011</v>
      </c>
      <c r="E1078" s="4" t="s">
        <v>50</v>
      </c>
      <c r="F1078" s="2" t="str">
        <f t="shared" si="33"/>
        <v>Routine cognitive</v>
      </c>
    </row>
    <row r="1079" spans="1:6" ht="28.5" x14ac:dyDescent="0.4">
      <c r="A1079" s="3">
        <v>3521</v>
      </c>
      <c r="B1079" s="3" t="str">
        <f t="shared" si="32"/>
        <v>3</v>
      </c>
      <c r="C1079" s="4" t="s">
        <v>295</v>
      </c>
      <c r="D1079" s="14" t="s">
        <v>296</v>
      </c>
      <c r="E1079" s="4" t="s">
        <v>182</v>
      </c>
      <c r="F1079" s="2" t="str">
        <f t="shared" si="33"/>
        <v>Routine manual</v>
      </c>
    </row>
    <row r="1080" spans="1:6" ht="42.75" x14ac:dyDescent="0.4">
      <c r="A1080" s="3">
        <v>3521</v>
      </c>
      <c r="B1080" s="3" t="str">
        <f t="shared" si="32"/>
        <v>3</v>
      </c>
      <c r="C1080" s="4" t="s">
        <v>295</v>
      </c>
      <c r="D1080" s="5" t="s">
        <v>2012</v>
      </c>
      <c r="E1080" s="4" t="s">
        <v>182</v>
      </c>
      <c r="F1080" s="2" t="str">
        <f t="shared" si="33"/>
        <v>Routine manual</v>
      </c>
    </row>
    <row r="1081" spans="1:6" ht="28.5" x14ac:dyDescent="0.4">
      <c r="A1081" s="3">
        <v>3521</v>
      </c>
      <c r="B1081" s="3" t="str">
        <f t="shared" si="32"/>
        <v>3</v>
      </c>
      <c r="C1081" s="4" t="s">
        <v>295</v>
      </c>
      <c r="D1081" s="5" t="s">
        <v>2013</v>
      </c>
      <c r="E1081" s="4" t="s">
        <v>4</v>
      </c>
      <c r="F1081" s="2" t="str">
        <f t="shared" si="33"/>
        <v>Non-routine cognitive</v>
      </c>
    </row>
    <row r="1082" spans="1:6" ht="28.5" x14ac:dyDescent="0.4">
      <c r="A1082" s="3">
        <v>3521</v>
      </c>
      <c r="B1082" s="3" t="str">
        <f t="shared" si="32"/>
        <v>3</v>
      </c>
      <c r="C1082" s="4" t="s">
        <v>295</v>
      </c>
      <c r="D1082" s="5" t="s">
        <v>2014</v>
      </c>
      <c r="E1082" s="4" t="s">
        <v>182</v>
      </c>
      <c r="F1082" s="2" t="str">
        <f t="shared" si="33"/>
        <v>Routine manual</v>
      </c>
    </row>
    <row r="1083" spans="1:6" ht="42.75" x14ac:dyDescent="0.4">
      <c r="A1083" s="3">
        <v>3521</v>
      </c>
      <c r="B1083" s="3" t="str">
        <f t="shared" si="32"/>
        <v>3</v>
      </c>
      <c r="C1083" s="4" t="s">
        <v>295</v>
      </c>
      <c r="D1083" s="5" t="s">
        <v>2015</v>
      </c>
      <c r="E1083" s="4" t="s">
        <v>182</v>
      </c>
      <c r="F1083" s="2" t="str">
        <f t="shared" si="33"/>
        <v>Routine manual</v>
      </c>
    </row>
    <row r="1084" spans="1:6" ht="42.75" x14ac:dyDescent="0.4">
      <c r="A1084" s="3">
        <v>3521</v>
      </c>
      <c r="B1084" s="3" t="str">
        <f t="shared" si="32"/>
        <v>3</v>
      </c>
      <c r="C1084" s="4" t="s">
        <v>295</v>
      </c>
      <c r="D1084" s="5" t="s">
        <v>2016</v>
      </c>
      <c r="E1084" s="4" t="s">
        <v>4</v>
      </c>
      <c r="F1084" s="2" t="str">
        <f t="shared" si="33"/>
        <v>Non-routine cognitive</v>
      </c>
    </row>
    <row r="1085" spans="1:6" ht="28.5" x14ac:dyDescent="0.4">
      <c r="A1085" s="3">
        <v>3521</v>
      </c>
      <c r="B1085" s="3" t="str">
        <f t="shared" si="32"/>
        <v>3</v>
      </c>
      <c r="C1085" s="4" t="s">
        <v>295</v>
      </c>
      <c r="D1085" s="6" t="s">
        <v>297</v>
      </c>
      <c r="E1085" s="4" t="s">
        <v>106</v>
      </c>
      <c r="F1085" s="2" t="str">
        <f t="shared" si="33"/>
        <v>Non-routine manual</v>
      </c>
    </row>
    <row r="1086" spans="1:6" ht="28.5" x14ac:dyDescent="0.4">
      <c r="A1086" s="3">
        <v>4110</v>
      </c>
      <c r="B1086" s="3" t="str">
        <f t="shared" si="32"/>
        <v>4</v>
      </c>
      <c r="C1086" s="4" t="s">
        <v>298</v>
      </c>
      <c r="D1086" s="8" t="s">
        <v>2017</v>
      </c>
      <c r="E1086" s="4" t="s">
        <v>50</v>
      </c>
      <c r="F1086" s="2" t="str">
        <f t="shared" si="33"/>
        <v>Routine cognitive</v>
      </c>
    </row>
    <row r="1087" spans="1:6" x14ac:dyDescent="0.4">
      <c r="A1087" s="3">
        <v>4110</v>
      </c>
      <c r="B1087" s="3" t="str">
        <f t="shared" si="32"/>
        <v>4</v>
      </c>
      <c r="C1087" s="4" t="s">
        <v>298</v>
      </c>
      <c r="D1087" s="14" t="s">
        <v>299</v>
      </c>
      <c r="E1087" s="4" t="s">
        <v>50</v>
      </c>
      <c r="F1087" s="2" t="str">
        <f t="shared" si="33"/>
        <v>Routine cognitive</v>
      </c>
    </row>
    <row r="1088" spans="1:6" x14ac:dyDescent="0.4">
      <c r="A1088" s="3">
        <v>4110</v>
      </c>
      <c r="B1088" s="3" t="str">
        <f t="shared" si="32"/>
        <v>4</v>
      </c>
      <c r="C1088" s="4" t="s">
        <v>298</v>
      </c>
      <c r="D1088" s="6" t="s">
        <v>300</v>
      </c>
      <c r="E1088" s="4" t="s">
        <v>50</v>
      </c>
      <c r="F1088" s="2" t="str">
        <f t="shared" si="33"/>
        <v>Routine cognitive</v>
      </c>
    </row>
    <row r="1089" spans="1:6" ht="28.5" x14ac:dyDescent="0.4">
      <c r="A1089" s="3">
        <v>4110</v>
      </c>
      <c r="B1089" s="3" t="str">
        <f t="shared" si="32"/>
        <v>4</v>
      </c>
      <c r="C1089" s="4" t="s">
        <v>298</v>
      </c>
      <c r="D1089" s="8" t="s">
        <v>2018</v>
      </c>
      <c r="E1089" s="4" t="s">
        <v>50</v>
      </c>
      <c r="F1089" s="2" t="str">
        <f t="shared" si="33"/>
        <v>Routine cognitive</v>
      </c>
    </row>
    <row r="1090" spans="1:6" x14ac:dyDescent="0.4">
      <c r="A1090" s="3">
        <v>4110</v>
      </c>
      <c r="B1090" s="3" t="str">
        <f t="shared" si="32"/>
        <v>4</v>
      </c>
      <c r="C1090" s="4" t="s">
        <v>298</v>
      </c>
      <c r="D1090" s="14" t="s">
        <v>301</v>
      </c>
      <c r="E1090" s="4" t="s">
        <v>50</v>
      </c>
      <c r="F1090" s="2" t="str">
        <f t="shared" si="33"/>
        <v>Routine cognitive</v>
      </c>
    </row>
    <row r="1091" spans="1:6" ht="42.75" x14ac:dyDescent="0.4">
      <c r="A1091" s="3">
        <v>4110</v>
      </c>
      <c r="B1091" s="3" t="str">
        <f t="shared" ref="B1091:B1154" si="34">LEFT(A1091,1)</f>
        <v>4</v>
      </c>
      <c r="C1091" s="4" t="s">
        <v>298</v>
      </c>
      <c r="D1091" s="5" t="s">
        <v>2019</v>
      </c>
      <c r="E1091" s="4" t="s">
        <v>50</v>
      </c>
      <c r="F1091" s="2" t="str">
        <f t="shared" ref="F1091:F1154" si="35">IF(E1091="Non-routine interpersonal","Non-routine cognitive",IF(E1091="Non-routine analytical","Non-routine cognitive",IF(E1091="Non-routine manual physical","Non-routine manual",E1091)))</f>
        <v>Routine cognitive</v>
      </c>
    </row>
    <row r="1092" spans="1:6" ht="42.75" x14ac:dyDescent="0.4">
      <c r="A1092" s="3">
        <v>4110</v>
      </c>
      <c r="B1092" s="3" t="str">
        <f t="shared" si="34"/>
        <v>4</v>
      </c>
      <c r="C1092" s="4" t="s">
        <v>298</v>
      </c>
      <c r="D1092" s="5" t="s">
        <v>2020</v>
      </c>
      <c r="E1092" s="4" t="s">
        <v>50</v>
      </c>
      <c r="F1092" s="2" t="str">
        <f t="shared" si="35"/>
        <v>Routine cognitive</v>
      </c>
    </row>
    <row r="1093" spans="1:6" ht="42.75" x14ac:dyDescent="0.4">
      <c r="A1093" s="3">
        <v>4110</v>
      </c>
      <c r="B1093" s="3" t="str">
        <f t="shared" si="34"/>
        <v>4</v>
      </c>
      <c r="C1093" s="4" t="s">
        <v>298</v>
      </c>
      <c r="D1093" s="5" t="s">
        <v>2021</v>
      </c>
      <c r="E1093" s="4" t="s">
        <v>50</v>
      </c>
      <c r="F1093" s="2" t="str">
        <f t="shared" si="35"/>
        <v>Routine cognitive</v>
      </c>
    </row>
    <row r="1094" spans="1:6" ht="57" x14ac:dyDescent="0.4">
      <c r="A1094" s="3">
        <v>4120</v>
      </c>
      <c r="B1094" s="3" t="str">
        <f t="shared" si="34"/>
        <v>4</v>
      </c>
      <c r="C1094" s="4" t="s">
        <v>302</v>
      </c>
      <c r="D1094" s="5" t="s">
        <v>2022</v>
      </c>
      <c r="E1094" s="4" t="s">
        <v>50</v>
      </c>
      <c r="F1094" s="2" t="str">
        <f t="shared" si="35"/>
        <v>Routine cognitive</v>
      </c>
    </row>
    <row r="1095" spans="1:6" ht="28.5" x14ac:dyDescent="0.4">
      <c r="A1095" s="3">
        <v>4120</v>
      </c>
      <c r="B1095" s="3" t="str">
        <f t="shared" si="34"/>
        <v>4</v>
      </c>
      <c r="C1095" s="4" t="s">
        <v>302</v>
      </c>
      <c r="D1095" s="8" t="s">
        <v>2023</v>
      </c>
      <c r="E1095" s="4" t="s">
        <v>50</v>
      </c>
      <c r="F1095" s="2" t="str">
        <f t="shared" si="35"/>
        <v>Routine cognitive</v>
      </c>
    </row>
    <row r="1096" spans="1:6" x14ac:dyDescent="0.4">
      <c r="A1096" s="3">
        <v>4120</v>
      </c>
      <c r="B1096" s="3" t="str">
        <f t="shared" si="34"/>
        <v>4</v>
      </c>
      <c r="C1096" s="4" t="s">
        <v>302</v>
      </c>
      <c r="D1096" s="6" t="s">
        <v>303</v>
      </c>
      <c r="E1096" s="4" t="s">
        <v>50</v>
      </c>
      <c r="F1096" s="2" t="str">
        <f t="shared" si="35"/>
        <v>Routine cognitive</v>
      </c>
    </row>
    <row r="1097" spans="1:6" ht="28.5" x14ac:dyDescent="0.4">
      <c r="A1097" s="3">
        <v>4120</v>
      </c>
      <c r="B1097" s="3" t="str">
        <f t="shared" si="34"/>
        <v>4</v>
      </c>
      <c r="C1097" s="4" t="s">
        <v>302</v>
      </c>
      <c r="D1097" s="8" t="s">
        <v>2024</v>
      </c>
      <c r="E1097" s="4" t="s">
        <v>50</v>
      </c>
      <c r="F1097" s="2" t="str">
        <f t="shared" si="35"/>
        <v>Routine cognitive</v>
      </c>
    </row>
    <row r="1098" spans="1:6" ht="28.5" x14ac:dyDescent="0.4">
      <c r="A1098" s="3">
        <v>4120</v>
      </c>
      <c r="B1098" s="3" t="str">
        <f t="shared" si="34"/>
        <v>4</v>
      </c>
      <c r="C1098" s="4" t="s">
        <v>302</v>
      </c>
      <c r="D1098" s="8" t="s">
        <v>2025</v>
      </c>
      <c r="E1098" s="4" t="s">
        <v>50</v>
      </c>
      <c r="F1098" s="2" t="str">
        <f t="shared" si="35"/>
        <v>Routine cognitive</v>
      </c>
    </row>
    <row r="1099" spans="1:6" ht="28.5" x14ac:dyDescent="0.4">
      <c r="A1099" s="3">
        <v>4120</v>
      </c>
      <c r="B1099" s="3" t="str">
        <f t="shared" si="34"/>
        <v>4</v>
      </c>
      <c r="C1099" s="4" t="s">
        <v>302</v>
      </c>
      <c r="D1099" s="5" t="s">
        <v>2026</v>
      </c>
      <c r="E1099" s="4" t="s">
        <v>50</v>
      </c>
      <c r="F1099" s="2" t="str">
        <f t="shared" si="35"/>
        <v>Routine cognitive</v>
      </c>
    </row>
    <row r="1100" spans="1:6" x14ac:dyDescent="0.4">
      <c r="A1100" s="3">
        <v>4120</v>
      </c>
      <c r="B1100" s="3" t="str">
        <f t="shared" si="34"/>
        <v>4</v>
      </c>
      <c r="C1100" s="4" t="s">
        <v>302</v>
      </c>
      <c r="D1100" s="7" t="s">
        <v>304</v>
      </c>
      <c r="E1100" s="4" t="s">
        <v>50</v>
      </c>
      <c r="F1100" s="2" t="str">
        <f t="shared" si="35"/>
        <v>Routine cognitive</v>
      </c>
    </row>
    <row r="1101" spans="1:6" ht="28.5" x14ac:dyDescent="0.4">
      <c r="A1101" s="3">
        <v>4120</v>
      </c>
      <c r="B1101" s="3" t="str">
        <f t="shared" si="34"/>
        <v>4</v>
      </c>
      <c r="C1101" s="4" t="s">
        <v>302</v>
      </c>
      <c r="D1101" s="8" t="s">
        <v>2027</v>
      </c>
      <c r="E1101" s="4" t="s">
        <v>50</v>
      </c>
      <c r="F1101" s="2" t="str">
        <f t="shared" si="35"/>
        <v>Routine cognitive</v>
      </c>
    </row>
    <row r="1102" spans="1:6" ht="28.5" x14ac:dyDescent="0.4">
      <c r="A1102" s="3">
        <v>4131</v>
      </c>
      <c r="B1102" s="3" t="str">
        <f t="shared" si="34"/>
        <v>4</v>
      </c>
      <c r="C1102" s="4" t="s">
        <v>305</v>
      </c>
      <c r="D1102" s="6" t="s">
        <v>306</v>
      </c>
      <c r="E1102" s="4" t="s">
        <v>50</v>
      </c>
      <c r="F1102" s="2" t="str">
        <f t="shared" si="35"/>
        <v>Routine cognitive</v>
      </c>
    </row>
    <row r="1103" spans="1:6" ht="28.5" x14ac:dyDescent="0.4">
      <c r="A1103" s="3">
        <v>4131</v>
      </c>
      <c r="B1103" s="3" t="str">
        <f t="shared" si="34"/>
        <v>4</v>
      </c>
      <c r="C1103" s="4" t="s">
        <v>305</v>
      </c>
      <c r="D1103" s="6" t="s">
        <v>307</v>
      </c>
      <c r="E1103" s="4" t="s">
        <v>50</v>
      </c>
      <c r="F1103" s="2" t="str">
        <f t="shared" si="35"/>
        <v>Routine cognitive</v>
      </c>
    </row>
    <row r="1104" spans="1:6" ht="28.5" x14ac:dyDescent="0.4">
      <c r="A1104" s="3">
        <v>4131</v>
      </c>
      <c r="B1104" s="3" t="str">
        <f t="shared" si="34"/>
        <v>4</v>
      </c>
      <c r="C1104" s="4" t="s">
        <v>305</v>
      </c>
      <c r="D1104" s="7" t="s">
        <v>308</v>
      </c>
      <c r="E1104" s="4" t="s">
        <v>50</v>
      </c>
      <c r="F1104" s="2" t="str">
        <f t="shared" si="35"/>
        <v>Routine cognitive</v>
      </c>
    </row>
    <row r="1105" spans="1:6" ht="57" x14ac:dyDescent="0.4">
      <c r="A1105" s="3">
        <v>4131</v>
      </c>
      <c r="B1105" s="3" t="str">
        <f t="shared" si="34"/>
        <v>4</v>
      </c>
      <c r="C1105" s="4" t="s">
        <v>305</v>
      </c>
      <c r="D1105" s="5" t="s">
        <v>2028</v>
      </c>
      <c r="E1105" s="4" t="s">
        <v>50</v>
      </c>
      <c r="F1105" s="2" t="str">
        <f t="shared" si="35"/>
        <v>Routine cognitive</v>
      </c>
    </row>
    <row r="1106" spans="1:6" ht="28.5" x14ac:dyDescent="0.4">
      <c r="A1106" s="3">
        <v>4131</v>
      </c>
      <c r="B1106" s="3" t="str">
        <f t="shared" si="34"/>
        <v>4</v>
      </c>
      <c r="C1106" s="4" t="s">
        <v>305</v>
      </c>
      <c r="D1106" s="10" t="s">
        <v>2029</v>
      </c>
      <c r="E1106" s="4" t="s">
        <v>50</v>
      </c>
      <c r="F1106" s="2" t="str">
        <f t="shared" si="35"/>
        <v>Routine cognitive</v>
      </c>
    </row>
    <row r="1107" spans="1:6" ht="42.75" x14ac:dyDescent="0.4">
      <c r="A1107" s="3">
        <v>4131</v>
      </c>
      <c r="B1107" s="3" t="str">
        <f t="shared" si="34"/>
        <v>4</v>
      </c>
      <c r="C1107" s="4" t="s">
        <v>305</v>
      </c>
      <c r="D1107" s="8" t="s">
        <v>2030</v>
      </c>
      <c r="E1107" s="4" t="s">
        <v>50</v>
      </c>
      <c r="F1107" s="2" t="str">
        <f t="shared" si="35"/>
        <v>Routine cognitive</v>
      </c>
    </row>
    <row r="1108" spans="1:6" ht="28.5" x14ac:dyDescent="0.4">
      <c r="A1108" s="3">
        <v>4131</v>
      </c>
      <c r="B1108" s="3" t="str">
        <f t="shared" si="34"/>
        <v>4</v>
      </c>
      <c r="C1108" s="4" t="s">
        <v>305</v>
      </c>
      <c r="D1108" s="6" t="s">
        <v>309</v>
      </c>
      <c r="E1108" s="4" t="s">
        <v>50</v>
      </c>
      <c r="F1108" s="2" t="str">
        <f t="shared" si="35"/>
        <v>Routine cognitive</v>
      </c>
    </row>
    <row r="1109" spans="1:6" ht="42.75" x14ac:dyDescent="0.4">
      <c r="A1109" s="3">
        <v>4132</v>
      </c>
      <c r="B1109" s="3" t="str">
        <f t="shared" si="34"/>
        <v>4</v>
      </c>
      <c r="C1109" s="4" t="s">
        <v>310</v>
      </c>
      <c r="D1109" s="5" t="s">
        <v>2031</v>
      </c>
      <c r="E1109" s="4" t="s">
        <v>50</v>
      </c>
      <c r="F1109" s="2" t="str">
        <f t="shared" si="35"/>
        <v>Routine cognitive</v>
      </c>
    </row>
    <row r="1110" spans="1:6" ht="42.75" x14ac:dyDescent="0.4">
      <c r="A1110" s="3">
        <v>4132</v>
      </c>
      <c r="B1110" s="3" t="str">
        <f t="shared" si="34"/>
        <v>4</v>
      </c>
      <c r="C1110" s="4" t="s">
        <v>310</v>
      </c>
      <c r="D1110" s="8" t="s">
        <v>2032</v>
      </c>
      <c r="E1110" s="4" t="s">
        <v>50</v>
      </c>
      <c r="F1110" s="2" t="str">
        <f t="shared" si="35"/>
        <v>Routine cognitive</v>
      </c>
    </row>
    <row r="1111" spans="1:6" ht="42.75" x14ac:dyDescent="0.4">
      <c r="A1111" s="3">
        <v>4132</v>
      </c>
      <c r="B1111" s="3" t="str">
        <f t="shared" si="34"/>
        <v>4</v>
      </c>
      <c r="C1111" s="4" t="s">
        <v>310</v>
      </c>
      <c r="D1111" s="10" t="s">
        <v>2033</v>
      </c>
      <c r="E1111" s="4" t="s">
        <v>50</v>
      </c>
      <c r="F1111" s="2" t="str">
        <f t="shared" si="35"/>
        <v>Routine cognitive</v>
      </c>
    </row>
    <row r="1112" spans="1:6" x14ac:dyDescent="0.4">
      <c r="A1112" s="3">
        <v>4132</v>
      </c>
      <c r="B1112" s="3" t="str">
        <f t="shared" si="34"/>
        <v>4</v>
      </c>
      <c r="C1112" s="4" t="s">
        <v>310</v>
      </c>
      <c r="D1112" s="7" t="s">
        <v>311</v>
      </c>
      <c r="E1112" s="4" t="s">
        <v>50</v>
      </c>
      <c r="F1112" s="2" t="str">
        <f t="shared" si="35"/>
        <v>Routine cognitive</v>
      </c>
    </row>
    <row r="1113" spans="1:6" ht="28.5" x14ac:dyDescent="0.4">
      <c r="A1113" s="3">
        <v>4132</v>
      </c>
      <c r="B1113" s="3" t="str">
        <f t="shared" si="34"/>
        <v>4</v>
      </c>
      <c r="C1113" s="4" t="s">
        <v>310</v>
      </c>
      <c r="D1113" s="6" t="s">
        <v>3659</v>
      </c>
      <c r="E1113" s="4" t="s">
        <v>50</v>
      </c>
      <c r="F1113" s="2" t="str">
        <f t="shared" si="35"/>
        <v>Routine cognitive</v>
      </c>
    </row>
    <row r="1114" spans="1:6" ht="57" x14ac:dyDescent="0.4">
      <c r="A1114" s="3">
        <v>4211</v>
      </c>
      <c r="B1114" s="3" t="str">
        <f t="shared" si="34"/>
        <v>4</v>
      </c>
      <c r="C1114" s="4" t="s">
        <v>312</v>
      </c>
      <c r="D1114" s="5" t="s">
        <v>2034</v>
      </c>
      <c r="E1114" s="4" t="s">
        <v>50</v>
      </c>
      <c r="F1114" s="2" t="str">
        <f t="shared" si="35"/>
        <v>Routine cognitive</v>
      </c>
    </row>
    <row r="1115" spans="1:6" x14ac:dyDescent="0.4">
      <c r="A1115" s="3">
        <v>4211</v>
      </c>
      <c r="B1115" s="3" t="str">
        <f t="shared" si="34"/>
        <v>4</v>
      </c>
      <c r="C1115" s="4" t="s">
        <v>312</v>
      </c>
      <c r="D1115" s="7" t="s">
        <v>313</v>
      </c>
      <c r="E1115" s="4" t="s">
        <v>50</v>
      </c>
      <c r="F1115" s="2" t="str">
        <f t="shared" si="35"/>
        <v>Routine cognitive</v>
      </c>
    </row>
    <row r="1116" spans="1:6" ht="28.5" x14ac:dyDescent="0.4">
      <c r="A1116" s="3">
        <v>4211</v>
      </c>
      <c r="B1116" s="3" t="str">
        <f t="shared" si="34"/>
        <v>4</v>
      </c>
      <c r="C1116" s="4" t="s">
        <v>312</v>
      </c>
      <c r="D1116" s="8" t="s">
        <v>2035</v>
      </c>
      <c r="E1116" s="4" t="s">
        <v>50</v>
      </c>
      <c r="F1116" s="2" t="str">
        <f t="shared" si="35"/>
        <v>Routine cognitive</v>
      </c>
    </row>
    <row r="1117" spans="1:6" ht="57" x14ac:dyDescent="0.4">
      <c r="A1117" s="3">
        <v>4211</v>
      </c>
      <c r="B1117" s="3" t="str">
        <f t="shared" si="34"/>
        <v>4</v>
      </c>
      <c r="C1117" s="4" t="s">
        <v>312</v>
      </c>
      <c r="D1117" s="8" t="s">
        <v>2036</v>
      </c>
      <c r="E1117" s="4" t="s">
        <v>50</v>
      </c>
      <c r="F1117" s="2" t="str">
        <f t="shared" si="35"/>
        <v>Routine cognitive</v>
      </c>
    </row>
    <row r="1118" spans="1:6" ht="28.5" x14ac:dyDescent="0.4">
      <c r="A1118" s="3">
        <v>4211</v>
      </c>
      <c r="B1118" s="3" t="str">
        <f t="shared" si="34"/>
        <v>4</v>
      </c>
      <c r="C1118" s="4" t="s">
        <v>312</v>
      </c>
      <c r="D1118" s="8" t="s">
        <v>2037</v>
      </c>
      <c r="E1118" s="4" t="s">
        <v>50</v>
      </c>
      <c r="F1118" s="2" t="str">
        <f t="shared" si="35"/>
        <v>Routine cognitive</v>
      </c>
    </row>
    <row r="1119" spans="1:6" ht="28.5" x14ac:dyDescent="0.4">
      <c r="A1119" s="3">
        <v>4211</v>
      </c>
      <c r="B1119" s="3" t="str">
        <f t="shared" si="34"/>
        <v>4</v>
      </c>
      <c r="C1119" s="4" t="s">
        <v>312</v>
      </c>
      <c r="D1119" s="8" t="s">
        <v>2038</v>
      </c>
      <c r="E1119" s="4" t="s">
        <v>50</v>
      </c>
      <c r="F1119" s="2" t="str">
        <f t="shared" si="35"/>
        <v>Routine cognitive</v>
      </c>
    </row>
    <row r="1120" spans="1:6" ht="28.5" x14ac:dyDescent="0.4">
      <c r="A1120" s="3">
        <v>4212</v>
      </c>
      <c r="B1120" s="3" t="str">
        <f t="shared" si="34"/>
        <v>4</v>
      </c>
      <c r="C1120" s="4" t="s">
        <v>314</v>
      </c>
      <c r="D1120" s="8" t="s">
        <v>2039</v>
      </c>
      <c r="E1120" s="4" t="s">
        <v>4</v>
      </c>
      <c r="F1120" s="2" t="str">
        <f t="shared" si="35"/>
        <v>Non-routine cognitive</v>
      </c>
    </row>
    <row r="1121" spans="1:6" ht="28.5" x14ac:dyDescent="0.4">
      <c r="A1121" s="3">
        <v>4212</v>
      </c>
      <c r="B1121" s="3" t="str">
        <f t="shared" si="34"/>
        <v>4</v>
      </c>
      <c r="C1121" s="4" t="s">
        <v>314</v>
      </c>
      <c r="D1121" s="6" t="s">
        <v>315</v>
      </c>
      <c r="E1121" s="4" t="s">
        <v>50</v>
      </c>
      <c r="F1121" s="2" t="str">
        <f t="shared" si="35"/>
        <v>Routine cognitive</v>
      </c>
    </row>
    <row r="1122" spans="1:6" ht="28.5" x14ac:dyDescent="0.4">
      <c r="A1122" s="3">
        <v>4212</v>
      </c>
      <c r="B1122" s="3" t="str">
        <f t="shared" si="34"/>
        <v>4</v>
      </c>
      <c r="C1122" s="4" t="s">
        <v>314</v>
      </c>
      <c r="D1122" s="8" t="s">
        <v>2040</v>
      </c>
      <c r="E1122" s="4" t="s">
        <v>106</v>
      </c>
      <c r="F1122" s="2" t="str">
        <f t="shared" si="35"/>
        <v>Non-routine manual</v>
      </c>
    </row>
    <row r="1123" spans="1:6" ht="28.5" x14ac:dyDescent="0.4">
      <c r="A1123" s="3">
        <v>4212</v>
      </c>
      <c r="B1123" s="3" t="str">
        <f t="shared" si="34"/>
        <v>4</v>
      </c>
      <c r="C1123" s="4" t="s">
        <v>314</v>
      </c>
      <c r="D1123" s="8" t="s">
        <v>2041</v>
      </c>
      <c r="E1123" s="4" t="s">
        <v>4</v>
      </c>
      <c r="F1123" s="2" t="str">
        <f t="shared" si="35"/>
        <v>Non-routine cognitive</v>
      </c>
    </row>
    <row r="1124" spans="1:6" ht="28.5" x14ac:dyDescent="0.4">
      <c r="A1124" s="3">
        <v>4212</v>
      </c>
      <c r="B1124" s="3" t="str">
        <f t="shared" si="34"/>
        <v>4</v>
      </c>
      <c r="C1124" s="4" t="s">
        <v>314</v>
      </c>
      <c r="D1124" s="8" t="s">
        <v>2042</v>
      </c>
      <c r="E1124" s="4" t="s">
        <v>50</v>
      </c>
      <c r="F1124" s="2" t="str">
        <f t="shared" si="35"/>
        <v>Routine cognitive</v>
      </c>
    </row>
    <row r="1125" spans="1:6" ht="28.5" x14ac:dyDescent="0.4">
      <c r="A1125" s="3">
        <v>4213</v>
      </c>
      <c r="B1125" s="3" t="str">
        <f t="shared" si="34"/>
        <v>4</v>
      </c>
      <c r="C1125" s="4" t="s">
        <v>316</v>
      </c>
      <c r="D1125" s="8" t="s">
        <v>2043</v>
      </c>
      <c r="E1125" s="4" t="s">
        <v>4</v>
      </c>
      <c r="F1125" s="2" t="str">
        <f t="shared" si="35"/>
        <v>Non-routine cognitive</v>
      </c>
    </row>
    <row r="1126" spans="1:6" ht="42.75" x14ac:dyDescent="0.4">
      <c r="A1126" s="3">
        <v>4213</v>
      </c>
      <c r="B1126" s="3" t="str">
        <f t="shared" si="34"/>
        <v>4</v>
      </c>
      <c r="C1126" s="4" t="s">
        <v>316</v>
      </c>
      <c r="D1126" s="5" t="s">
        <v>2044</v>
      </c>
      <c r="E1126" s="4" t="s">
        <v>50</v>
      </c>
      <c r="F1126" s="2" t="str">
        <f t="shared" si="35"/>
        <v>Routine cognitive</v>
      </c>
    </row>
    <row r="1127" spans="1:6" ht="42.75" x14ac:dyDescent="0.4">
      <c r="A1127" s="3">
        <v>4213</v>
      </c>
      <c r="B1127" s="3" t="str">
        <f t="shared" si="34"/>
        <v>4</v>
      </c>
      <c r="C1127" s="4" t="s">
        <v>316</v>
      </c>
      <c r="D1127" s="5" t="s">
        <v>2045</v>
      </c>
      <c r="E1127" s="4" t="s">
        <v>50</v>
      </c>
      <c r="F1127" s="2" t="str">
        <f t="shared" si="35"/>
        <v>Routine cognitive</v>
      </c>
    </row>
    <row r="1128" spans="1:6" ht="42.75" x14ac:dyDescent="0.4">
      <c r="A1128" s="3">
        <v>4213</v>
      </c>
      <c r="B1128" s="3" t="str">
        <f t="shared" si="34"/>
        <v>4</v>
      </c>
      <c r="C1128" s="4" t="s">
        <v>316</v>
      </c>
      <c r="D1128" s="8" t="s">
        <v>2046</v>
      </c>
      <c r="E1128" s="4" t="s">
        <v>50</v>
      </c>
      <c r="F1128" s="2" t="str">
        <f t="shared" si="35"/>
        <v>Routine cognitive</v>
      </c>
    </row>
    <row r="1129" spans="1:6" ht="28.5" x14ac:dyDescent="0.4">
      <c r="A1129" s="3">
        <v>4213</v>
      </c>
      <c r="B1129" s="3" t="str">
        <f t="shared" si="34"/>
        <v>4</v>
      </c>
      <c r="C1129" s="4" t="s">
        <v>316</v>
      </c>
      <c r="D1129" s="8" t="s">
        <v>2047</v>
      </c>
      <c r="E1129" s="4" t="s">
        <v>50</v>
      </c>
      <c r="F1129" s="2" t="str">
        <f t="shared" si="35"/>
        <v>Routine cognitive</v>
      </c>
    </row>
    <row r="1130" spans="1:6" x14ac:dyDescent="0.4">
      <c r="A1130" s="3">
        <v>4214</v>
      </c>
      <c r="B1130" s="3" t="str">
        <f t="shared" si="34"/>
        <v>4</v>
      </c>
      <c r="C1130" s="4" t="s">
        <v>317</v>
      </c>
      <c r="D1130" s="14" t="s">
        <v>318</v>
      </c>
      <c r="E1130" s="4" t="s">
        <v>50</v>
      </c>
      <c r="F1130" s="2" t="str">
        <f t="shared" si="35"/>
        <v>Routine cognitive</v>
      </c>
    </row>
    <row r="1131" spans="1:6" ht="28.5" x14ac:dyDescent="0.4">
      <c r="A1131" s="3">
        <v>4214</v>
      </c>
      <c r="B1131" s="3" t="str">
        <f t="shared" si="34"/>
        <v>4</v>
      </c>
      <c r="C1131" s="4" t="s">
        <v>317</v>
      </c>
      <c r="D1131" s="8" t="s">
        <v>2048</v>
      </c>
      <c r="E1131" s="4" t="s">
        <v>3</v>
      </c>
      <c r="F1131" s="2" t="str">
        <f t="shared" si="35"/>
        <v>Non-routine cognitive</v>
      </c>
    </row>
    <row r="1132" spans="1:6" ht="42.75" x14ac:dyDescent="0.4">
      <c r="A1132" s="3">
        <v>4214</v>
      </c>
      <c r="B1132" s="3" t="str">
        <f t="shared" si="34"/>
        <v>4</v>
      </c>
      <c r="C1132" s="4" t="s">
        <v>317</v>
      </c>
      <c r="D1132" s="5" t="s">
        <v>2049</v>
      </c>
      <c r="E1132" s="4" t="s">
        <v>50</v>
      </c>
      <c r="F1132" s="2" t="str">
        <f t="shared" si="35"/>
        <v>Routine cognitive</v>
      </c>
    </row>
    <row r="1133" spans="1:6" ht="42.75" x14ac:dyDescent="0.4">
      <c r="A1133" s="3">
        <v>4214</v>
      </c>
      <c r="B1133" s="3" t="str">
        <f t="shared" si="34"/>
        <v>4</v>
      </c>
      <c r="C1133" s="4" t="s">
        <v>317</v>
      </c>
      <c r="D1133" s="8" t="s">
        <v>2050</v>
      </c>
      <c r="E1133" s="4" t="s">
        <v>3</v>
      </c>
      <c r="F1133" s="2" t="str">
        <f t="shared" si="35"/>
        <v>Non-routine cognitive</v>
      </c>
    </row>
    <row r="1134" spans="1:6" x14ac:dyDescent="0.4">
      <c r="A1134" s="3">
        <v>4214</v>
      </c>
      <c r="B1134" s="3" t="str">
        <f t="shared" si="34"/>
        <v>4</v>
      </c>
      <c r="C1134" s="4" t="s">
        <v>317</v>
      </c>
      <c r="D1134" s="6" t="s">
        <v>319</v>
      </c>
      <c r="E1134" s="4" t="s">
        <v>3</v>
      </c>
      <c r="F1134" s="2" t="str">
        <f t="shared" si="35"/>
        <v>Non-routine cognitive</v>
      </c>
    </row>
    <row r="1135" spans="1:6" ht="57" x14ac:dyDescent="0.4">
      <c r="A1135" s="3">
        <v>4221</v>
      </c>
      <c r="B1135" s="3" t="str">
        <f t="shared" si="34"/>
        <v>4</v>
      </c>
      <c r="C1135" s="4" t="s">
        <v>320</v>
      </c>
      <c r="D1135" s="5" t="s">
        <v>2051</v>
      </c>
      <c r="E1135" s="4" t="s">
        <v>4</v>
      </c>
      <c r="F1135" s="2" t="str">
        <f t="shared" si="35"/>
        <v>Non-routine cognitive</v>
      </c>
    </row>
    <row r="1136" spans="1:6" ht="42.75" x14ac:dyDescent="0.4">
      <c r="A1136" s="3">
        <v>4221</v>
      </c>
      <c r="B1136" s="3" t="str">
        <f t="shared" si="34"/>
        <v>4</v>
      </c>
      <c r="C1136" s="4" t="s">
        <v>320</v>
      </c>
      <c r="D1136" s="5" t="s">
        <v>2052</v>
      </c>
      <c r="E1136" s="4" t="s">
        <v>50</v>
      </c>
      <c r="F1136" s="2" t="str">
        <f t="shared" si="35"/>
        <v>Routine cognitive</v>
      </c>
    </row>
    <row r="1137" spans="1:6" x14ac:dyDescent="0.4">
      <c r="A1137" s="3">
        <v>4221</v>
      </c>
      <c r="B1137" s="3" t="str">
        <f t="shared" si="34"/>
        <v>4</v>
      </c>
      <c r="C1137" s="4" t="s">
        <v>320</v>
      </c>
      <c r="D1137" s="16" t="s">
        <v>321</v>
      </c>
      <c r="E1137" s="4" t="s">
        <v>50</v>
      </c>
      <c r="F1137" s="2" t="str">
        <f t="shared" si="35"/>
        <v>Routine cognitive</v>
      </c>
    </row>
    <row r="1138" spans="1:6" ht="28.5" x14ac:dyDescent="0.4">
      <c r="A1138" s="3">
        <v>4221</v>
      </c>
      <c r="B1138" s="3" t="str">
        <f t="shared" si="34"/>
        <v>4</v>
      </c>
      <c r="C1138" s="4" t="s">
        <v>320</v>
      </c>
      <c r="D1138" s="8" t="s">
        <v>2053</v>
      </c>
      <c r="E1138" s="4" t="s">
        <v>50</v>
      </c>
      <c r="F1138" s="2" t="str">
        <f t="shared" si="35"/>
        <v>Routine cognitive</v>
      </c>
    </row>
    <row r="1139" spans="1:6" x14ac:dyDescent="0.4">
      <c r="A1139" s="3">
        <v>4221</v>
      </c>
      <c r="B1139" s="3" t="str">
        <f t="shared" si="34"/>
        <v>4</v>
      </c>
      <c r="C1139" s="4" t="s">
        <v>320</v>
      </c>
      <c r="D1139" s="14" t="s">
        <v>322</v>
      </c>
      <c r="E1139" s="4" t="s">
        <v>50</v>
      </c>
      <c r="F1139" s="2" t="str">
        <f t="shared" si="35"/>
        <v>Routine cognitive</v>
      </c>
    </row>
    <row r="1140" spans="1:6" ht="42.75" x14ac:dyDescent="0.4">
      <c r="A1140" s="3">
        <v>4221</v>
      </c>
      <c r="B1140" s="3" t="str">
        <f t="shared" si="34"/>
        <v>4</v>
      </c>
      <c r="C1140" s="4" t="s">
        <v>320</v>
      </c>
      <c r="D1140" s="5" t="s">
        <v>2054</v>
      </c>
      <c r="E1140" s="4" t="s">
        <v>50</v>
      </c>
      <c r="F1140" s="2" t="str">
        <f t="shared" si="35"/>
        <v>Routine cognitive</v>
      </c>
    </row>
    <row r="1141" spans="1:6" x14ac:dyDescent="0.4">
      <c r="A1141" s="3">
        <v>4221</v>
      </c>
      <c r="B1141" s="3" t="str">
        <f t="shared" si="34"/>
        <v>4</v>
      </c>
      <c r="C1141" s="4" t="s">
        <v>320</v>
      </c>
      <c r="D1141" s="6" t="s">
        <v>323</v>
      </c>
      <c r="E1141" s="4" t="s">
        <v>50</v>
      </c>
      <c r="F1141" s="2" t="str">
        <f t="shared" si="35"/>
        <v>Routine cognitive</v>
      </c>
    </row>
    <row r="1142" spans="1:6" ht="42.75" x14ac:dyDescent="0.4">
      <c r="A1142" s="3">
        <v>4222</v>
      </c>
      <c r="B1142" s="3" t="str">
        <f t="shared" si="34"/>
        <v>4</v>
      </c>
      <c r="C1142" s="4" t="s">
        <v>324</v>
      </c>
      <c r="D1142" s="5" t="s">
        <v>2055</v>
      </c>
      <c r="E1142" s="4" t="s">
        <v>50</v>
      </c>
      <c r="F1142" s="2" t="str">
        <f t="shared" si="35"/>
        <v>Routine cognitive</v>
      </c>
    </row>
    <row r="1143" spans="1:6" x14ac:dyDescent="0.4">
      <c r="A1143" s="3">
        <v>4222</v>
      </c>
      <c r="B1143" s="3" t="str">
        <f t="shared" si="34"/>
        <v>4</v>
      </c>
      <c r="C1143" s="4" t="s">
        <v>324</v>
      </c>
      <c r="D1143" s="4" t="s">
        <v>325</v>
      </c>
      <c r="E1143" s="4" t="s">
        <v>50</v>
      </c>
      <c r="F1143" s="2" t="str">
        <f t="shared" si="35"/>
        <v>Routine cognitive</v>
      </c>
    </row>
    <row r="1144" spans="1:6" x14ac:dyDescent="0.4">
      <c r="A1144" s="3">
        <v>4222</v>
      </c>
      <c r="B1144" s="3" t="str">
        <f t="shared" si="34"/>
        <v>4</v>
      </c>
      <c r="C1144" s="4" t="s">
        <v>324</v>
      </c>
      <c r="D1144" s="7" t="s">
        <v>326</v>
      </c>
      <c r="E1144" s="4" t="s">
        <v>50</v>
      </c>
      <c r="F1144" s="2" t="str">
        <f t="shared" si="35"/>
        <v>Routine cognitive</v>
      </c>
    </row>
    <row r="1145" spans="1:6" x14ac:dyDescent="0.4">
      <c r="A1145" s="3">
        <v>4222</v>
      </c>
      <c r="B1145" s="3" t="str">
        <f t="shared" si="34"/>
        <v>4</v>
      </c>
      <c r="C1145" s="4" t="s">
        <v>324</v>
      </c>
      <c r="D1145" s="6" t="s">
        <v>327</v>
      </c>
      <c r="E1145" s="4" t="s">
        <v>50</v>
      </c>
      <c r="F1145" s="2" t="str">
        <f t="shared" si="35"/>
        <v>Routine cognitive</v>
      </c>
    </row>
    <row r="1146" spans="1:6" ht="28.5" x14ac:dyDescent="0.4">
      <c r="A1146" s="3">
        <v>4222</v>
      </c>
      <c r="B1146" s="3" t="str">
        <f t="shared" si="34"/>
        <v>4</v>
      </c>
      <c r="C1146" s="4" t="s">
        <v>324</v>
      </c>
      <c r="D1146" s="5" t="s">
        <v>2056</v>
      </c>
      <c r="E1146" s="4" t="s">
        <v>50</v>
      </c>
      <c r="F1146" s="2" t="str">
        <f t="shared" si="35"/>
        <v>Routine cognitive</v>
      </c>
    </row>
    <row r="1147" spans="1:6" x14ac:dyDescent="0.4">
      <c r="A1147" s="3">
        <v>4222</v>
      </c>
      <c r="B1147" s="3" t="str">
        <f t="shared" si="34"/>
        <v>4</v>
      </c>
      <c r="C1147" s="4" t="s">
        <v>324</v>
      </c>
      <c r="D1147" s="6" t="s">
        <v>328</v>
      </c>
      <c r="E1147" s="4" t="s">
        <v>4</v>
      </c>
      <c r="F1147" s="2" t="str">
        <f t="shared" si="35"/>
        <v>Non-routine cognitive</v>
      </c>
    </row>
    <row r="1148" spans="1:6" ht="28.5" x14ac:dyDescent="0.4">
      <c r="A1148" s="3">
        <v>4224</v>
      </c>
      <c r="B1148" s="3" t="str">
        <f t="shared" si="34"/>
        <v>4</v>
      </c>
      <c r="C1148" s="4" t="s">
        <v>329</v>
      </c>
      <c r="D1148" s="5" t="s">
        <v>2057</v>
      </c>
      <c r="E1148" s="4" t="s">
        <v>50</v>
      </c>
      <c r="F1148" s="2" t="str">
        <f t="shared" si="35"/>
        <v>Routine cognitive</v>
      </c>
    </row>
    <row r="1149" spans="1:6" ht="42.75" x14ac:dyDescent="0.4">
      <c r="A1149" s="3">
        <v>4224</v>
      </c>
      <c r="B1149" s="3" t="str">
        <f t="shared" si="34"/>
        <v>4</v>
      </c>
      <c r="C1149" s="4" t="s">
        <v>329</v>
      </c>
      <c r="D1149" s="8" t="s">
        <v>2058</v>
      </c>
      <c r="E1149" s="4" t="s">
        <v>50</v>
      </c>
      <c r="F1149" s="2" t="str">
        <f t="shared" si="35"/>
        <v>Routine cognitive</v>
      </c>
    </row>
    <row r="1150" spans="1:6" ht="28.5" x14ac:dyDescent="0.4">
      <c r="A1150" s="3">
        <v>4224</v>
      </c>
      <c r="B1150" s="3" t="str">
        <f t="shared" si="34"/>
        <v>4</v>
      </c>
      <c r="C1150" s="4" t="s">
        <v>329</v>
      </c>
      <c r="D1150" s="5" t="s">
        <v>2059</v>
      </c>
      <c r="E1150" s="4" t="s">
        <v>50</v>
      </c>
      <c r="F1150" s="2" t="str">
        <f t="shared" si="35"/>
        <v>Routine cognitive</v>
      </c>
    </row>
    <row r="1151" spans="1:6" ht="28.5" x14ac:dyDescent="0.4">
      <c r="A1151" s="3">
        <v>4224</v>
      </c>
      <c r="B1151" s="3" t="str">
        <f t="shared" si="34"/>
        <v>4</v>
      </c>
      <c r="C1151" s="4" t="s">
        <v>329</v>
      </c>
      <c r="D1151" s="5" t="s">
        <v>2060</v>
      </c>
      <c r="E1151" s="4" t="s">
        <v>50</v>
      </c>
      <c r="F1151" s="2" t="str">
        <f t="shared" si="35"/>
        <v>Routine cognitive</v>
      </c>
    </row>
    <row r="1152" spans="1:6" ht="28.5" x14ac:dyDescent="0.4">
      <c r="A1152" s="3">
        <v>4224</v>
      </c>
      <c r="B1152" s="3" t="str">
        <f t="shared" si="34"/>
        <v>4</v>
      </c>
      <c r="C1152" s="4" t="s">
        <v>329</v>
      </c>
      <c r="D1152" s="5" t="s">
        <v>2061</v>
      </c>
      <c r="E1152" s="4" t="s">
        <v>50</v>
      </c>
      <c r="F1152" s="2" t="str">
        <f t="shared" si="35"/>
        <v>Routine cognitive</v>
      </c>
    </row>
    <row r="1153" spans="1:6" x14ac:dyDescent="0.4">
      <c r="A1153" s="3">
        <v>4224</v>
      </c>
      <c r="B1153" s="3" t="str">
        <f t="shared" si="34"/>
        <v>4</v>
      </c>
      <c r="C1153" s="4" t="s">
        <v>329</v>
      </c>
      <c r="D1153" s="4" t="s">
        <v>330</v>
      </c>
      <c r="E1153" s="4" t="s">
        <v>50</v>
      </c>
      <c r="F1153" s="2" t="str">
        <f t="shared" si="35"/>
        <v>Routine cognitive</v>
      </c>
    </row>
    <row r="1154" spans="1:6" ht="42.75" x14ac:dyDescent="0.4">
      <c r="A1154" s="3">
        <v>4224</v>
      </c>
      <c r="B1154" s="3" t="str">
        <f t="shared" si="34"/>
        <v>4</v>
      </c>
      <c r="C1154" s="4" t="s">
        <v>329</v>
      </c>
      <c r="D1154" s="5" t="s">
        <v>2062</v>
      </c>
      <c r="E1154" s="4" t="s">
        <v>50</v>
      </c>
      <c r="F1154" s="2" t="str">
        <f t="shared" si="35"/>
        <v>Routine cognitive</v>
      </c>
    </row>
    <row r="1155" spans="1:6" ht="28.5" x14ac:dyDescent="0.4">
      <c r="A1155" s="3">
        <v>4224</v>
      </c>
      <c r="B1155" s="3" t="str">
        <f t="shared" ref="B1155:B1218" si="36">LEFT(A1155,1)</f>
        <v>4</v>
      </c>
      <c r="C1155" s="4" t="s">
        <v>329</v>
      </c>
      <c r="D1155" s="5" t="s">
        <v>2063</v>
      </c>
      <c r="E1155" s="4" t="s">
        <v>50</v>
      </c>
      <c r="F1155" s="2" t="str">
        <f t="shared" ref="F1155:F1218" si="37">IF(E1155="Non-routine interpersonal","Non-routine cognitive",IF(E1155="Non-routine analytical","Non-routine cognitive",IF(E1155="Non-routine manual physical","Non-routine manual",E1155)))</f>
        <v>Routine cognitive</v>
      </c>
    </row>
    <row r="1156" spans="1:6" ht="28.5" x14ac:dyDescent="0.4">
      <c r="A1156" s="3">
        <v>4224</v>
      </c>
      <c r="B1156" s="3" t="str">
        <f t="shared" si="36"/>
        <v>4</v>
      </c>
      <c r="C1156" s="4" t="s">
        <v>329</v>
      </c>
      <c r="D1156" s="10" t="s">
        <v>2064</v>
      </c>
      <c r="E1156" s="4" t="s">
        <v>50</v>
      </c>
      <c r="F1156" s="2" t="str">
        <f t="shared" si="37"/>
        <v>Routine cognitive</v>
      </c>
    </row>
    <row r="1157" spans="1:6" ht="57" x14ac:dyDescent="0.4">
      <c r="A1157" s="3">
        <v>4225</v>
      </c>
      <c r="B1157" s="3" t="str">
        <f t="shared" si="36"/>
        <v>4</v>
      </c>
      <c r="C1157" s="4" t="s">
        <v>331</v>
      </c>
      <c r="D1157" s="8" t="s">
        <v>2065</v>
      </c>
      <c r="E1157" s="4" t="s">
        <v>50</v>
      </c>
      <c r="F1157" s="2" t="str">
        <f t="shared" si="37"/>
        <v>Routine cognitive</v>
      </c>
    </row>
    <row r="1158" spans="1:6" ht="42.75" x14ac:dyDescent="0.4">
      <c r="A1158" s="3">
        <v>4225</v>
      </c>
      <c r="B1158" s="3" t="str">
        <f t="shared" si="36"/>
        <v>4</v>
      </c>
      <c r="C1158" s="4" t="s">
        <v>331</v>
      </c>
      <c r="D1158" s="5" t="s">
        <v>2066</v>
      </c>
      <c r="E1158" s="4" t="s">
        <v>50</v>
      </c>
      <c r="F1158" s="2" t="str">
        <f t="shared" si="37"/>
        <v>Routine cognitive</v>
      </c>
    </row>
    <row r="1159" spans="1:6" ht="28.5" x14ac:dyDescent="0.4">
      <c r="A1159" s="3">
        <v>4225</v>
      </c>
      <c r="B1159" s="3" t="str">
        <f t="shared" si="36"/>
        <v>4</v>
      </c>
      <c r="C1159" s="4" t="s">
        <v>331</v>
      </c>
      <c r="D1159" s="10" t="s">
        <v>2067</v>
      </c>
      <c r="E1159" s="4" t="s">
        <v>50</v>
      </c>
      <c r="F1159" s="2" t="str">
        <f t="shared" si="37"/>
        <v>Routine cognitive</v>
      </c>
    </row>
    <row r="1160" spans="1:6" ht="28.5" x14ac:dyDescent="0.4">
      <c r="A1160" s="3">
        <v>4225</v>
      </c>
      <c r="B1160" s="3" t="str">
        <f t="shared" si="36"/>
        <v>4</v>
      </c>
      <c r="C1160" s="4" t="s">
        <v>331</v>
      </c>
      <c r="D1160" s="10" t="s">
        <v>2068</v>
      </c>
      <c r="E1160" s="4" t="s">
        <v>50</v>
      </c>
      <c r="F1160" s="2" t="str">
        <f t="shared" si="37"/>
        <v>Routine cognitive</v>
      </c>
    </row>
    <row r="1161" spans="1:6" ht="28.5" x14ac:dyDescent="0.4">
      <c r="A1161" s="3">
        <v>4225</v>
      </c>
      <c r="B1161" s="3" t="str">
        <f t="shared" si="36"/>
        <v>4</v>
      </c>
      <c r="C1161" s="4" t="s">
        <v>331</v>
      </c>
      <c r="D1161" s="5" t="s">
        <v>2069</v>
      </c>
      <c r="E1161" s="4" t="s">
        <v>50</v>
      </c>
      <c r="F1161" s="2" t="str">
        <f t="shared" si="37"/>
        <v>Routine cognitive</v>
      </c>
    </row>
    <row r="1162" spans="1:6" x14ac:dyDescent="0.4">
      <c r="A1162" s="3">
        <v>4226</v>
      </c>
      <c r="B1162" s="3" t="str">
        <f t="shared" si="36"/>
        <v>4</v>
      </c>
      <c r="C1162" s="4" t="s">
        <v>332</v>
      </c>
      <c r="D1162" s="6" t="s">
        <v>333</v>
      </c>
      <c r="E1162" s="4" t="s">
        <v>50</v>
      </c>
      <c r="F1162" s="2" t="str">
        <f t="shared" si="37"/>
        <v>Routine cognitive</v>
      </c>
    </row>
    <row r="1163" spans="1:6" x14ac:dyDescent="0.4">
      <c r="A1163" s="3">
        <v>4226</v>
      </c>
      <c r="B1163" s="3" t="str">
        <f t="shared" si="36"/>
        <v>4</v>
      </c>
      <c r="C1163" s="4" t="s">
        <v>332</v>
      </c>
      <c r="D1163" s="6" t="s">
        <v>334</v>
      </c>
      <c r="E1163" s="4" t="s">
        <v>50</v>
      </c>
      <c r="F1163" s="2" t="str">
        <f t="shared" si="37"/>
        <v>Routine cognitive</v>
      </c>
    </row>
    <row r="1164" spans="1:6" ht="28.5" x14ac:dyDescent="0.4">
      <c r="A1164" s="3">
        <v>4226</v>
      </c>
      <c r="B1164" s="3" t="str">
        <f t="shared" si="36"/>
        <v>4</v>
      </c>
      <c r="C1164" s="4" t="s">
        <v>332</v>
      </c>
      <c r="D1164" s="10" t="s">
        <v>2070</v>
      </c>
      <c r="E1164" s="4" t="s">
        <v>50</v>
      </c>
      <c r="F1164" s="2" t="str">
        <f t="shared" si="37"/>
        <v>Routine cognitive</v>
      </c>
    </row>
    <row r="1165" spans="1:6" x14ac:dyDescent="0.4">
      <c r="A1165" s="3">
        <v>4226</v>
      </c>
      <c r="B1165" s="3" t="str">
        <f t="shared" si="36"/>
        <v>4</v>
      </c>
      <c r="C1165" s="4" t="s">
        <v>332</v>
      </c>
      <c r="D1165" s="4" t="s">
        <v>335</v>
      </c>
      <c r="E1165" s="4" t="s">
        <v>50</v>
      </c>
      <c r="F1165" s="2" t="str">
        <f t="shared" si="37"/>
        <v>Routine cognitive</v>
      </c>
    </row>
    <row r="1166" spans="1:6" ht="28.5" x14ac:dyDescent="0.4">
      <c r="A1166" s="3">
        <v>4226</v>
      </c>
      <c r="B1166" s="3" t="str">
        <f t="shared" si="36"/>
        <v>4</v>
      </c>
      <c r="C1166" s="4" t="s">
        <v>332</v>
      </c>
      <c r="D1166" s="10" t="s">
        <v>2071</v>
      </c>
      <c r="E1166" s="4" t="s">
        <v>50</v>
      </c>
      <c r="F1166" s="2" t="str">
        <f t="shared" si="37"/>
        <v>Routine cognitive</v>
      </c>
    </row>
    <row r="1167" spans="1:6" ht="28.5" x14ac:dyDescent="0.4">
      <c r="A1167" s="3">
        <v>4229</v>
      </c>
      <c r="B1167" s="3" t="str">
        <f t="shared" si="36"/>
        <v>4</v>
      </c>
      <c r="C1167" s="4" t="s">
        <v>336</v>
      </c>
      <c r="D1167" s="5" t="s">
        <v>2072</v>
      </c>
      <c r="E1167" s="4" t="s">
        <v>3</v>
      </c>
      <c r="F1167" s="2" t="str">
        <f t="shared" si="37"/>
        <v>Non-routine cognitive</v>
      </c>
    </row>
    <row r="1168" spans="1:6" ht="42.75" x14ac:dyDescent="0.4">
      <c r="A1168" s="3">
        <v>4229</v>
      </c>
      <c r="B1168" s="3" t="str">
        <f t="shared" si="36"/>
        <v>4</v>
      </c>
      <c r="C1168" s="4" t="s">
        <v>336</v>
      </c>
      <c r="D1168" s="8" t="s">
        <v>2073</v>
      </c>
      <c r="E1168" s="4" t="s">
        <v>3</v>
      </c>
      <c r="F1168" s="2" t="str">
        <f t="shared" si="37"/>
        <v>Non-routine cognitive</v>
      </c>
    </row>
    <row r="1169" spans="1:6" ht="28.5" x14ac:dyDescent="0.4">
      <c r="A1169" s="3">
        <v>4229</v>
      </c>
      <c r="B1169" s="3" t="str">
        <f t="shared" si="36"/>
        <v>4</v>
      </c>
      <c r="C1169" s="4" t="s">
        <v>336</v>
      </c>
      <c r="D1169" s="6" t="s">
        <v>337</v>
      </c>
      <c r="E1169" s="4" t="s">
        <v>50</v>
      </c>
      <c r="F1169" s="2" t="str">
        <f t="shared" si="37"/>
        <v>Routine cognitive</v>
      </c>
    </row>
    <row r="1170" spans="1:6" ht="28.5" x14ac:dyDescent="0.4">
      <c r="A1170" s="3">
        <v>4229</v>
      </c>
      <c r="B1170" s="3" t="str">
        <f t="shared" si="36"/>
        <v>4</v>
      </c>
      <c r="C1170" s="4" t="s">
        <v>336</v>
      </c>
      <c r="D1170" s="7" t="s">
        <v>338</v>
      </c>
      <c r="E1170" s="4" t="s">
        <v>50</v>
      </c>
      <c r="F1170" s="2" t="str">
        <f t="shared" si="37"/>
        <v>Routine cognitive</v>
      </c>
    </row>
    <row r="1171" spans="1:6" ht="28.5" x14ac:dyDescent="0.4">
      <c r="A1171" s="3">
        <v>4229</v>
      </c>
      <c r="B1171" s="3" t="str">
        <f t="shared" si="36"/>
        <v>4</v>
      </c>
      <c r="C1171" s="4" t="s">
        <v>336</v>
      </c>
      <c r="D1171" s="5" t="s">
        <v>2074</v>
      </c>
      <c r="E1171" s="4" t="s">
        <v>50</v>
      </c>
      <c r="F1171" s="2" t="str">
        <f t="shared" si="37"/>
        <v>Routine cognitive</v>
      </c>
    </row>
    <row r="1172" spans="1:6" ht="28.5" x14ac:dyDescent="0.4">
      <c r="A1172" s="3">
        <v>4229</v>
      </c>
      <c r="B1172" s="3" t="str">
        <f t="shared" si="36"/>
        <v>4</v>
      </c>
      <c r="C1172" s="4" t="s">
        <v>336</v>
      </c>
      <c r="D1172" s="11" t="s">
        <v>2075</v>
      </c>
      <c r="E1172" s="4" t="s">
        <v>50</v>
      </c>
      <c r="F1172" s="2" t="str">
        <f t="shared" si="37"/>
        <v>Routine cognitive</v>
      </c>
    </row>
    <row r="1173" spans="1:6" ht="28.5" x14ac:dyDescent="0.4">
      <c r="A1173" s="3">
        <v>4311</v>
      </c>
      <c r="B1173" s="3" t="str">
        <f t="shared" si="36"/>
        <v>4</v>
      </c>
      <c r="C1173" s="4" t="s">
        <v>339</v>
      </c>
      <c r="D1173" s="8" t="s">
        <v>2076</v>
      </c>
      <c r="E1173" s="4" t="s">
        <v>50</v>
      </c>
      <c r="F1173" s="2" t="str">
        <f t="shared" si="37"/>
        <v>Routine cognitive</v>
      </c>
    </row>
    <row r="1174" spans="1:6" ht="42.75" x14ac:dyDescent="0.4">
      <c r="A1174" s="3">
        <v>4311</v>
      </c>
      <c r="B1174" s="3" t="str">
        <f t="shared" si="36"/>
        <v>4</v>
      </c>
      <c r="C1174" s="4" t="s">
        <v>339</v>
      </c>
      <c r="D1174" s="8" t="s">
        <v>2077</v>
      </c>
      <c r="E1174" s="4" t="s">
        <v>50</v>
      </c>
      <c r="F1174" s="2" t="str">
        <f t="shared" si="37"/>
        <v>Routine cognitive</v>
      </c>
    </row>
    <row r="1175" spans="1:6" ht="42.75" x14ac:dyDescent="0.4">
      <c r="A1175" s="3">
        <v>4311</v>
      </c>
      <c r="B1175" s="3" t="str">
        <f t="shared" si="36"/>
        <v>4</v>
      </c>
      <c r="C1175" s="4" t="s">
        <v>339</v>
      </c>
      <c r="D1175" s="8" t="s">
        <v>2078</v>
      </c>
      <c r="E1175" s="4" t="s">
        <v>50</v>
      </c>
      <c r="F1175" s="2" t="str">
        <f t="shared" si="37"/>
        <v>Routine cognitive</v>
      </c>
    </row>
    <row r="1176" spans="1:6" ht="42.75" x14ac:dyDescent="0.4">
      <c r="A1176" s="3">
        <v>4311</v>
      </c>
      <c r="B1176" s="3" t="str">
        <f t="shared" si="36"/>
        <v>4</v>
      </c>
      <c r="C1176" s="4" t="s">
        <v>339</v>
      </c>
      <c r="D1176" s="8" t="s">
        <v>2079</v>
      </c>
      <c r="E1176" s="4" t="s">
        <v>4</v>
      </c>
      <c r="F1176" s="2" t="str">
        <f t="shared" si="37"/>
        <v>Non-routine cognitive</v>
      </c>
    </row>
    <row r="1177" spans="1:6" ht="57" x14ac:dyDescent="0.4">
      <c r="A1177" s="3">
        <v>4311</v>
      </c>
      <c r="B1177" s="3" t="str">
        <f t="shared" si="36"/>
        <v>4</v>
      </c>
      <c r="C1177" s="4" t="s">
        <v>339</v>
      </c>
      <c r="D1177" s="5" t="s">
        <v>2080</v>
      </c>
      <c r="E1177" s="4" t="s">
        <v>50</v>
      </c>
      <c r="F1177" s="2" t="str">
        <f t="shared" si="37"/>
        <v>Routine cognitive</v>
      </c>
    </row>
    <row r="1178" spans="1:6" ht="42.75" x14ac:dyDescent="0.4">
      <c r="A1178" s="3">
        <v>4312</v>
      </c>
      <c r="B1178" s="3" t="str">
        <f t="shared" si="36"/>
        <v>4</v>
      </c>
      <c r="C1178" s="4" t="s">
        <v>340</v>
      </c>
      <c r="D1178" s="10" t="s">
        <v>2081</v>
      </c>
      <c r="E1178" s="4" t="s">
        <v>50</v>
      </c>
      <c r="F1178" s="2" t="str">
        <f t="shared" si="37"/>
        <v>Routine cognitive</v>
      </c>
    </row>
    <row r="1179" spans="1:6" ht="42.75" x14ac:dyDescent="0.4">
      <c r="A1179" s="3">
        <v>4312</v>
      </c>
      <c r="B1179" s="3" t="str">
        <f t="shared" si="36"/>
        <v>4</v>
      </c>
      <c r="C1179" s="4" t="s">
        <v>340</v>
      </c>
      <c r="D1179" s="8" t="s">
        <v>2082</v>
      </c>
      <c r="E1179" s="4" t="s">
        <v>50</v>
      </c>
      <c r="F1179" s="2" t="str">
        <f t="shared" si="37"/>
        <v>Routine cognitive</v>
      </c>
    </row>
    <row r="1180" spans="1:6" ht="42.75" x14ac:dyDescent="0.4">
      <c r="A1180" s="3">
        <v>4312</v>
      </c>
      <c r="B1180" s="3" t="str">
        <f t="shared" si="36"/>
        <v>4</v>
      </c>
      <c r="C1180" s="4" t="s">
        <v>340</v>
      </c>
      <c r="D1180" s="8" t="s">
        <v>2083</v>
      </c>
      <c r="E1180" s="4" t="s">
        <v>4</v>
      </c>
      <c r="F1180" s="2" t="str">
        <f t="shared" si="37"/>
        <v>Non-routine cognitive</v>
      </c>
    </row>
    <row r="1181" spans="1:6" ht="42.75" x14ac:dyDescent="0.4">
      <c r="A1181" s="3">
        <v>4312</v>
      </c>
      <c r="B1181" s="3" t="str">
        <f t="shared" si="36"/>
        <v>4</v>
      </c>
      <c r="C1181" s="4" t="s">
        <v>340</v>
      </c>
      <c r="D1181" s="8" t="s">
        <v>2084</v>
      </c>
      <c r="E1181" s="4" t="s">
        <v>4</v>
      </c>
      <c r="F1181" s="2" t="str">
        <f t="shared" si="37"/>
        <v>Non-routine cognitive</v>
      </c>
    </row>
    <row r="1182" spans="1:6" ht="28.5" x14ac:dyDescent="0.4">
      <c r="A1182" s="3">
        <v>4312</v>
      </c>
      <c r="B1182" s="3" t="str">
        <f t="shared" si="36"/>
        <v>4</v>
      </c>
      <c r="C1182" s="4" t="s">
        <v>340</v>
      </c>
      <c r="D1182" s="8" t="s">
        <v>2085</v>
      </c>
      <c r="E1182" s="4" t="s">
        <v>50</v>
      </c>
      <c r="F1182" s="2" t="str">
        <f t="shared" si="37"/>
        <v>Routine cognitive</v>
      </c>
    </row>
    <row r="1183" spans="1:6" ht="42.75" x14ac:dyDescent="0.4">
      <c r="A1183" s="3">
        <v>4313</v>
      </c>
      <c r="B1183" s="3" t="str">
        <f t="shared" si="36"/>
        <v>4</v>
      </c>
      <c r="C1183" s="4" t="s">
        <v>341</v>
      </c>
      <c r="D1183" s="5" t="s">
        <v>2086</v>
      </c>
      <c r="E1183" s="4" t="s">
        <v>50</v>
      </c>
      <c r="F1183" s="2" t="str">
        <f t="shared" si="37"/>
        <v>Routine cognitive</v>
      </c>
    </row>
    <row r="1184" spans="1:6" ht="57" x14ac:dyDescent="0.4">
      <c r="A1184" s="3">
        <v>4313</v>
      </c>
      <c r="B1184" s="3" t="str">
        <f t="shared" si="36"/>
        <v>4</v>
      </c>
      <c r="C1184" s="4" t="s">
        <v>341</v>
      </c>
      <c r="D1184" s="5" t="s">
        <v>2087</v>
      </c>
      <c r="E1184" s="4" t="s">
        <v>50</v>
      </c>
      <c r="F1184" s="2" t="str">
        <f t="shared" si="37"/>
        <v>Routine cognitive</v>
      </c>
    </row>
    <row r="1185" spans="1:6" ht="28.5" x14ac:dyDescent="0.4">
      <c r="A1185" s="3">
        <v>4313</v>
      </c>
      <c r="B1185" s="3" t="str">
        <f t="shared" si="36"/>
        <v>4</v>
      </c>
      <c r="C1185" s="4" t="s">
        <v>341</v>
      </c>
      <c r="D1185" s="11" t="s">
        <v>2088</v>
      </c>
      <c r="E1185" s="4" t="s">
        <v>50</v>
      </c>
      <c r="F1185" s="2" t="str">
        <f t="shared" si="37"/>
        <v>Routine cognitive</v>
      </c>
    </row>
    <row r="1186" spans="1:6" ht="42.75" x14ac:dyDescent="0.4">
      <c r="A1186" s="3">
        <v>4313</v>
      </c>
      <c r="B1186" s="3" t="str">
        <f t="shared" si="36"/>
        <v>4</v>
      </c>
      <c r="C1186" s="4" t="s">
        <v>341</v>
      </c>
      <c r="D1186" s="5" t="s">
        <v>2089</v>
      </c>
      <c r="E1186" s="4" t="s">
        <v>50</v>
      </c>
      <c r="F1186" s="2" t="str">
        <f t="shared" si="37"/>
        <v>Routine cognitive</v>
      </c>
    </row>
    <row r="1187" spans="1:6" ht="42.75" x14ac:dyDescent="0.4">
      <c r="A1187" s="3">
        <v>4313</v>
      </c>
      <c r="B1187" s="3" t="str">
        <f t="shared" si="36"/>
        <v>4</v>
      </c>
      <c r="C1187" s="4" t="s">
        <v>341</v>
      </c>
      <c r="D1187" s="10" t="s">
        <v>2090</v>
      </c>
      <c r="E1187" s="4" t="s">
        <v>50</v>
      </c>
      <c r="F1187" s="2" t="str">
        <f t="shared" si="37"/>
        <v>Routine cognitive</v>
      </c>
    </row>
    <row r="1188" spans="1:6" ht="28.5" x14ac:dyDescent="0.4">
      <c r="A1188" s="3">
        <v>4321</v>
      </c>
      <c r="B1188" s="3" t="str">
        <f t="shared" si="36"/>
        <v>4</v>
      </c>
      <c r="C1188" s="4" t="s">
        <v>342</v>
      </c>
      <c r="D1188" s="8" t="s">
        <v>2091</v>
      </c>
      <c r="E1188" s="4" t="s">
        <v>50</v>
      </c>
      <c r="F1188" s="2" t="str">
        <f t="shared" si="37"/>
        <v>Routine cognitive</v>
      </c>
    </row>
    <row r="1189" spans="1:6" ht="42.75" x14ac:dyDescent="0.4">
      <c r="A1189" s="3">
        <v>4321</v>
      </c>
      <c r="B1189" s="3" t="str">
        <f t="shared" si="36"/>
        <v>4</v>
      </c>
      <c r="C1189" s="4" t="s">
        <v>342</v>
      </c>
      <c r="D1189" s="8" t="s">
        <v>2092</v>
      </c>
      <c r="E1189" s="4" t="s">
        <v>50</v>
      </c>
      <c r="F1189" s="2" t="str">
        <f t="shared" si="37"/>
        <v>Routine cognitive</v>
      </c>
    </row>
    <row r="1190" spans="1:6" ht="42.75" x14ac:dyDescent="0.4">
      <c r="A1190" s="3">
        <v>4321</v>
      </c>
      <c r="B1190" s="3" t="str">
        <f t="shared" si="36"/>
        <v>4</v>
      </c>
      <c r="C1190" s="4" t="s">
        <v>342</v>
      </c>
      <c r="D1190" s="5" t="s">
        <v>2093</v>
      </c>
      <c r="E1190" s="4" t="s">
        <v>50</v>
      </c>
      <c r="F1190" s="2" t="str">
        <f t="shared" si="37"/>
        <v>Routine cognitive</v>
      </c>
    </row>
    <row r="1191" spans="1:6" ht="42.75" x14ac:dyDescent="0.4">
      <c r="A1191" s="3">
        <v>4321</v>
      </c>
      <c r="B1191" s="3" t="str">
        <f t="shared" si="36"/>
        <v>4</v>
      </c>
      <c r="C1191" s="4" t="s">
        <v>342</v>
      </c>
      <c r="D1191" s="8" t="s">
        <v>2094</v>
      </c>
      <c r="E1191" s="4" t="s">
        <v>50</v>
      </c>
      <c r="F1191" s="2" t="str">
        <f t="shared" si="37"/>
        <v>Routine cognitive</v>
      </c>
    </row>
    <row r="1192" spans="1:6" ht="28.5" x14ac:dyDescent="0.4">
      <c r="A1192" s="3">
        <v>4321</v>
      </c>
      <c r="B1192" s="3" t="str">
        <f t="shared" si="36"/>
        <v>4</v>
      </c>
      <c r="C1192" s="4" t="s">
        <v>342</v>
      </c>
      <c r="D1192" s="8" t="s">
        <v>2095</v>
      </c>
      <c r="E1192" s="4" t="s">
        <v>50</v>
      </c>
      <c r="F1192" s="2" t="str">
        <f t="shared" si="37"/>
        <v>Routine cognitive</v>
      </c>
    </row>
    <row r="1193" spans="1:6" ht="28.5" x14ac:dyDescent="0.4">
      <c r="A1193" s="3">
        <v>4322</v>
      </c>
      <c r="B1193" s="3" t="str">
        <f t="shared" si="36"/>
        <v>4</v>
      </c>
      <c r="C1193" s="4" t="s">
        <v>343</v>
      </c>
      <c r="D1193" s="10" t="s">
        <v>2096</v>
      </c>
      <c r="E1193" s="4" t="s">
        <v>50</v>
      </c>
      <c r="F1193" s="2" t="str">
        <f t="shared" si="37"/>
        <v>Routine cognitive</v>
      </c>
    </row>
    <row r="1194" spans="1:6" ht="42.75" x14ac:dyDescent="0.4">
      <c r="A1194" s="3">
        <v>4322</v>
      </c>
      <c r="B1194" s="3" t="str">
        <f t="shared" si="36"/>
        <v>4</v>
      </c>
      <c r="C1194" s="4" t="s">
        <v>343</v>
      </c>
      <c r="D1194" s="10" t="s">
        <v>2097</v>
      </c>
      <c r="E1194" s="4" t="s">
        <v>50</v>
      </c>
      <c r="F1194" s="2" t="str">
        <f t="shared" si="37"/>
        <v>Routine cognitive</v>
      </c>
    </row>
    <row r="1195" spans="1:6" ht="42.75" x14ac:dyDescent="0.4">
      <c r="A1195" s="3">
        <v>4322</v>
      </c>
      <c r="B1195" s="3" t="str">
        <f t="shared" si="36"/>
        <v>4</v>
      </c>
      <c r="C1195" s="4" t="s">
        <v>343</v>
      </c>
      <c r="D1195" s="8" t="s">
        <v>2098</v>
      </c>
      <c r="E1195" s="4" t="s">
        <v>50</v>
      </c>
      <c r="F1195" s="2" t="str">
        <f t="shared" si="37"/>
        <v>Routine cognitive</v>
      </c>
    </row>
    <row r="1196" spans="1:6" ht="28.5" x14ac:dyDescent="0.4">
      <c r="A1196" s="3">
        <v>4322</v>
      </c>
      <c r="B1196" s="3" t="str">
        <f t="shared" si="36"/>
        <v>4</v>
      </c>
      <c r="C1196" s="4" t="s">
        <v>343</v>
      </c>
      <c r="D1196" s="5" t="s">
        <v>2099</v>
      </c>
      <c r="E1196" s="4" t="s">
        <v>50</v>
      </c>
      <c r="F1196" s="2" t="str">
        <f t="shared" si="37"/>
        <v>Routine cognitive</v>
      </c>
    </row>
    <row r="1197" spans="1:6" ht="42.75" x14ac:dyDescent="0.4">
      <c r="A1197" s="3">
        <v>4322</v>
      </c>
      <c r="B1197" s="3" t="str">
        <f t="shared" si="36"/>
        <v>4</v>
      </c>
      <c r="C1197" s="4" t="s">
        <v>343</v>
      </c>
      <c r="D1197" s="5" t="s">
        <v>2100</v>
      </c>
      <c r="E1197" s="4" t="s">
        <v>50</v>
      </c>
      <c r="F1197" s="2" t="str">
        <f t="shared" si="37"/>
        <v>Routine cognitive</v>
      </c>
    </row>
    <row r="1198" spans="1:6" ht="42.75" x14ac:dyDescent="0.4">
      <c r="A1198" s="3">
        <v>4323</v>
      </c>
      <c r="B1198" s="3" t="str">
        <f t="shared" si="36"/>
        <v>4</v>
      </c>
      <c r="C1198" s="4" t="s">
        <v>344</v>
      </c>
      <c r="D1198" s="5" t="s">
        <v>2101</v>
      </c>
      <c r="E1198" s="4" t="s">
        <v>50</v>
      </c>
      <c r="F1198" s="2" t="str">
        <f t="shared" si="37"/>
        <v>Routine cognitive</v>
      </c>
    </row>
    <row r="1199" spans="1:6" ht="42.75" x14ac:dyDescent="0.4">
      <c r="A1199" s="3">
        <v>4323</v>
      </c>
      <c r="B1199" s="3" t="str">
        <f t="shared" si="36"/>
        <v>4</v>
      </c>
      <c r="C1199" s="4" t="s">
        <v>344</v>
      </c>
      <c r="D1199" s="8" t="s">
        <v>2102</v>
      </c>
      <c r="E1199" s="4" t="s">
        <v>50</v>
      </c>
      <c r="F1199" s="2" t="str">
        <f t="shared" si="37"/>
        <v>Routine cognitive</v>
      </c>
    </row>
    <row r="1200" spans="1:6" ht="28.5" x14ac:dyDescent="0.4">
      <c r="A1200" s="3">
        <v>4323</v>
      </c>
      <c r="B1200" s="3" t="str">
        <f t="shared" si="36"/>
        <v>4</v>
      </c>
      <c r="C1200" s="4" t="s">
        <v>344</v>
      </c>
      <c r="D1200" s="8" t="s">
        <v>2103</v>
      </c>
      <c r="E1200" s="4" t="s">
        <v>50</v>
      </c>
      <c r="F1200" s="2" t="str">
        <f t="shared" si="37"/>
        <v>Routine cognitive</v>
      </c>
    </row>
    <row r="1201" spans="1:6" ht="57" x14ac:dyDescent="0.4">
      <c r="A1201" s="3">
        <v>4323</v>
      </c>
      <c r="B1201" s="3" t="str">
        <f t="shared" si="36"/>
        <v>4</v>
      </c>
      <c r="C1201" s="4" t="s">
        <v>344</v>
      </c>
      <c r="D1201" s="5" t="s">
        <v>2104</v>
      </c>
      <c r="E1201" s="4" t="s">
        <v>50</v>
      </c>
      <c r="F1201" s="2" t="str">
        <f t="shared" si="37"/>
        <v>Routine cognitive</v>
      </c>
    </row>
    <row r="1202" spans="1:6" ht="42.75" x14ac:dyDescent="0.4">
      <c r="A1202" s="3">
        <v>4323</v>
      </c>
      <c r="B1202" s="3" t="str">
        <f t="shared" si="36"/>
        <v>4</v>
      </c>
      <c r="C1202" s="4" t="s">
        <v>344</v>
      </c>
      <c r="D1202" s="5" t="s">
        <v>2105</v>
      </c>
      <c r="E1202" s="4" t="s">
        <v>50</v>
      </c>
      <c r="F1202" s="2" t="str">
        <f t="shared" si="37"/>
        <v>Routine cognitive</v>
      </c>
    </row>
    <row r="1203" spans="1:6" x14ac:dyDescent="0.4">
      <c r="A1203" s="3">
        <v>4323</v>
      </c>
      <c r="B1203" s="3" t="str">
        <f t="shared" si="36"/>
        <v>4</v>
      </c>
      <c r="C1203" s="4" t="s">
        <v>344</v>
      </c>
      <c r="D1203" s="14" t="s">
        <v>345</v>
      </c>
      <c r="E1203" s="4" t="s">
        <v>50</v>
      </c>
      <c r="F1203" s="2" t="str">
        <f t="shared" si="37"/>
        <v>Routine cognitive</v>
      </c>
    </row>
    <row r="1204" spans="1:6" ht="28.5" x14ac:dyDescent="0.4">
      <c r="A1204" s="3">
        <v>4411</v>
      </c>
      <c r="B1204" s="3" t="str">
        <f t="shared" si="36"/>
        <v>4</v>
      </c>
      <c r="C1204" s="4" t="s">
        <v>346</v>
      </c>
      <c r="D1204" s="10" t="s">
        <v>2106</v>
      </c>
      <c r="E1204" s="4" t="s">
        <v>50</v>
      </c>
      <c r="F1204" s="2" t="str">
        <f t="shared" si="37"/>
        <v>Routine cognitive</v>
      </c>
    </row>
    <row r="1205" spans="1:6" x14ac:dyDescent="0.4">
      <c r="A1205" s="3">
        <v>4411</v>
      </c>
      <c r="B1205" s="3" t="str">
        <f t="shared" si="36"/>
        <v>4</v>
      </c>
      <c r="C1205" s="4" t="s">
        <v>346</v>
      </c>
      <c r="D1205" s="6" t="s">
        <v>347</v>
      </c>
      <c r="E1205" s="4" t="s">
        <v>50</v>
      </c>
      <c r="F1205" s="2" t="str">
        <f t="shared" si="37"/>
        <v>Routine cognitive</v>
      </c>
    </row>
    <row r="1206" spans="1:6" ht="42.75" x14ac:dyDescent="0.4">
      <c r="A1206" s="3">
        <v>4411</v>
      </c>
      <c r="B1206" s="3" t="str">
        <f t="shared" si="36"/>
        <v>4</v>
      </c>
      <c r="C1206" s="4" t="s">
        <v>346</v>
      </c>
      <c r="D1206" s="5" t="s">
        <v>2107</v>
      </c>
      <c r="E1206" s="4" t="s">
        <v>50</v>
      </c>
      <c r="F1206" s="2" t="str">
        <f t="shared" si="37"/>
        <v>Routine cognitive</v>
      </c>
    </row>
    <row r="1207" spans="1:6" x14ac:dyDescent="0.4">
      <c r="A1207" s="3">
        <v>4411</v>
      </c>
      <c r="B1207" s="3" t="str">
        <f t="shared" si="36"/>
        <v>4</v>
      </c>
      <c r="C1207" s="4" t="s">
        <v>346</v>
      </c>
      <c r="D1207" s="14" t="s">
        <v>348</v>
      </c>
      <c r="E1207" s="4" t="s">
        <v>50</v>
      </c>
      <c r="F1207" s="2" t="str">
        <f t="shared" si="37"/>
        <v>Routine cognitive</v>
      </c>
    </row>
    <row r="1208" spans="1:6" ht="28.5" x14ac:dyDescent="0.4">
      <c r="A1208" s="3">
        <v>4411</v>
      </c>
      <c r="B1208" s="3" t="str">
        <f t="shared" si="36"/>
        <v>4</v>
      </c>
      <c r="C1208" s="4" t="s">
        <v>346</v>
      </c>
      <c r="D1208" s="8" t="s">
        <v>2108</v>
      </c>
      <c r="E1208" s="4" t="s">
        <v>3</v>
      </c>
      <c r="F1208" s="2" t="str">
        <f t="shared" si="37"/>
        <v>Non-routine cognitive</v>
      </c>
    </row>
    <row r="1209" spans="1:6" ht="28.5" x14ac:dyDescent="0.4">
      <c r="A1209" s="3">
        <v>4411</v>
      </c>
      <c r="B1209" s="3" t="str">
        <f t="shared" si="36"/>
        <v>4</v>
      </c>
      <c r="C1209" s="4" t="s">
        <v>346</v>
      </c>
      <c r="D1209" s="8" t="s">
        <v>2109</v>
      </c>
      <c r="E1209" s="4" t="s">
        <v>50</v>
      </c>
      <c r="F1209" s="2" t="str">
        <f t="shared" si="37"/>
        <v>Routine cognitive</v>
      </c>
    </row>
    <row r="1210" spans="1:6" ht="28.5" x14ac:dyDescent="0.4">
      <c r="A1210" s="3">
        <v>4413</v>
      </c>
      <c r="B1210" s="3" t="str">
        <f t="shared" si="36"/>
        <v>4</v>
      </c>
      <c r="C1210" s="4" t="s">
        <v>349</v>
      </c>
      <c r="D1210" s="8" t="s">
        <v>2110</v>
      </c>
      <c r="E1210" s="4" t="s">
        <v>50</v>
      </c>
      <c r="F1210" s="2" t="str">
        <f t="shared" si="37"/>
        <v>Routine cognitive</v>
      </c>
    </row>
    <row r="1211" spans="1:6" ht="57" x14ac:dyDescent="0.4">
      <c r="A1211" s="3">
        <v>4413</v>
      </c>
      <c r="B1211" s="3" t="str">
        <f t="shared" si="36"/>
        <v>4</v>
      </c>
      <c r="C1211" s="4" t="s">
        <v>349</v>
      </c>
      <c r="D1211" s="5" t="s">
        <v>2111</v>
      </c>
      <c r="E1211" s="4" t="s">
        <v>50</v>
      </c>
      <c r="F1211" s="2" t="str">
        <f t="shared" si="37"/>
        <v>Routine cognitive</v>
      </c>
    </row>
    <row r="1212" spans="1:6" ht="28.5" x14ac:dyDescent="0.4">
      <c r="A1212" s="3">
        <v>4413</v>
      </c>
      <c r="B1212" s="3" t="str">
        <f t="shared" si="36"/>
        <v>4</v>
      </c>
      <c r="C1212" s="4" t="s">
        <v>349</v>
      </c>
      <c r="D1212" s="8" t="s">
        <v>2112</v>
      </c>
      <c r="E1212" s="4" t="s">
        <v>50</v>
      </c>
      <c r="F1212" s="2" t="str">
        <f t="shared" si="37"/>
        <v>Routine cognitive</v>
      </c>
    </row>
    <row r="1213" spans="1:6" ht="28.5" x14ac:dyDescent="0.4">
      <c r="A1213" s="3">
        <v>4413</v>
      </c>
      <c r="B1213" s="3" t="str">
        <f t="shared" si="36"/>
        <v>4</v>
      </c>
      <c r="C1213" s="4" t="s">
        <v>349</v>
      </c>
      <c r="D1213" s="10" t="s">
        <v>2113</v>
      </c>
      <c r="E1213" s="4" t="s">
        <v>50</v>
      </c>
      <c r="F1213" s="2" t="str">
        <f t="shared" si="37"/>
        <v>Routine cognitive</v>
      </c>
    </row>
    <row r="1214" spans="1:6" ht="28.5" x14ac:dyDescent="0.4">
      <c r="A1214" s="3">
        <v>4413</v>
      </c>
      <c r="B1214" s="3" t="str">
        <f t="shared" si="36"/>
        <v>4</v>
      </c>
      <c r="C1214" s="4" t="s">
        <v>349</v>
      </c>
      <c r="D1214" s="6" t="s">
        <v>350</v>
      </c>
      <c r="E1214" s="4" t="s">
        <v>50</v>
      </c>
      <c r="F1214" s="2" t="str">
        <f t="shared" si="37"/>
        <v>Routine cognitive</v>
      </c>
    </row>
    <row r="1215" spans="1:6" ht="57" x14ac:dyDescent="0.4">
      <c r="A1215" s="3">
        <v>4415</v>
      </c>
      <c r="B1215" s="3" t="str">
        <f t="shared" si="36"/>
        <v>4</v>
      </c>
      <c r="C1215" s="4" t="s">
        <v>351</v>
      </c>
      <c r="D1215" s="5" t="s">
        <v>2114</v>
      </c>
      <c r="E1215" s="4" t="s">
        <v>50</v>
      </c>
      <c r="F1215" s="2" t="str">
        <f t="shared" si="37"/>
        <v>Routine cognitive</v>
      </c>
    </row>
    <row r="1216" spans="1:6" x14ac:dyDescent="0.4">
      <c r="A1216" s="3">
        <v>4415</v>
      </c>
      <c r="B1216" s="3" t="str">
        <f t="shared" si="36"/>
        <v>4</v>
      </c>
      <c r="C1216" s="4" t="s">
        <v>351</v>
      </c>
      <c r="D1216" s="6" t="s">
        <v>352</v>
      </c>
      <c r="E1216" s="4" t="s">
        <v>50</v>
      </c>
      <c r="F1216" s="2" t="str">
        <f t="shared" si="37"/>
        <v>Routine cognitive</v>
      </c>
    </row>
    <row r="1217" spans="1:6" ht="28.5" x14ac:dyDescent="0.4">
      <c r="A1217" s="3">
        <v>4415</v>
      </c>
      <c r="B1217" s="3" t="str">
        <f t="shared" si="36"/>
        <v>4</v>
      </c>
      <c r="C1217" s="4" t="s">
        <v>351</v>
      </c>
      <c r="D1217" s="10" t="s">
        <v>2115</v>
      </c>
      <c r="E1217" s="4" t="s">
        <v>50</v>
      </c>
      <c r="F1217" s="2" t="str">
        <f t="shared" si="37"/>
        <v>Routine cognitive</v>
      </c>
    </row>
    <row r="1218" spans="1:6" x14ac:dyDescent="0.4">
      <c r="A1218" s="3">
        <v>4415</v>
      </c>
      <c r="B1218" s="3" t="str">
        <f t="shared" si="36"/>
        <v>4</v>
      </c>
      <c r="C1218" s="4" t="s">
        <v>351</v>
      </c>
      <c r="D1218" s="6" t="s">
        <v>353</v>
      </c>
      <c r="E1218" s="4" t="s">
        <v>50</v>
      </c>
      <c r="F1218" s="2" t="str">
        <f t="shared" si="37"/>
        <v>Routine cognitive</v>
      </c>
    </row>
    <row r="1219" spans="1:6" x14ac:dyDescent="0.4">
      <c r="A1219" s="3">
        <v>4415</v>
      </c>
      <c r="B1219" s="3" t="str">
        <f t="shared" ref="B1219:B1282" si="38">LEFT(A1219,1)</f>
        <v>4</v>
      </c>
      <c r="C1219" s="4" t="s">
        <v>351</v>
      </c>
      <c r="D1219" s="6" t="s">
        <v>354</v>
      </c>
      <c r="E1219" s="4" t="s">
        <v>50</v>
      </c>
      <c r="F1219" s="2" t="str">
        <f t="shared" ref="F1219:F1282" si="39">IF(E1219="Non-routine interpersonal","Non-routine cognitive",IF(E1219="Non-routine analytical","Non-routine cognitive",IF(E1219="Non-routine manual physical","Non-routine manual",E1219)))</f>
        <v>Routine cognitive</v>
      </c>
    </row>
    <row r="1220" spans="1:6" ht="42.75" x14ac:dyDescent="0.4">
      <c r="A1220" s="3">
        <v>4416</v>
      </c>
      <c r="B1220" s="3" t="str">
        <f t="shared" si="38"/>
        <v>4</v>
      </c>
      <c r="C1220" s="4" t="s">
        <v>355</v>
      </c>
      <c r="D1220" s="5" t="s">
        <v>2116</v>
      </c>
      <c r="E1220" s="4" t="s">
        <v>50</v>
      </c>
      <c r="F1220" s="2" t="str">
        <f t="shared" si="39"/>
        <v>Routine cognitive</v>
      </c>
    </row>
    <row r="1221" spans="1:6" ht="28.5" x14ac:dyDescent="0.4">
      <c r="A1221" s="3">
        <v>4416</v>
      </c>
      <c r="B1221" s="3" t="str">
        <f t="shared" si="38"/>
        <v>4</v>
      </c>
      <c r="C1221" s="4" t="s">
        <v>355</v>
      </c>
      <c r="D1221" s="8" t="s">
        <v>2117</v>
      </c>
      <c r="E1221" s="4" t="s">
        <v>50</v>
      </c>
      <c r="F1221" s="2" t="str">
        <f t="shared" si="39"/>
        <v>Routine cognitive</v>
      </c>
    </row>
    <row r="1222" spans="1:6" ht="42.75" x14ac:dyDescent="0.4">
      <c r="A1222" s="3">
        <v>4416</v>
      </c>
      <c r="B1222" s="3" t="str">
        <f t="shared" si="38"/>
        <v>4</v>
      </c>
      <c r="C1222" s="4" t="s">
        <v>355</v>
      </c>
      <c r="D1222" s="5" t="s">
        <v>2118</v>
      </c>
      <c r="E1222" s="4" t="s">
        <v>50</v>
      </c>
      <c r="F1222" s="2" t="str">
        <f t="shared" si="39"/>
        <v>Routine cognitive</v>
      </c>
    </row>
    <row r="1223" spans="1:6" ht="28.5" x14ac:dyDescent="0.4">
      <c r="A1223" s="3">
        <v>4416</v>
      </c>
      <c r="B1223" s="3" t="str">
        <f t="shared" si="38"/>
        <v>4</v>
      </c>
      <c r="C1223" s="4" t="s">
        <v>355</v>
      </c>
      <c r="D1223" s="8" t="s">
        <v>2119</v>
      </c>
      <c r="E1223" s="4" t="s">
        <v>50</v>
      </c>
      <c r="F1223" s="2" t="str">
        <f t="shared" si="39"/>
        <v>Routine cognitive</v>
      </c>
    </row>
    <row r="1224" spans="1:6" ht="42.75" x14ac:dyDescent="0.4">
      <c r="A1224" s="3">
        <v>4416</v>
      </c>
      <c r="B1224" s="3" t="str">
        <f t="shared" si="38"/>
        <v>4</v>
      </c>
      <c r="C1224" s="4" t="s">
        <v>355</v>
      </c>
      <c r="D1224" s="5" t="s">
        <v>2120</v>
      </c>
      <c r="E1224" s="4" t="s">
        <v>50</v>
      </c>
      <c r="F1224" s="2" t="str">
        <f t="shared" si="39"/>
        <v>Routine cognitive</v>
      </c>
    </row>
    <row r="1225" spans="1:6" ht="42.75" x14ac:dyDescent="0.4">
      <c r="A1225" s="3">
        <v>4416</v>
      </c>
      <c r="B1225" s="3" t="str">
        <f t="shared" si="38"/>
        <v>4</v>
      </c>
      <c r="C1225" s="4" t="s">
        <v>355</v>
      </c>
      <c r="D1225" s="5" t="s">
        <v>2121</v>
      </c>
      <c r="E1225" s="4" t="s">
        <v>50</v>
      </c>
      <c r="F1225" s="2" t="str">
        <f t="shared" si="39"/>
        <v>Routine cognitive</v>
      </c>
    </row>
    <row r="1226" spans="1:6" ht="28.5" x14ac:dyDescent="0.4">
      <c r="A1226" s="3">
        <v>4416</v>
      </c>
      <c r="B1226" s="3" t="str">
        <f t="shared" si="38"/>
        <v>4</v>
      </c>
      <c r="C1226" s="4" t="s">
        <v>355</v>
      </c>
      <c r="D1226" s="8" t="s">
        <v>2122</v>
      </c>
      <c r="E1226" s="4" t="s">
        <v>50</v>
      </c>
      <c r="F1226" s="2" t="str">
        <f t="shared" si="39"/>
        <v>Routine cognitive</v>
      </c>
    </row>
    <row r="1227" spans="1:6" ht="42.75" x14ac:dyDescent="0.4">
      <c r="A1227" s="3">
        <v>4419</v>
      </c>
      <c r="B1227" s="3" t="str">
        <f t="shared" si="38"/>
        <v>4</v>
      </c>
      <c r="C1227" s="4" t="s">
        <v>356</v>
      </c>
      <c r="D1227" s="5" t="s">
        <v>2123</v>
      </c>
      <c r="E1227" s="4" t="s">
        <v>50</v>
      </c>
      <c r="F1227" s="2" t="str">
        <f t="shared" si="39"/>
        <v>Routine cognitive</v>
      </c>
    </row>
    <row r="1228" spans="1:6" ht="57" x14ac:dyDescent="0.4">
      <c r="A1228" s="3">
        <v>4419</v>
      </c>
      <c r="B1228" s="3" t="str">
        <f t="shared" si="38"/>
        <v>4</v>
      </c>
      <c r="C1228" s="4" t="s">
        <v>356</v>
      </c>
      <c r="D1228" s="8" t="s">
        <v>2124</v>
      </c>
      <c r="E1228" s="4" t="s">
        <v>50</v>
      </c>
      <c r="F1228" s="2" t="str">
        <f t="shared" si="39"/>
        <v>Routine cognitive</v>
      </c>
    </row>
    <row r="1229" spans="1:6" ht="28.5" x14ac:dyDescent="0.4">
      <c r="A1229" s="3">
        <v>4419</v>
      </c>
      <c r="B1229" s="3" t="str">
        <f t="shared" si="38"/>
        <v>4</v>
      </c>
      <c r="C1229" s="4" t="s">
        <v>356</v>
      </c>
      <c r="D1229" s="5" t="s">
        <v>2125</v>
      </c>
      <c r="E1229" s="4" t="s">
        <v>50</v>
      </c>
      <c r="F1229" s="2" t="str">
        <f t="shared" si="39"/>
        <v>Routine cognitive</v>
      </c>
    </row>
    <row r="1230" spans="1:6" ht="42.75" x14ac:dyDescent="0.4">
      <c r="A1230" s="3">
        <v>4419</v>
      </c>
      <c r="B1230" s="3" t="str">
        <f t="shared" si="38"/>
        <v>4</v>
      </c>
      <c r="C1230" s="4" t="s">
        <v>356</v>
      </c>
      <c r="D1230" s="8" t="s">
        <v>2126</v>
      </c>
      <c r="E1230" s="4" t="s">
        <v>50</v>
      </c>
      <c r="F1230" s="2" t="str">
        <f t="shared" si="39"/>
        <v>Routine cognitive</v>
      </c>
    </row>
    <row r="1231" spans="1:6" x14ac:dyDescent="0.45">
      <c r="A1231" s="3">
        <v>4426</v>
      </c>
      <c r="B1231" s="3" t="str">
        <f t="shared" si="38"/>
        <v>4</v>
      </c>
      <c r="C1231" s="5"/>
      <c r="D1231" s="17"/>
      <c r="E1231" s="4" t="s">
        <v>3652</v>
      </c>
      <c r="F1231" s="2" t="str">
        <f t="shared" si="39"/>
        <v>NA</v>
      </c>
    </row>
    <row r="1232" spans="1:6" ht="42.75" x14ac:dyDescent="0.4">
      <c r="A1232" s="3">
        <v>5111</v>
      </c>
      <c r="B1232" s="3" t="str">
        <f t="shared" si="38"/>
        <v>5</v>
      </c>
      <c r="C1232" s="4" t="s">
        <v>357</v>
      </c>
      <c r="D1232" s="5" t="s">
        <v>2127</v>
      </c>
      <c r="E1232" s="4" t="s">
        <v>3</v>
      </c>
      <c r="F1232" s="2" t="str">
        <f t="shared" si="39"/>
        <v>Non-routine cognitive</v>
      </c>
    </row>
    <row r="1233" spans="1:6" ht="42.75" x14ac:dyDescent="0.4">
      <c r="A1233" s="3">
        <v>5111</v>
      </c>
      <c r="B1233" s="3" t="str">
        <f t="shared" si="38"/>
        <v>5</v>
      </c>
      <c r="C1233" s="4" t="s">
        <v>357</v>
      </c>
      <c r="D1233" s="8" t="s">
        <v>2128</v>
      </c>
      <c r="E1233" s="4" t="s">
        <v>50</v>
      </c>
      <c r="F1233" s="2" t="str">
        <f t="shared" si="39"/>
        <v>Routine cognitive</v>
      </c>
    </row>
    <row r="1234" spans="1:6" ht="28.5" x14ac:dyDescent="0.4">
      <c r="A1234" s="3">
        <v>5111</v>
      </c>
      <c r="B1234" s="3" t="str">
        <f t="shared" si="38"/>
        <v>5</v>
      </c>
      <c r="C1234" s="4" t="s">
        <v>357</v>
      </c>
      <c r="D1234" s="10" t="s">
        <v>2129</v>
      </c>
      <c r="E1234" s="4" t="s">
        <v>106</v>
      </c>
      <c r="F1234" s="2" t="str">
        <f t="shared" si="39"/>
        <v>Non-routine manual</v>
      </c>
    </row>
    <row r="1235" spans="1:6" x14ac:dyDescent="0.4">
      <c r="A1235" s="3">
        <v>5111</v>
      </c>
      <c r="B1235" s="3" t="str">
        <f t="shared" si="38"/>
        <v>5</v>
      </c>
      <c r="C1235" s="4" t="s">
        <v>357</v>
      </c>
      <c r="D1235" s="6" t="s">
        <v>358</v>
      </c>
      <c r="E1235" s="4" t="s">
        <v>50</v>
      </c>
      <c r="F1235" s="2" t="str">
        <f t="shared" si="39"/>
        <v>Routine cognitive</v>
      </c>
    </row>
    <row r="1236" spans="1:6" ht="42.75" x14ac:dyDescent="0.4">
      <c r="A1236" s="3">
        <v>5111</v>
      </c>
      <c r="B1236" s="3" t="str">
        <f t="shared" si="38"/>
        <v>5</v>
      </c>
      <c r="C1236" s="4" t="s">
        <v>357</v>
      </c>
      <c r="D1236" s="5" t="s">
        <v>2130</v>
      </c>
      <c r="E1236" s="4" t="s">
        <v>106</v>
      </c>
      <c r="F1236" s="2" t="str">
        <f t="shared" si="39"/>
        <v>Non-routine manual</v>
      </c>
    </row>
    <row r="1237" spans="1:6" ht="57" x14ac:dyDescent="0.4">
      <c r="A1237" s="3">
        <v>5111</v>
      </c>
      <c r="B1237" s="3" t="str">
        <f t="shared" si="38"/>
        <v>5</v>
      </c>
      <c r="C1237" s="4" t="s">
        <v>357</v>
      </c>
      <c r="D1237" s="8" t="s">
        <v>2131</v>
      </c>
      <c r="E1237" s="4" t="s">
        <v>106</v>
      </c>
      <c r="F1237" s="2" t="str">
        <f t="shared" si="39"/>
        <v>Non-routine manual</v>
      </c>
    </row>
    <row r="1238" spans="1:6" ht="28.5" x14ac:dyDescent="0.4">
      <c r="A1238" s="3">
        <v>5111</v>
      </c>
      <c r="B1238" s="3" t="str">
        <f t="shared" si="38"/>
        <v>5</v>
      </c>
      <c r="C1238" s="4" t="s">
        <v>357</v>
      </c>
      <c r="D1238" s="8" t="s">
        <v>2132</v>
      </c>
      <c r="E1238" s="4" t="s">
        <v>50</v>
      </c>
      <c r="F1238" s="2" t="str">
        <f t="shared" si="39"/>
        <v>Routine cognitive</v>
      </c>
    </row>
    <row r="1239" spans="1:6" x14ac:dyDescent="0.4">
      <c r="A1239" s="3">
        <v>5111</v>
      </c>
      <c r="B1239" s="3" t="str">
        <f t="shared" si="38"/>
        <v>5</v>
      </c>
      <c r="C1239" s="4" t="s">
        <v>357</v>
      </c>
      <c r="D1239" s="6" t="s">
        <v>359</v>
      </c>
      <c r="E1239" s="4" t="s">
        <v>50</v>
      </c>
      <c r="F1239" s="2" t="str">
        <f t="shared" si="39"/>
        <v>Routine cognitive</v>
      </c>
    </row>
    <row r="1240" spans="1:6" ht="57" x14ac:dyDescent="0.4">
      <c r="A1240" s="3">
        <v>5111</v>
      </c>
      <c r="B1240" s="3" t="str">
        <f t="shared" si="38"/>
        <v>5</v>
      </c>
      <c r="C1240" s="4" t="s">
        <v>357</v>
      </c>
      <c r="D1240" s="5" t="s">
        <v>2133</v>
      </c>
      <c r="E1240" s="4" t="s">
        <v>3</v>
      </c>
      <c r="F1240" s="2" t="str">
        <f t="shared" si="39"/>
        <v>Non-routine cognitive</v>
      </c>
    </row>
    <row r="1241" spans="1:6" ht="28.5" x14ac:dyDescent="0.4">
      <c r="A1241" s="3">
        <v>5111</v>
      </c>
      <c r="B1241" s="3" t="str">
        <f t="shared" si="38"/>
        <v>5</v>
      </c>
      <c r="C1241" s="4" t="s">
        <v>357</v>
      </c>
      <c r="D1241" s="8" t="s">
        <v>2134</v>
      </c>
      <c r="E1241" s="4" t="s">
        <v>3</v>
      </c>
      <c r="F1241" s="2" t="str">
        <f t="shared" si="39"/>
        <v>Non-routine cognitive</v>
      </c>
    </row>
    <row r="1242" spans="1:6" ht="28.5" x14ac:dyDescent="0.4">
      <c r="A1242" s="3">
        <v>5111</v>
      </c>
      <c r="B1242" s="3" t="str">
        <f t="shared" si="38"/>
        <v>5</v>
      </c>
      <c r="C1242" s="4" t="s">
        <v>357</v>
      </c>
      <c r="D1242" s="8" t="s">
        <v>2135</v>
      </c>
      <c r="E1242" s="4" t="s">
        <v>3</v>
      </c>
      <c r="F1242" s="2" t="str">
        <f t="shared" si="39"/>
        <v>Non-routine cognitive</v>
      </c>
    </row>
    <row r="1243" spans="1:6" ht="42.75" x14ac:dyDescent="0.4">
      <c r="A1243" s="3">
        <v>5112</v>
      </c>
      <c r="B1243" s="3" t="str">
        <f t="shared" si="38"/>
        <v>5</v>
      </c>
      <c r="C1243" s="4" t="s">
        <v>360</v>
      </c>
      <c r="D1243" s="5" t="s">
        <v>2136</v>
      </c>
      <c r="E1243" s="4" t="s">
        <v>50</v>
      </c>
      <c r="F1243" s="2" t="str">
        <f t="shared" si="39"/>
        <v>Routine cognitive</v>
      </c>
    </row>
    <row r="1244" spans="1:6" ht="28.5" x14ac:dyDescent="0.4">
      <c r="A1244" s="3">
        <v>5112</v>
      </c>
      <c r="B1244" s="3" t="str">
        <f t="shared" si="38"/>
        <v>5</v>
      </c>
      <c r="C1244" s="4" t="s">
        <v>360</v>
      </c>
      <c r="D1244" s="8" t="s">
        <v>2137</v>
      </c>
      <c r="E1244" s="4" t="s">
        <v>3</v>
      </c>
      <c r="F1244" s="2" t="str">
        <f t="shared" si="39"/>
        <v>Non-routine cognitive</v>
      </c>
    </row>
    <row r="1245" spans="1:6" ht="28.5" x14ac:dyDescent="0.4">
      <c r="A1245" s="3">
        <v>5112</v>
      </c>
      <c r="B1245" s="3" t="str">
        <f t="shared" si="38"/>
        <v>5</v>
      </c>
      <c r="C1245" s="4" t="s">
        <v>360</v>
      </c>
      <c r="D1245" s="8" t="s">
        <v>2138</v>
      </c>
      <c r="E1245" s="4" t="s">
        <v>106</v>
      </c>
      <c r="F1245" s="2" t="str">
        <f t="shared" si="39"/>
        <v>Non-routine manual</v>
      </c>
    </row>
    <row r="1246" spans="1:6" x14ac:dyDescent="0.4">
      <c r="A1246" s="3">
        <v>5112</v>
      </c>
      <c r="B1246" s="3" t="str">
        <f t="shared" si="38"/>
        <v>5</v>
      </c>
      <c r="C1246" s="4" t="s">
        <v>360</v>
      </c>
      <c r="D1246" s="6" t="s">
        <v>361</v>
      </c>
      <c r="E1246" s="4" t="s">
        <v>182</v>
      </c>
      <c r="F1246" s="2" t="str">
        <f t="shared" si="39"/>
        <v>Routine manual</v>
      </c>
    </row>
    <row r="1247" spans="1:6" ht="28.5" x14ac:dyDescent="0.4">
      <c r="A1247" s="3">
        <v>5112</v>
      </c>
      <c r="B1247" s="3" t="str">
        <f t="shared" si="38"/>
        <v>5</v>
      </c>
      <c r="C1247" s="4" t="s">
        <v>360</v>
      </c>
      <c r="D1247" s="10" t="s">
        <v>2139</v>
      </c>
      <c r="E1247" s="4" t="s">
        <v>182</v>
      </c>
      <c r="F1247" s="2" t="str">
        <f t="shared" si="39"/>
        <v>Routine manual</v>
      </c>
    </row>
    <row r="1248" spans="1:6" x14ac:dyDescent="0.4">
      <c r="A1248" s="3">
        <v>5112</v>
      </c>
      <c r="B1248" s="3" t="str">
        <f t="shared" si="38"/>
        <v>5</v>
      </c>
      <c r="C1248" s="4" t="s">
        <v>360</v>
      </c>
      <c r="D1248" s="7" t="s">
        <v>362</v>
      </c>
      <c r="E1248" s="4" t="s">
        <v>182</v>
      </c>
      <c r="F1248" s="2" t="str">
        <f t="shared" si="39"/>
        <v>Routine manual</v>
      </c>
    </row>
    <row r="1249" spans="1:6" ht="28.5" x14ac:dyDescent="0.4">
      <c r="A1249" s="3">
        <v>5112</v>
      </c>
      <c r="B1249" s="3" t="str">
        <f t="shared" si="38"/>
        <v>5</v>
      </c>
      <c r="C1249" s="4" t="s">
        <v>360</v>
      </c>
      <c r="D1249" s="10" t="s">
        <v>2140</v>
      </c>
      <c r="E1249" s="4" t="s">
        <v>3</v>
      </c>
      <c r="F1249" s="2" t="str">
        <f t="shared" si="39"/>
        <v>Non-routine cognitive</v>
      </c>
    </row>
    <row r="1250" spans="1:6" x14ac:dyDescent="0.4">
      <c r="A1250" s="3">
        <v>5112</v>
      </c>
      <c r="B1250" s="3" t="str">
        <f t="shared" si="38"/>
        <v>5</v>
      </c>
      <c r="C1250" s="4" t="s">
        <v>360</v>
      </c>
      <c r="D1250" s="7" t="s">
        <v>363</v>
      </c>
      <c r="E1250" s="4" t="s">
        <v>50</v>
      </c>
      <c r="F1250" s="2" t="str">
        <f t="shared" si="39"/>
        <v>Routine cognitive</v>
      </c>
    </row>
    <row r="1251" spans="1:6" ht="42.75" x14ac:dyDescent="0.4">
      <c r="A1251" s="3">
        <v>5112</v>
      </c>
      <c r="B1251" s="3" t="str">
        <f t="shared" si="38"/>
        <v>5</v>
      </c>
      <c r="C1251" s="4" t="s">
        <v>360</v>
      </c>
      <c r="D1251" s="8" t="s">
        <v>2141</v>
      </c>
      <c r="E1251" s="4" t="s">
        <v>50</v>
      </c>
      <c r="F1251" s="2" t="str">
        <f t="shared" si="39"/>
        <v>Routine cognitive</v>
      </c>
    </row>
    <row r="1252" spans="1:6" ht="28.5" x14ac:dyDescent="0.4">
      <c r="A1252" s="3">
        <v>5112</v>
      </c>
      <c r="B1252" s="3" t="str">
        <f t="shared" si="38"/>
        <v>5</v>
      </c>
      <c r="C1252" s="4" t="s">
        <v>360</v>
      </c>
      <c r="D1252" s="8" t="s">
        <v>2142</v>
      </c>
      <c r="E1252" s="4" t="s">
        <v>50</v>
      </c>
      <c r="F1252" s="2" t="str">
        <f t="shared" si="39"/>
        <v>Routine cognitive</v>
      </c>
    </row>
    <row r="1253" spans="1:6" ht="28.5" x14ac:dyDescent="0.4">
      <c r="A1253" s="3">
        <v>5113</v>
      </c>
      <c r="B1253" s="3" t="str">
        <f t="shared" si="38"/>
        <v>5</v>
      </c>
      <c r="C1253" s="4" t="s">
        <v>364</v>
      </c>
      <c r="D1253" s="5" t="s">
        <v>2143</v>
      </c>
      <c r="E1253" s="4" t="s">
        <v>3</v>
      </c>
      <c r="F1253" s="2" t="str">
        <f t="shared" si="39"/>
        <v>Non-routine cognitive</v>
      </c>
    </row>
    <row r="1254" spans="1:6" ht="42.75" x14ac:dyDescent="0.4">
      <c r="A1254" s="3">
        <v>5113</v>
      </c>
      <c r="B1254" s="3" t="str">
        <f t="shared" si="38"/>
        <v>5</v>
      </c>
      <c r="C1254" s="4" t="s">
        <v>364</v>
      </c>
      <c r="D1254" s="5" t="s">
        <v>2144</v>
      </c>
      <c r="E1254" s="4" t="s">
        <v>3</v>
      </c>
      <c r="F1254" s="2" t="str">
        <f t="shared" si="39"/>
        <v>Non-routine cognitive</v>
      </c>
    </row>
    <row r="1255" spans="1:6" ht="28.5" x14ac:dyDescent="0.4">
      <c r="A1255" s="3">
        <v>5113</v>
      </c>
      <c r="B1255" s="3" t="str">
        <f t="shared" si="38"/>
        <v>5</v>
      </c>
      <c r="C1255" s="4" t="s">
        <v>364</v>
      </c>
      <c r="D1255" s="10" t="s">
        <v>2145</v>
      </c>
      <c r="E1255" s="4" t="s">
        <v>50</v>
      </c>
      <c r="F1255" s="2" t="str">
        <f t="shared" si="39"/>
        <v>Routine cognitive</v>
      </c>
    </row>
    <row r="1256" spans="1:6" x14ac:dyDescent="0.4">
      <c r="A1256" s="3">
        <v>5113</v>
      </c>
      <c r="B1256" s="3" t="str">
        <f t="shared" si="38"/>
        <v>5</v>
      </c>
      <c r="C1256" s="4" t="s">
        <v>364</v>
      </c>
      <c r="D1256" s="6" t="s">
        <v>365</v>
      </c>
      <c r="E1256" s="4" t="s">
        <v>3</v>
      </c>
      <c r="F1256" s="2" t="str">
        <f t="shared" si="39"/>
        <v>Non-routine cognitive</v>
      </c>
    </row>
    <row r="1257" spans="1:6" ht="28.5" x14ac:dyDescent="0.4">
      <c r="A1257" s="3">
        <v>5113</v>
      </c>
      <c r="B1257" s="3" t="str">
        <f t="shared" si="38"/>
        <v>5</v>
      </c>
      <c r="C1257" s="4" t="s">
        <v>364</v>
      </c>
      <c r="D1257" s="5" t="s">
        <v>2146</v>
      </c>
      <c r="E1257" s="4" t="s">
        <v>50</v>
      </c>
      <c r="F1257" s="2" t="str">
        <f t="shared" si="39"/>
        <v>Routine cognitive</v>
      </c>
    </row>
    <row r="1258" spans="1:6" ht="42.75" x14ac:dyDescent="0.4">
      <c r="A1258" s="3">
        <v>5113</v>
      </c>
      <c r="B1258" s="3" t="str">
        <f t="shared" si="38"/>
        <v>5</v>
      </c>
      <c r="C1258" s="4" t="s">
        <v>364</v>
      </c>
      <c r="D1258" s="5" t="s">
        <v>2147</v>
      </c>
      <c r="E1258" s="4" t="s">
        <v>3</v>
      </c>
      <c r="F1258" s="2" t="str">
        <f t="shared" si="39"/>
        <v>Non-routine cognitive</v>
      </c>
    </row>
    <row r="1259" spans="1:6" ht="28.5" x14ac:dyDescent="0.4">
      <c r="A1259" s="3">
        <v>5113</v>
      </c>
      <c r="B1259" s="3" t="str">
        <f t="shared" si="38"/>
        <v>5</v>
      </c>
      <c r="C1259" s="4" t="s">
        <v>364</v>
      </c>
      <c r="D1259" s="5" t="s">
        <v>2148</v>
      </c>
      <c r="E1259" s="4" t="s">
        <v>50</v>
      </c>
      <c r="F1259" s="2" t="str">
        <f t="shared" si="39"/>
        <v>Routine cognitive</v>
      </c>
    </row>
    <row r="1260" spans="1:6" ht="42.75" x14ac:dyDescent="0.4">
      <c r="A1260" s="3">
        <v>5113</v>
      </c>
      <c r="B1260" s="3" t="str">
        <f t="shared" si="38"/>
        <v>5</v>
      </c>
      <c r="C1260" s="4" t="s">
        <v>364</v>
      </c>
      <c r="D1260" s="5" t="s">
        <v>2149</v>
      </c>
      <c r="E1260" s="4" t="s">
        <v>106</v>
      </c>
      <c r="F1260" s="2" t="str">
        <f t="shared" si="39"/>
        <v>Non-routine manual</v>
      </c>
    </row>
    <row r="1261" spans="1:6" ht="28.5" x14ac:dyDescent="0.4">
      <c r="A1261" s="3">
        <v>5113</v>
      </c>
      <c r="B1261" s="3" t="str">
        <f t="shared" si="38"/>
        <v>5</v>
      </c>
      <c r="C1261" s="4" t="s">
        <v>364</v>
      </c>
      <c r="D1261" s="5" t="s">
        <v>2150</v>
      </c>
      <c r="E1261" s="4" t="s">
        <v>50</v>
      </c>
      <c r="F1261" s="2" t="str">
        <f t="shared" si="39"/>
        <v>Routine cognitive</v>
      </c>
    </row>
    <row r="1262" spans="1:6" ht="28.5" x14ac:dyDescent="0.4">
      <c r="A1262" s="3">
        <v>5113</v>
      </c>
      <c r="B1262" s="3" t="str">
        <f t="shared" si="38"/>
        <v>5</v>
      </c>
      <c r="C1262" s="4" t="s">
        <v>364</v>
      </c>
      <c r="D1262" s="5" t="s">
        <v>2151</v>
      </c>
      <c r="E1262" s="4" t="s">
        <v>3</v>
      </c>
      <c r="F1262" s="2" t="str">
        <f t="shared" si="39"/>
        <v>Non-routine cognitive</v>
      </c>
    </row>
    <row r="1263" spans="1:6" ht="42.75" x14ac:dyDescent="0.4">
      <c r="A1263" s="3">
        <v>5113</v>
      </c>
      <c r="B1263" s="3" t="str">
        <f t="shared" si="38"/>
        <v>5</v>
      </c>
      <c r="C1263" s="4" t="s">
        <v>364</v>
      </c>
      <c r="D1263" s="5" t="s">
        <v>2152</v>
      </c>
      <c r="E1263" s="4" t="s">
        <v>3</v>
      </c>
      <c r="F1263" s="2" t="str">
        <f t="shared" si="39"/>
        <v>Non-routine cognitive</v>
      </c>
    </row>
    <row r="1264" spans="1:6" ht="28.5" x14ac:dyDescent="0.4">
      <c r="A1264" s="3">
        <v>5113</v>
      </c>
      <c r="B1264" s="3" t="str">
        <f t="shared" si="38"/>
        <v>5</v>
      </c>
      <c r="C1264" s="4" t="s">
        <v>364</v>
      </c>
      <c r="D1264" s="10" t="s">
        <v>2145</v>
      </c>
      <c r="E1264" s="4" t="s">
        <v>50</v>
      </c>
      <c r="F1264" s="2" t="str">
        <f t="shared" si="39"/>
        <v>Routine cognitive</v>
      </c>
    </row>
    <row r="1265" spans="1:6" x14ac:dyDescent="0.4">
      <c r="A1265" s="3">
        <v>5113</v>
      </c>
      <c r="B1265" s="3" t="str">
        <f t="shared" si="38"/>
        <v>5</v>
      </c>
      <c r="C1265" s="4" t="s">
        <v>364</v>
      </c>
      <c r="D1265" s="6" t="s">
        <v>365</v>
      </c>
      <c r="E1265" s="4" t="s">
        <v>3</v>
      </c>
      <c r="F1265" s="2" t="str">
        <f t="shared" si="39"/>
        <v>Non-routine cognitive</v>
      </c>
    </row>
    <row r="1266" spans="1:6" ht="28.5" x14ac:dyDescent="0.4">
      <c r="A1266" s="3">
        <v>5113</v>
      </c>
      <c r="B1266" s="3" t="str">
        <f t="shared" si="38"/>
        <v>5</v>
      </c>
      <c r="C1266" s="4" t="s">
        <v>364</v>
      </c>
      <c r="D1266" s="5" t="s">
        <v>2146</v>
      </c>
      <c r="E1266" s="4" t="s">
        <v>50</v>
      </c>
      <c r="F1266" s="2" t="str">
        <f t="shared" si="39"/>
        <v>Routine cognitive</v>
      </c>
    </row>
    <row r="1267" spans="1:6" ht="28.5" x14ac:dyDescent="0.4">
      <c r="A1267" s="3">
        <v>5113</v>
      </c>
      <c r="B1267" s="3" t="str">
        <f t="shared" si="38"/>
        <v>5</v>
      </c>
      <c r="C1267" s="4" t="s">
        <v>364</v>
      </c>
      <c r="D1267" s="4" t="s">
        <v>3660</v>
      </c>
      <c r="E1267" s="4" t="s">
        <v>3</v>
      </c>
      <c r="F1267" s="2" t="str">
        <f t="shared" si="39"/>
        <v>Non-routine cognitive</v>
      </c>
    </row>
    <row r="1268" spans="1:6" ht="28.5" x14ac:dyDescent="0.4">
      <c r="A1268" s="3">
        <v>5113</v>
      </c>
      <c r="B1268" s="3" t="str">
        <f t="shared" si="38"/>
        <v>5</v>
      </c>
      <c r="C1268" s="4" t="s">
        <v>364</v>
      </c>
      <c r="D1268" s="5" t="s">
        <v>2148</v>
      </c>
      <c r="E1268" s="4" t="s">
        <v>50</v>
      </c>
      <c r="F1268" s="2" t="str">
        <f t="shared" si="39"/>
        <v>Routine cognitive</v>
      </c>
    </row>
    <row r="1269" spans="1:6" ht="42.75" x14ac:dyDescent="0.4">
      <c r="A1269" s="3">
        <v>5113</v>
      </c>
      <c r="B1269" s="3" t="str">
        <f t="shared" si="38"/>
        <v>5</v>
      </c>
      <c r="C1269" s="4" t="s">
        <v>364</v>
      </c>
      <c r="D1269" s="5" t="s">
        <v>2149</v>
      </c>
      <c r="E1269" s="4" t="s">
        <v>106</v>
      </c>
      <c r="F1269" s="2" t="str">
        <f t="shared" si="39"/>
        <v>Non-routine manual</v>
      </c>
    </row>
    <row r="1270" spans="1:6" ht="28.5" x14ac:dyDescent="0.4">
      <c r="A1270" s="3">
        <v>5113</v>
      </c>
      <c r="B1270" s="3" t="str">
        <f t="shared" si="38"/>
        <v>5</v>
      </c>
      <c r="C1270" s="4" t="s">
        <v>364</v>
      </c>
      <c r="D1270" s="5" t="s">
        <v>2150</v>
      </c>
      <c r="E1270" s="4" t="s">
        <v>50</v>
      </c>
      <c r="F1270" s="2" t="str">
        <f t="shared" si="39"/>
        <v>Routine cognitive</v>
      </c>
    </row>
    <row r="1271" spans="1:6" ht="28.5" x14ac:dyDescent="0.4">
      <c r="A1271" s="3">
        <v>5120</v>
      </c>
      <c r="B1271" s="3" t="str">
        <f t="shared" si="38"/>
        <v>5</v>
      </c>
      <c r="C1271" s="4" t="s">
        <v>366</v>
      </c>
      <c r="D1271" s="6" t="s">
        <v>367</v>
      </c>
      <c r="E1271" s="4" t="s">
        <v>106</v>
      </c>
      <c r="F1271" s="2" t="str">
        <f t="shared" si="39"/>
        <v>Non-routine manual</v>
      </c>
    </row>
    <row r="1272" spans="1:6" ht="28.5" x14ac:dyDescent="0.4">
      <c r="A1272" s="3">
        <v>5120</v>
      </c>
      <c r="B1272" s="3" t="str">
        <f t="shared" si="38"/>
        <v>5</v>
      </c>
      <c r="C1272" s="4" t="s">
        <v>366</v>
      </c>
      <c r="D1272" s="5" t="s">
        <v>2153</v>
      </c>
      <c r="E1272" s="4" t="s">
        <v>3</v>
      </c>
      <c r="F1272" s="2" t="str">
        <f t="shared" si="39"/>
        <v>Non-routine cognitive</v>
      </c>
    </row>
    <row r="1273" spans="1:6" ht="28.5" x14ac:dyDescent="0.4">
      <c r="A1273" s="3">
        <v>5120</v>
      </c>
      <c r="B1273" s="3" t="str">
        <f t="shared" si="38"/>
        <v>5</v>
      </c>
      <c r="C1273" s="4" t="s">
        <v>366</v>
      </c>
      <c r="D1273" s="6" t="s">
        <v>368</v>
      </c>
      <c r="E1273" s="4" t="s">
        <v>106</v>
      </c>
      <c r="F1273" s="2" t="str">
        <f t="shared" si="39"/>
        <v>Non-routine manual</v>
      </c>
    </row>
    <row r="1274" spans="1:6" ht="28.5" x14ac:dyDescent="0.4">
      <c r="A1274" s="3">
        <v>5120</v>
      </c>
      <c r="B1274" s="3" t="str">
        <f t="shared" si="38"/>
        <v>5</v>
      </c>
      <c r="C1274" s="4" t="s">
        <v>366</v>
      </c>
      <c r="D1274" s="5" t="s">
        <v>2154</v>
      </c>
      <c r="E1274" s="4" t="s">
        <v>50</v>
      </c>
      <c r="F1274" s="2" t="str">
        <f t="shared" si="39"/>
        <v>Routine cognitive</v>
      </c>
    </row>
    <row r="1275" spans="1:6" ht="57" x14ac:dyDescent="0.4">
      <c r="A1275" s="3">
        <v>5120</v>
      </c>
      <c r="B1275" s="3" t="str">
        <f t="shared" si="38"/>
        <v>5</v>
      </c>
      <c r="C1275" s="4" t="s">
        <v>366</v>
      </c>
      <c r="D1275" s="5" t="s">
        <v>2155</v>
      </c>
      <c r="E1275" s="4" t="s">
        <v>106</v>
      </c>
      <c r="F1275" s="2" t="str">
        <f t="shared" si="39"/>
        <v>Non-routine manual</v>
      </c>
    </row>
    <row r="1276" spans="1:6" ht="28.5" x14ac:dyDescent="0.4">
      <c r="A1276" s="3">
        <v>5120</v>
      </c>
      <c r="B1276" s="3" t="str">
        <f t="shared" si="38"/>
        <v>5</v>
      </c>
      <c r="C1276" s="4" t="s">
        <v>366</v>
      </c>
      <c r="D1276" s="5" t="s">
        <v>2156</v>
      </c>
      <c r="E1276" s="4" t="s">
        <v>182</v>
      </c>
      <c r="F1276" s="2" t="str">
        <f t="shared" si="39"/>
        <v>Routine manual</v>
      </c>
    </row>
    <row r="1277" spans="1:6" ht="28.5" x14ac:dyDescent="0.4">
      <c r="A1277" s="3">
        <v>5131</v>
      </c>
      <c r="B1277" s="3" t="str">
        <f t="shared" si="38"/>
        <v>5</v>
      </c>
      <c r="C1277" s="4" t="s">
        <v>369</v>
      </c>
      <c r="D1277" s="5" t="s">
        <v>2157</v>
      </c>
      <c r="E1277" s="4" t="s">
        <v>106</v>
      </c>
      <c r="F1277" s="2" t="str">
        <f t="shared" si="39"/>
        <v>Non-routine manual</v>
      </c>
    </row>
    <row r="1278" spans="1:6" ht="28.5" x14ac:dyDescent="0.4">
      <c r="A1278" s="3">
        <v>5131</v>
      </c>
      <c r="B1278" s="3" t="str">
        <f t="shared" si="38"/>
        <v>5</v>
      </c>
      <c r="C1278" s="4" t="s">
        <v>369</v>
      </c>
      <c r="D1278" s="5" t="s">
        <v>2158</v>
      </c>
      <c r="E1278" s="4" t="s">
        <v>3</v>
      </c>
      <c r="F1278" s="2" t="str">
        <f t="shared" si="39"/>
        <v>Non-routine cognitive</v>
      </c>
    </row>
    <row r="1279" spans="1:6" ht="28.5" x14ac:dyDescent="0.4">
      <c r="A1279" s="3">
        <v>5131</v>
      </c>
      <c r="B1279" s="3" t="str">
        <f t="shared" si="38"/>
        <v>5</v>
      </c>
      <c r="C1279" s="4" t="s">
        <v>369</v>
      </c>
      <c r="D1279" s="5" t="s">
        <v>2159</v>
      </c>
      <c r="E1279" s="4" t="s">
        <v>3</v>
      </c>
      <c r="F1279" s="2" t="str">
        <f t="shared" si="39"/>
        <v>Non-routine cognitive</v>
      </c>
    </row>
    <row r="1280" spans="1:6" ht="28.5" x14ac:dyDescent="0.4">
      <c r="A1280" s="3">
        <v>5131</v>
      </c>
      <c r="B1280" s="3" t="str">
        <f t="shared" si="38"/>
        <v>5</v>
      </c>
      <c r="C1280" s="4" t="s">
        <v>369</v>
      </c>
      <c r="D1280" s="8" t="s">
        <v>2160</v>
      </c>
      <c r="E1280" s="4" t="s">
        <v>3</v>
      </c>
      <c r="F1280" s="2" t="str">
        <f t="shared" si="39"/>
        <v>Non-routine cognitive</v>
      </c>
    </row>
    <row r="1281" spans="1:6" ht="28.5" x14ac:dyDescent="0.4">
      <c r="A1281" s="3">
        <v>5131</v>
      </c>
      <c r="B1281" s="3" t="str">
        <f t="shared" si="38"/>
        <v>5</v>
      </c>
      <c r="C1281" s="4" t="s">
        <v>369</v>
      </c>
      <c r="D1281" s="6" t="s">
        <v>370</v>
      </c>
      <c r="E1281" s="4" t="s">
        <v>106</v>
      </c>
      <c r="F1281" s="2" t="str">
        <f t="shared" si="39"/>
        <v>Non-routine manual</v>
      </c>
    </row>
    <row r="1282" spans="1:6" ht="28.5" x14ac:dyDescent="0.4">
      <c r="A1282" s="3">
        <v>5131</v>
      </c>
      <c r="B1282" s="3" t="str">
        <f t="shared" si="38"/>
        <v>5</v>
      </c>
      <c r="C1282" s="4" t="s">
        <v>369</v>
      </c>
      <c r="D1282" s="5" t="s">
        <v>2161</v>
      </c>
      <c r="E1282" s="4" t="s">
        <v>106</v>
      </c>
      <c r="F1282" s="2" t="str">
        <f t="shared" si="39"/>
        <v>Non-routine manual</v>
      </c>
    </row>
    <row r="1283" spans="1:6" ht="42.75" x14ac:dyDescent="0.4">
      <c r="A1283" s="3">
        <v>5131</v>
      </c>
      <c r="B1283" s="3" t="str">
        <f t="shared" ref="B1283:B1346" si="40">LEFT(A1283,1)</f>
        <v>5</v>
      </c>
      <c r="C1283" s="4" t="s">
        <v>369</v>
      </c>
      <c r="D1283" s="5" t="s">
        <v>2162</v>
      </c>
      <c r="E1283" s="4" t="s">
        <v>106</v>
      </c>
      <c r="F1283" s="2" t="str">
        <f t="shared" ref="F1283:F1346" si="41">IF(E1283="Non-routine interpersonal","Non-routine cognitive",IF(E1283="Non-routine analytical","Non-routine cognitive",IF(E1283="Non-routine manual physical","Non-routine manual",E1283)))</f>
        <v>Non-routine manual</v>
      </c>
    </row>
    <row r="1284" spans="1:6" ht="28.5" x14ac:dyDescent="0.4">
      <c r="A1284" s="3">
        <v>5132</v>
      </c>
      <c r="B1284" s="3" t="str">
        <f t="shared" si="40"/>
        <v>5</v>
      </c>
      <c r="C1284" s="4" t="s">
        <v>371</v>
      </c>
      <c r="D1284" s="8" t="s">
        <v>2163</v>
      </c>
      <c r="E1284" s="4" t="s">
        <v>3</v>
      </c>
      <c r="F1284" s="2" t="str">
        <f t="shared" si="41"/>
        <v>Non-routine cognitive</v>
      </c>
    </row>
    <row r="1285" spans="1:6" ht="28.5" x14ac:dyDescent="0.4">
      <c r="A1285" s="3">
        <v>5132</v>
      </c>
      <c r="B1285" s="3" t="str">
        <f t="shared" si="40"/>
        <v>5</v>
      </c>
      <c r="C1285" s="4" t="s">
        <v>371</v>
      </c>
      <c r="D1285" s="5" t="s">
        <v>2164</v>
      </c>
      <c r="E1285" s="4" t="s">
        <v>106</v>
      </c>
      <c r="F1285" s="2" t="str">
        <f t="shared" si="41"/>
        <v>Non-routine manual</v>
      </c>
    </row>
    <row r="1286" spans="1:6" ht="42.75" x14ac:dyDescent="0.4">
      <c r="A1286" s="3">
        <v>5132</v>
      </c>
      <c r="B1286" s="3" t="str">
        <f t="shared" si="40"/>
        <v>5</v>
      </c>
      <c r="C1286" s="4" t="s">
        <v>371</v>
      </c>
      <c r="D1286" s="5" t="s">
        <v>2165</v>
      </c>
      <c r="E1286" s="4" t="s">
        <v>106</v>
      </c>
      <c r="F1286" s="2" t="str">
        <f t="shared" si="41"/>
        <v>Non-routine manual</v>
      </c>
    </row>
    <row r="1287" spans="1:6" ht="28.5" x14ac:dyDescent="0.4">
      <c r="A1287" s="3">
        <v>5132</v>
      </c>
      <c r="B1287" s="3" t="str">
        <f t="shared" si="40"/>
        <v>5</v>
      </c>
      <c r="C1287" s="4" t="s">
        <v>371</v>
      </c>
      <c r="D1287" s="4" t="s">
        <v>372</v>
      </c>
      <c r="E1287" s="4" t="s">
        <v>106</v>
      </c>
      <c r="F1287" s="2" t="str">
        <f t="shared" si="41"/>
        <v>Non-routine manual</v>
      </c>
    </row>
    <row r="1288" spans="1:6" ht="28.5" x14ac:dyDescent="0.4">
      <c r="A1288" s="3">
        <v>5132</v>
      </c>
      <c r="B1288" s="3" t="str">
        <f t="shared" si="40"/>
        <v>5</v>
      </c>
      <c r="C1288" s="4" t="s">
        <v>371</v>
      </c>
      <c r="D1288" s="5" t="s">
        <v>2166</v>
      </c>
      <c r="E1288" s="4" t="s">
        <v>182</v>
      </c>
      <c r="F1288" s="2" t="str">
        <f t="shared" si="41"/>
        <v>Routine manual</v>
      </c>
    </row>
    <row r="1289" spans="1:6" ht="28.5" x14ac:dyDescent="0.4">
      <c r="A1289" s="3">
        <v>5132</v>
      </c>
      <c r="B1289" s="3" t="str">
        <f t="shared" si="40"/>
        <v>5</v>
      </c>
      <c r="C1289" s="4" t="s">
        <v>371</v>
      </c>
      <c r="D1289" s="5" t="s">
        <v>2167</v>
      </c>
      <c r="E1289" s="4" t="s">
        <v>182</v>
      </c>
      <c r="F1289" s="2" t="str">
        <f t="shared" si="41"/>
        <v>Routine manual</v>
      </c>
    </row>
    <row r="1290" spans="1:6" ht="28.5" x14ac:dyDescent="0.4">
      <c r="A1290" s="3">
        <v>5132</v>
      </c>
      <c r="B1290" s="3" t="str">
        <f t="shared" si="40"/>
        <v>5</v>
      </c>
      <c r="C1290" s="4" t="s">
        <v>371</v>
      </c>
      <c r="D1290" s="5" t="s">
        <v>2168</v>
      </c>
      <c r="E1290" s="4" t="s">
        <v>50</v>
      </c>
      <c r="F1290" s="2" t="str">
        <f t="shared" si="41"/>
        <v>Routine cognitive</v>
      </c>
    </row>
    <row r="1291" spans="1:6" ht="42.75" x14ac:dyDescent="0.4">
      <c r="A1291" s="3">
        <v>5132</v>
      </c>
      <c r="B1291" s="3" t="str">
        <f t="shared" si="40"/>
        <v>5</v>
      </c>
      <c r="C1291" s="4" t="s">
        <v>371</v>
      </c>
      <c r="D1291" s="5" t="s">
        <v>2169</v>
      </c>
      <c r="E1291" s="4" t="s">
        <v>3</v>
      </c>
      <c r="F1291" s="2" t="str">
        <f t="shared" si="41"/>
        <v>Non-routine cognitive</v>
      </c>
    </row>
    <row r="1292" spans="1:6" ht="28.5" x14ac:dyDescent="0.4">
      <c r="A1292" s="3">
        <v>5132</v>
      </c>
      <c r="B1292" s="3" t="str">
        <f t="shared" si="40"/>
        <v>5</v>
      </c>
      <c r="C1292" s="4" t="s">
        <v>371</v>
      </c>
      <c r="D1292" s="6" t="s">
        <v>373</v>
      </c>
      <c r="E1292" s="4" t="s">
        <v>106</v>
      </c>
      <c r="F1292" s="2" t="str">
        <f t="shared" si="41"/>
        <v>Non-routine manual</v>
      </c>
    </row>
    <row r="1293" spans="1:6" ht="28.5" x14ac:dyDescent="0.4">
      <c r="A1293" s="3">
        <v>5132</v>
      </c>
      <c r="B1293" s="3" t="str">
        <f t="shared" si="40"/>
        <v>5</v>
      </c>
      <c r="C1293" s="4" t="s">
        <v>371</v>
      </c>
      <c r="D1293" s="6" t="s">
        <v>374</v>
      </c>
      <c r="E1293" s="4" t="s">
        <v>106</v>
      </c>
      <c r="F1293" s="2" t="str">
        <f t="shared" si="41"/>
        <v>Non-routine manual</v>
      </c>
    </row>
    <row r="1294" spans="1:6" ht="28.5" x14ac:dyDescent="0.4">
      <c r="A1294" s="3">
        <v>5141</v>
      </c>
      <c r="B1294" s="3" t="str">
        <f t="shared" si="40"/>
        <v>5</v>
      </c>
      <c r="C1294" s="4" t="s">
        <v>375</v>
      </c>
      <c r="D1294" s="6" t="s">
        <v>376</v>
      </c>
      <c r="E1294" s="4" t="s">
        <v>106</v>
      </c>
      <c r="F1294" s="2" t="str">
        <f t="shared" si="41"/>
        <v>Non-routine manual</v>
      </c>
    </row>
    <row r="1295" spans="1:6" ht="28.5" x14ac:dyDescent="0.4">
      <c r="A1295" s="3">
        <v>5141</v>
      </c>
      <c r="B1295" s="3" t="str">
        <f t="shared" si="40"/>
        <v>5</v>
      </c>
      <c r="C1295" s="4" t="s">
        <v>375</v>
      </c>
      <c r="D1295" s="7" t="s">
        <v>377</v>
      </c>
      <c r="E1295" s="4" t="s">
        <v>106</v>
      </c>
      <c r="F1295" s="2" t="str">
        <f t="shared" si="41"/>
        <v>Non-routine manual</v>
      </c>
    </row>
    <row r="1296" spans="1:6" ht="28.5" x14ac:dyDescent="0.4">
      <c r="A1296" s="3">
        <v>5141</v>
      </c>
      <c r="B1296" s="3" t="str">
        <f t="shared" si="40"/>
        <v>5</v>
      </c>
      <c r="C1296" s="4" t="s">
        <v>375</v>
      </c>
      <c r="D1296" s="14" t="s">
        <v>378</v>
      </c>
      <c r="E1296" s="4" t="s">
        <v>106</v>
      </c>
      <c r="F1296" s="2" t="str">
        <f t="shared" si="41"/>
        <v>Non-routine manual</v>
      </c>
    </row>
    <row r="1297" spans="1:6" ht="28.5" x14ac:dyDescent="0.4">
      <c r="A1297" s="3">
        <v>5141</v>
      </c>
      <c r="B1297" s="3" t="str">
        <f t="shared" si="40"/>
        <v>5</v>
      </c>
      <c r="C1297" s="4" t="s">
        <v>375</v>
      </c>
      <c r="D1297" s="7" t="s">
        <v>379</v>
      </c>
      <c r="E1297" s="4" t="s">
        <v>106</v>
      </c>
      <c r="F1297" s="2" t="str">
        <f t="shared" si="41"/>
        <v>Non-routine manual</v>
      </c>
    </row>
    <row r="1298" spans="1:6" x14ac:dyDescent="0.4">
      <c r="A1298" s="3">
        <v>5141</v>
      </c>
      <c r="B1298" s="3" t="str">
        <f t="shared" si="40"/>
        <v>5</v>
      </c>
      <c r="C1298" s="4" t="s">
        <v>375</v>
      </c>
      <c r="D1298" s="4" t="s">
        <v>380</v>
      </c>
      <c r="E1298" s="4" t="s">
        <v>3</v>
      </c>
      <c r="F1298" s="2" t="str">
        <f t="shared" si="41"/>
        <v>Non-routine cognitive</v>
      </c>
    </row>
    <row r="1299" spans="1:6" ht="28.5" x14ac:dyDescent="0.4">
      <c r="A1299" s="3">
        <v>5141</v>
      </c>
      <c r="B1299" s="3" t="str">
        <f t="shared" si="40"/>
        <v>5</v>
      </c>
      <c r="C1299" s="4" t="s">
        <v>375</v>
      </c>
      <c r="D1299" s="5" t="s">
        <v>2170</v>
      </c>
      <c r="E1299" s="4" t="s">
        <v>106</v>
      </c>
      <c r="F1299" s="2" t="str">
        <f t="shared" si="41"/>
        <v>Non-routine manual</v>
      </c>
    </row>
    <row r="1300" spans="1:6" x14ac:dyDescent="0.4">
      <c r="A1300" s="3">
        <v>5141</v>
      </c>
      <c r="B1300" s="3" t="str">
        <f t="shared" si="40"/>
        <v>5</v>
      </c>
      <c r="C1300" s="4" t="s">
        <v>375</v>
      </c>
      <c r="D1300" s="7" t="s">
        <v>381</v>
      </c>
      <c r="E1300" s="4" t="s">
        <v>50</v>
      </c>
      <c r="F1300" s="2" t="str">
        <f t="shared" si="41"/>
        <v>Routine cognitive</v>
      </c>
    </row>
    <row r="1301" spans="1:6" ht="28.5" x14ac:dyDescent="0.4">
      <c r="A1301" s="3">
        <v>5141</v>
      </c>
      <c r="B1301" s="3" t="str">
        <f t="shared" si="40"/>
        <v>5</v>
      </c>
      <c r="C1301" s="4" t="s">
        <v>375</v>
      </c>
      <c r="D1301" s="14" t="s">
        <v>382</v>
      </c>
      <c r="E1301" s="4" t="s">
        <v>106</v>
      </c>
      <c r="F1301" s="2" t="str">
        <f t="shared" si="41"/>
        <v>Non-routine manual</v>
      </c>
    </row>
    <row r="1302" spans="1:6" ht="42.75" x14ac:dyDescent="0.4">
      <c r="A1302" s="3">
        <v>5142</v>
      </c>
      <c r="B1302" s="3" t="str">
        <f t="shared" si="40"/>
        <v>5</v>
      </c>
      <c r="C1302" s="4" t="s">
        <v>383</v>
      </c>
      <c r="D1302" s="5" t="s">
        <v>2171</v>
      </c>
      <c r="E1302" s="4" t="s">
        <v>106</v>
      </c>
      <c r="F1302" s="2" t="str">
        <f t="shared" si="41"/>
        <v>Non-routine manual</v>
      </c>
    </row>
    <row r="1303" spans="1:6" ht="28.5" x14ac:dyDescent="0.4">
      <c r="A1303" s="3">
        <v>5142</v>
      </c>
      <c r="B1303" s="3" t="str">
        <f t="shared" si="40"/>
        <v>5</v>
      </c>
      <c r="C1303" s="4" t="s">
        <v>383</v>
      </c>
      <c r="D1303" s="14" t="s">
        <v>384</v>
      </c>
      <c r="E1303" s="4" t="s">
        <v>106</v>
      </c>
      <c r="F1303" s="2" t="str">
        <f t="shared" si="41"/>
        <v>Non-routine manual</v>
      </c>
    </row>
    <row r="1304" spans="1:6" ht="28.5" x14ac:dyDescent="0.4">
      <c r="A1304" s="3">
        <v>5142</v>
      </c>
      <c r="B1304" s="3" t="str">
        <f t="shared" si="40"/>
        <v>5</v>
      </c>
      <c r="C1304" s="4" t="s">
        <v>383</v>
      </c>
      <c r="D1304" s="4" t="s">
        <v>385</v>
      </c>
      <c r="E1304" s="4" t="s">
        <v>106</v>
      </c>
      <c r="F1304" s="2" t="str">
        <f t="shared" si="41"/>
        <v>Non-routine manual</v>
      </c>
    </row>
    <row r="1305" spans="1:6" ht="42.75" x14ac:dyDescent="0.4">
      <c r="A1305" s="3">
        <v>5142</v>
      </c>
      <c r="B1305" s="3" t="str">
        <f t="shared" si="40"/>
        <v>5</v>
      </c>
      <c r="C1305" s="4" t="s">
        <v>383</v>
      </c>
      <c r="D1305" s="5" t="s">
        <v>2172</v>
      </c>
      <c r="E1305" s="4" t="s">
        <v>106</v>
      </c>
      <c r="F1305" s="2" t="str">
        <f t="shared" si="41"/>
        <v>Non-routine manual</v>
      </c>
    </row>
    <row r="1306" spans="1:6" ht="28.5" x14ac:dyDescent="0.4">
      <c r="A1306" s="3">
        <v>5142</v>
      </c>
      <c r="B1306" s="3" t="str">
        <f t="shared" si="40"/>
        <v>5</v>
      </c>
      <c r="C1306" s="4" t="s">
        <v>383</v>
      </c>
      <c r="D1306" s="5" t="s">
        <v>2173</v>
      </c>
      <c r="E1306" s="4" t="s">
        <v>106</v>
      </c>
      <c r="F1306" s="2" t="str">
        <f t="shared" si="41"/>
        <v>Non-routine manual</v>
      </c>
    </row>
    <row r="1307" spans="1:6" ht="28.5" x14ac:dyDescent="0.4">
      <c r="A1307" s="3">
        <v>5142</v>
      </c>
      <c r="B1307" s="3" t="str">
        <f t="shared" si="40"/>
        <v>5</v>
      </c>
      <c r="C1307" s="4" t="s">
        <v>383</v>
      </c>
      <c r="D1307" s="4" t="s">
        <v>386</v>
      </c>
      <c r="E1307" s="4" t="s">
        <v>106</v>
      </c>
      <c r="F1307" s="2" t="str">
        <f t="shared" si="41"/>
        <v>Non-routine manual</v>
      </c>
    </row>
    <row r="1308" spans="1:6" ht="28.5" x14ac:dyDescent="0.4">
      <c r="A1308" s="3">
        <v>5142</v>
      </c>
      <c r="B1308" s="3" t="str">
        <f t="shared" si="40"/>
        <v>5</v>
      </c>
      <c r="C1308" s="4" t="s">
        <v>383</v>
      </c>
      <c r="D1308" s="10" t="s">
        <v>2174</v>
      </c>
      <c r="E1308" s="4" t="s">
        <v>4</v>
      </c>
      <c r="F1308" s="2" t="str">
        <f t="shared" si="41"/>
        <v>Non-routine cognitive</v>
      </c>
    </row>
    <row r="1309" spans="1:6" x14ac:dyDescent="0.4">
      <c r="A1309" s="3">
        <v>5142</v>
      </c>
      <c r="B1309" s="3" t="str">
        <f t="shared" si="40"/>
        <v>5</v>
      </c>
      <c r="C1309" s="4" t="s">
        <v>383</v>
      </c>
      <c r="D1309" s="7" t="s">
        <v>387</v>
      </c>
      <c r="E1309" s="4" t="s">
        <v>50</v>
      </c>
      <c r="F1309" s="2" t="str">
        <f t="shared" si="41"/>
        <v>Routine cognitive</v>
      </c>
    </row>
    <row r="1310" spans="1:6" ht="42.75" x14ac:dyDescent="0.4">
      <c r="A1310" s="3">
        <v>5151</v>
      </c>
      <c r="B1310" s="3" t="str">
        <f t="shared" si="40"/>
        <v>5</v>
      </c>
      <c r="C1310" s="4" t="s">
        <v>388</v>
      </c>
      <c r="D1310" s="4" t="s">
        <v>389</v>
      </c>
      <c r="E1310" s="4" t="s">
        <v>3</v>
      </c>
      <c r="F1310" s="2" t="str">
        <f t="shared" si="41"/>
        <v>Non-routine cognitive</v>
      </c>
    </row>
    <row r="1311" spans="1:6" ht="42.75" x14ac:dyDescent="0.4">
      <c r="A1311" s="3">
        <v>5151</v>
      </c>
      <c r="B1311" s="3" t="str">
        <f t="shared" si="40"/>
        <v>5</v>
      </c>
      <c r="C1311" s="4" t="s">
        <v>388</v>
      </c>
      <c r="D1311" s="12" t="s">
        <v>390</v>
      </c>
      <c r="E1311" s="4" t="s">
        <v>3</v>
      </c>
      <c r="F1311" s="2" t="str">
        <f t="shared" si="41"/>
        <v>Non-routine cognitive</v>
      </c>
    </row>
    <row r="1312" spans="1:6" ht="42.75" x14ac:dyDescent="0.4">
      <c r="A1312" s="3">
        <v>5151</v>
      </c>
      <c r="B1312" s="3" t="str">
        <f t="shared" si="40"/>
        <v>5</v>
      </c>
      <c r="C1312" s="4" t="s">
        <v>388</v>
      </c>
      <c r="D1312" s="12" t="s">
        <v>391</v>
      </c>
      <c r="E1312" s="4" t="s">
        <v>50</v>
      </c>
      <c r="F1312" s="2" t="str">
        <f t="shared" si="41"/>
        <v>Routine cognitive</v>
      </c>
    </row>
    <row r="1313" spans="1:6" ht="42.75" x14ac:dyDescent="0.4">
      <c r="A1313" s="3">
        <v>5151</v>
      </c>
      <c r="B1313" s="3" t="str">
        <f t="shared" si="40"/>
        <v>5</v>
      </c>
      <c r="C1313" s="4" t="s">
        <v>388</v>
      </c>
      <c r="D1313" s="4" t="s">
        <v>392</v>
      </c>
      <c r="E1313" s="4" t="s">
        <v>3</v>
      </c>
      <c r="F1313" s="2" t="str">
        <f t="shared" si="41"/>
        <v>Non-routine cognitive</v>
      </c>
    </row>
    <row r="1314" spans="1:6" ht="42.75" x14ac:dyDescent="0.4">
      <c r="A1314" s="3">
        <v>5151</v>
      </c>
      <c r="B1314" s="3" t="str">
        <f t="shared" si="40"/>
        <v>5</v>
      </c>
      <c r="C1314" s="4" t="s">
        <v>388</v>
      </c>
      <c r="D1314" s="6" t="s">
        <v>393</v>
      </c>
      <c r="E1314" s="4" t="s">
        <v>106</v>
      </c>
      <c r="F1314" s="2" t="str">
        <f t="shared" si="41"/>
        <v>Non-routine manual</v>
      </c>
    </row>
    <row r="1315" spans="1:6" ht="42.75" x14ac:dyDescent="0.4">
      <c r="A1315" s="3">
        <v>5151</v>
      </c>
      <c r="B1315" s="3" t="str">
        <f t="shared" si="40"/>
        <v>5</v>
      </c>
      <c r="C1315" s="4" t="s">
        <v>388</v>
      </c>
      <c r="D1315" s="4" t="s">
        <v>394</v>
      </c>
      <c r="E1315" s="4" t="s">
        <v>106</v>
      </c>
      <c r="F1315" s="2" t="str">
        <f t="shared" si="41"/>
        <v>Non-routine manual</v>
      </c>
    </row>
    <row r="1316" spans="1:6" ht="42.75" x14ac:dyDescent="0.4">
      <c r="A1316" s="3">
        <v>5151</v>
      </c>
      <c r="B1316" s="3" t="str">
        <f t="shared" si="40"/>
        <v>5</v>
      </c>
      <c r="C1316" s="4" t="s">
        <v>388</v>
      </c>
      <c r="D1316" s="4" t="s">
        <v>395</v>
      </c>
      <c r="E1316" s="4" t="s">
        <v>106</v>
      </c>
      <c r="F1316" s="2" t="str">
        <f t="shared" si="41"/>
        <v>Non-routine manual</v>
      </c>
    </row>
    <row r="1317" spans="1:6" ht="42.75" x14ac:dyDescent="0.4">
      <c r="A1317" s="3">
        <v>5151</v>
      </c>
      <c r="B1317" s="3" t="str">
        <f t="shared" si="40"/>
        <v>5</v>
      </c>
      <c r="C1317" s="4" t="s">
        <v>388</v>
      </c>
      <c r="D1317" s="4" t="s">
        <v>396</v>
      </c>
      <c r="E1317" s="4" t="s">
        <v>106</v>
      </c>
      <c r="F1317" s="2" t="str">
        <f t="shared" si="41"/>
        <v>Non-routine manual</v>
      </c>
    </row>
    <row r="1318" spans="1:6" ht="28.5" x14ac:dyDescent="0.4">
      <c r="A1318" s="3">
        <v>5152</v>
      </c>
      <c r="B1318" s="3" t="str">
        <f t="shared" si="40"/>
        <v>5</v>
      </c>
      <c r="C1318" s="4" t="s">
        <v>397</v>
      </c>
      <c r="D1318" s="10" t="s">
        <v>2175</v>
      </c>
      <c r="E1318" s="4" t="s">
        <v>3</v>
      </c>
      <c r="F1318" s="2" t="str">
        <f t="shared" si="41"/>
        <v>Non-routine cognitive</v>
      </c>
    </row>
    <row r="1319" spans="1:6" x14ac:dyDescent="0.4">
      <c r="A1319" s="3">
        <v>5152</v>
      </c>
      <c r="B1319" s="3" t="str">
        <f t="shared" si="40"/>
        <v>5</v>
      </c>
      <c r="C1319" s="4" t="s">
        <v>397</v>
      </c>
      <c r="D1319" s="6" t="s">
        <v>398</v>
      </c>
      <c r="E1319" s="4" t="s">
        <v>3</v>
      </c>
      <c r="F1319" s="2" t="str">
        <f t="shared" si="41"/>
        <v>Non-routine cognitive</v>
      </c>
    </row>
    <row r="1320" spans="1:6" x14ac:dyDescent="0.4">
      <c r="A1320" s="3">
        <v>5152</v>
      </c>
      <c r="B1320" s="3" t="str">
        <f t="shared" si="40"/>
        <v>5</v>
      </c>
      <c r="C1320" s="4" t="s">
        <v>397</v>
      </c>
      <c r="D1320" s="7" t="s">
        <v>399</v>
      </c>
      <c r="E1320" s="4" t="s">
        <v>50</v>
      </c>
      <c r="F1320" s="2" t="str">
        <f t="shared" si="41"/>
        <v>Routine cognitive</v>
      </c>
    </row>
    <row r="1321" spans="1:6" ht="42.75" x14ac:dyDescent="0.4">
      <c r="A1321" s="3">
        <v>5152</v>
      </c>
      <c r="B1321" s="3" t="str">
        <f t="shared" si="40"/>
        <v>5</v>
      </c>
      <c r="C1321" s="4" t="s">
        <v>397</v>
      </c>
      <c r="D1321" s="5" t="s">
        <v>2176</v>
      </c>
      <c r="E1321" s="4" t="s">
        <v>106</v>
      </c>
      <c r="F1321" s="2" t="str">
        <f t="shared" si="41"/>
        <v>Non-routine manual</v>
      </c>
    </row>
    <row r="1322" spans="1:6" ht="28.5" x14ac:dyDescent="0.4">
      <c r="A1322" s="3">
        <v>5152</v>
      </c>
      <c r="B1322" s="3" t="str">
        <f t="shared" si="40"/>
        <v>5</v>
      </c>
      <c r="C1322" s="4" t="s">
        <v>397</v>
      </c>
      <c r="D1322" s="8" t="s">
        <v>2177</v>
      </c>
      <c r="E1322" s="4" t="s">
        <v>106</v>
      </c>
      <c r="F1322" s="2" t="str">
        <f t="shared" si="41"/>
        <v>Non-routine manual</v>
      </c>
    </row>
    <row r="1323" spans="1:6" ht="28.5" x14ac:dyDescent="0.4">
      <c r="A1323" s="3">
        <v>5152</v>
      </c>
      <c r="B1323" s="3" t="str">
        <f t="shared" si="40"/>
        <v>5</v>
      </c>
      <c r="C1323" s="4" t="s">
        <v>397</v>
      </c>
      <c r="D1323" s="8" t="s">
        <v>2178</v>
      </c>
      <c r="E1323" s="4" t="s">
        <v>106</v>
      </c>
      <c r="F1323" s="2" t="str">
        <f t="shared" si="41"/>
        <v>Non-routine manual</v>
      </c>
    </row>
    <row r="1324" spans="1:6" ht="42.75" x14ac:dyDescent="0.4">
      <c r="A1324" s="3">
        <v>5152</v>
      </c>
      <c r="B1324" s="3" t="str">
        <f t="shared" si="40"/>
        <v>5</v>
      </c>
      <c r="C1324" s="4" t="s">
        <v>397</v>
      </c>
      <c r="D1324" s="5" t="s">
        <v>2179</v>
      </c>
      <c r="E1324" s="4" t="s">
        <v>106</v>
      </c>
      <c r="F1324" s="2" t="str">
        <f t="shared" si="41"/>
        <v>Non-routine manual</v>
      </c>
    </row>
    <row r="1325" spans="1:6" ht="42.75" x14ac:dyDescent="0.4">
      <c r="A1325" s="3">
        <v>5152</v>
      </c>
      <c r="B1325" s="3" t="str">
        <f t="shared" si="40"/>
        <v>5</v>
      </c>
      <c r="C1325" s="4" t="s">
        <v>397</v>
      </c>
      <c r="D1325" s="5" t="s">
        <v>2180</v>
      </c>
      <c r="E1325" s="4" t="s">
        <v>106</v>
      </c>
      <c r="F1325" s="2" t="str">
        <f t="shared" si="41"/>
        <v>Non-routine manual</v>
      </c>
    </row>
    <row r="1326" spans="1:6" ht="28.5" x14ac:dyDescent="0.4">
      <c r="A1326" s="3">
        <v>5152</v>
      </c>
      <c r="B1326" s="3" t="str">
        <f t="shared" si="40"/>
        <v>5</v>
      </c>
      <c r="C1326" s="4" t="s">
        <v>397</v>
      </c>
      <c r="D1326" s="8" t="s">
        <v>2181</v>
      </c>
      <c r="E1326" s="4" t="s">
        <v>106</v>
      </c>
      <c r="F1326" s="2" t="str">
        <f t="shared" si="41"/>
        <v>Non-routine manual</v>
      </c>
    </row>
    <row r="1327" spans="1:6" ht="42.75" x14ac:dyDescent="0.4">
      <c r="A1327" s="3">
        <v>5153</v>
      </c>
      <c r="B1327" s="3" t="str">
        <f t="shared" si="40"/>
        <v>5</v>
      </c>
      <c r="C1327" s="4" t="s">
        <v>400</v>
      </c>
      <c r="D1327" s="5" t="s">
        <v>2182</v>
      </c>
      <c r="E1327" s="4" t="s">
        <v>3</v>
      </c>
      <c r="F1327" s="2" t="str">
        <f t="shared" si="41"/>
        <v>Non-routine cognitive</v>
      </c>
    </row>
    <row r="1328" spans="1:6" ht="42.75" x14ac:dyDescent="0.4">
      <c r="A1328" s="3">
        <v>5153</v>
      </c>
      <c r="B1328" s="3" t="str">
        <f t="shared" si="40"/>
        <v>5</v>
      </c>
      <c r="C1328" s="4" t="s">
        <v>400</v>
      </c>
      <c r="D1328" s="5" t="s">
        <v>2183</v>
      </c>
      <c r="E1328" s="4" t="s">
        <v>106</v>
      </c>
      <c r="F1328" s="2" t="str">
        <f t="shared" si="41"/>
        <v>Non-routine manual</v>
      </c>
    </row>
    <row r="1329" spans="1:6" ht="28.5" x14ac:dyDescent="0.4">
      <c r="A1329" s="3">
        <v>5153</v>
      </c>
      <c r="B1329" s="3" t="str">
        <f t="shared" si="40"/>
        <v>5</v>
      </c>
      <c r="C1329" s="4" t="s">
        <v>400</v>
      </c>
      <c r="D1329" s="8" t="s">
        <v>2184</v>
      </c>
      <c r="E1329" s="4" t="s">
        <v>106</v>
      </c>
      <c r="F1329" s="2" t="str">
        <f t="shared" si="41"/>
        <v>Non-routine manual</v>
      </c>
    </row>
    <row r="1330" spans="1:6" ht="42.75" x14ac:dyDescent="0.4">
      <c r="A1330" s="3">
        <v>5153</v>
      </c>
      <c r="B1330" s="3" t="str">
        <f t="shared" si="40"/>
        <v>5</v>
      </c>
      <c r="C1330" s="4" t="s">
        <v>400</v>
      </c>
      <c r="D1330" s="8" t="s">
        <v>2185</v>
      </c>
      <c r="E1330" s="4" t="s">
        <v>3</v>
      </c>
      <c r="F1330" s="2" t="str">
        <f t="shared" si="41"/>
        <v>Non-routine cognitive</v>
      </c>
    </row>
    <row r="1331" spans="1:6" ht="42.75" x14ac:dyDescent="0.4">
      <c r="A1331" s="3">
        <v>5153</v>
      </c>
      <c r="B1331" s="3" t="str">
        <f t="shared" si="40"/>
        <v>5</v>
      </c>
      <c r="C1331" s="4" t="s">
        <v>400</v>
      </c>
      <c r="D1331" s="5" t="s">
        <v>2186</v>
      </c>
      <c r="E1331" s="4" t="s">
        <v>106</v>
      </c>
      <c r="F1331" s="2" t="str">
        <f t="shared" si="41"/>
        <v>Non-routine manual</v>
      </c>
    </row>
    <row r="1332" spans="1:6" ht="28.5" x14ac:dyDescent="0.4">
      <c r="A1332" s="3">
        <v>5153</v>
      </c>
      <c r="B1332" s="3" t="str">
        <f t="shared" si="40"/>
        <v>5</v>
      </c>
      <c r="C1332" s="4" t="s">
        <v>400</v>
      </c>
      <c r="D1332" s="8" t="s">
        <v>2187</v>
      </c>
      <c r="E1332" s="4" t="s">
        <v>3</v>
      </c>
      <c r="F1332" s="2" t="str">
        <f t="shared" si="41"/>
        <v>Non-routine cognitive</v>
      </c>
    </row>
    <row r="1333" spans="1:6" ht="28.5" x14ac:dyDescent="0.4">
      <c r="A1333" s="3">
        <v>5153</v>
      </c>
      <c r="B1333" s="3" t="str">
        <f t="shared" si="40"/>
        <v>5</v>
      </c>
      <c r="C1333" s="4" t="s">
        <v>400</v>
      </c>
      <c r="D1333" s="6" t="s">
        <v>401</v>
      </c>
      <c r="E1333" s="4" t="s">
        <v>106</v>
      </c>
      <c r="F1333" s="2" t="str">
        <f t="shared" si="41"/>
        <v>Non-routine manual</v>
      </c>
    </row>
    <row r="1334" spans="1:6" ht="28.5" x14ac:dyDescent="0.4">
      <c r="A1334" s="3">
        <v>5153</v>
      </c>
      <c r="B1334" s="3" t="str">
        <f t="shared" si="40"/>
        <v>5</v>
      </c>
      <c r="C1334" s="4" t="s">
        <v>400</v>
      </c>
      <c r="D1334" s="8" t="s">
        <v>2188</v>
      </c>
      <c r="E1334" s="4" t="s">
        <v>50</v>
      </c>
      <c r="F1334" s="2" t="str">
        <f t="shared" si="41"/>
        <v>Routine cognitive</v>
      </c>
    </row>
    <row r="1335" spans="1:6" ht="28.5" x14ac:dyDescent="0.4">
      <c r="A1335" s="3">
        <v>5163</v>
      </c>
      <c r="B1335" s="3" t="str">
        <f t="shared" si="40"/>
        <v>5</v>
      </c>
      <c r="C1335" s="4" t="s">
        <v>402</v>
      </c>
      <c r="D1335" s="8" t="s">
        <v>2189</v>
      </c>
      <c r="E1335" s="4" t="s">
        <v>3</v>
      </c>
      <c r="F1335" s="2" t="str">
        <f t="shared" si="41"/>
        <v>Non-routine cognitive</v>
      </c>
    </row>
    <row r="1336" spans="1:6" ht="28.5" x14ac:dyDescent="0.4">
      <c r="A1336" s="3">
        <v>5163</v>
      </c>
      <c r="B1336" s="3" t="str">
        <f t="shared" si="40"/>
        <v>5</v>
      </c>
      <c r="C1336" s="4" t="s">
        <v>402</v>
      </c>
      <c r="D1336" s="8" t="s">
        <v>2190</v>
      </c>
      <c r="E1336" s="4" t="s">
        <v>106</v>
      </c>
      <c r="F1336" s="2" t="str">
        <f t="shared" si="41"/>
        <v>Non-routine manual</v>
      </c>
    </row>
    <row r="1337" spans="1:6" ht="42.75" x14ac:dyDescent="0.4">
      <c r="A1337" s="3">
        <v>5163</v>
      </c>
      <c r="B1337" s="3" t="str">
        <f t="shared" si="40"/>
        <v>5</v>
      </c>
      <c r="C1337" s="4" t="s">
        <v>402</v>
      </c>
      <c r="D1337" s="8" t="s">
        <v>2191</v>
      </c>
      <c r="E1337" s="4" t="s">
        <v>50</v>
      </c>
      <c r="F1337" s="2" t="str">
        <f t="shared" si="41"/>
        <v>Routine cognitive</v>
      </c>
    </row>
    <row r="1338" spans="1:6" ht="42.75" x14ac:dyDescent="0.4">
      <c r="A1338" s="3">
        <v>5163</v>
      </c>
      <c r="B1338" s="3" t="str">
        <f t="shared" si="40"/>
        <v>5</v>
      </c>
      <c r="C1338" s="4" t="s">
        <v>402</v>
      </c>
      <c r="D1338" s="8" t="s">
        <v>2192</v>
      </c>
      <c r="E1338" s="4" t="s">
        <v>106</v>
      </c>
      <c r="F1338" s="2" t="str">
        <f t="shared" si="41"/>
        <v>Non-routine manual</v>
      </c>
    </row>
    <row r="1339" spans="1:6" ht="28.5" x14ac:dyDescent="0.4">
      <c r="A1339" s="3">
        <v>5163</v>
      </c>
      <c r="B1339" s="3" t="str">
        <f t="shared" si="40"/>
        <v>5</v>
      </c>
      <c r="C1339" s="4" t="s">
        <v>402</v>
      </c>
      <c r="D1339" s="6" t="s">
        <v>403</v>
      </c>
      <c r="E1339" s="4" t="s">
        <v>106</v>
      </c>
      <c r="F1339" s="2" t="str">
        <f t="shared" si="41"/>
        <v>Non-routine manual</v>
      </c>
    </row>
    <row r="1340" spans="1:6" ht="57" x14ac:dyDescent="0.4">
      <c r="A1340" s="3">
        <v>5163</v>
      </c>
      <c r="B1340" s="3" t="str">
        <f t="shared" si="40"/>
        <v>5</v>
      </c>
      <c r="C1340" s="4" t="s">
        <v>402</v>
      </c>
      <c r="D1340" s="5" t="s">
        <v>2193</v>
      </c>
      <c r="E1340" s="4" t="s">
        <v>3</v>
      </c>
      <c r="F1340" s="2" t="str">
        <f t="shared" si="41"/>
        <v>Non-routine cognitive</v>
      </c>
    </row>
    <row r="1341" spans="1:6" ht="28.5" x14ac:dyDescent="0.4">
      <c r="A1341" s="3">
        <v>5169</v>
      </c>
      <c r="B1341" s="3" t="str">
        <f t="shared" si="40"/>
        <v>5</v>
      </c>
      <c r="C1341" s="4" t="s">
        <v>404</v>
      </c>
      <c r="D1341" s="6" t="s">
        <v>405</v>
      </c>
      <c r="E1341" s="4" t="s">
        <v>3</v>
      </c>
      <c r="F1341" s="2" t="str">
        <f t="shared" si="41"/>
        <v>Non-routine cognitive</v>
      </c>
    </row>
    <row r="1342" spans="1:6" ht="28.5" x14ac:dyDescent="0.4">
      <c r="A1342" s="3">
        <v>5169</v>
      </c>
      <c r="B1342" s="3" t="str">
        <f t="shared" si="40"/>
        <v>5</v>
      </c>
      <c r="C1342" s="4" t="s">
        <v>404</v>
      </c>
      <c r="D1342" s="14" t="s">
        <v>406</v>
      </c>
      <c r="E1342" s="4" t="s">
        <v>3</v>
      </c>
      <c r="F1342" s="2" t="str">
        <f t="shared" si="41"/>
        <v>Non-routine cognitive</v>
      </c>
    </row>
    <row r="1343" spans="1:6" ht="28.5" x14ac:dyDescent="0.4">
      <c r="A1343" s="3">
        <v>5169</v>
      </c>
      <c r="B1343" s="3" t="str">
        <f t="shared" si="40"/>
        <v>5</v>
      </c>
      <c r="C1343" s="4" t="s">
        <v>404</v>
      </c>
      <c r="D1343" s="8" t="s">
        <v>2194</v>
      </c>
      <c r="E1343" s="4" t="s">
        <v>50</v>
      </c>
      <c r="F1343" s="2" t="str">
        <f t="shared" si="41"/>
        <v>Routine cognitive</v>
      </c>
    </row>
    <row r="1344" spans="1:6" ht="28.5" x14ac:dyDescent="0.4">
      <c r="A1344" s="3">
        <v>5211</v>
      </c>
      <c r="B1344" s="3" t="str">
        <f t="shared" si="40"/>
        <v>5</v>
      </c>
      <c r="C1344" s="4" t="s">
        <v>407</v>
      </c>
      <c r="D1344" s="5" t="s">
        <v>2195</v>
      </c>
      <c r="E1344" s="4" t="s">
        <v>3</v>
      </c>
      <c r="F1344" s="2" t="str">
        <f t="shared" si="41"/>
        <v>Non-routine cognitive</v>
      </c>
    </row>
    <row r="1345" spans="1:6" ht="28.5" x14ac:dyDescent="0.4">
      <c r="A1345" s="3">
        <v>5211</v>
      </c>
      <c r="B1345" s="3" t="str">
        <f t="shared" si="40"/>
        <v>5</v>
      </c>
      <c r="C1345" s="4" t="s">
        <v>407</v>
      </c>
      <c r="D1345" s="8" t="s">
        <v>2196</v>
      </c>
      <c r="E1345" s="4" t="s">
        <v>4</v>
      </c>
      <c r="F1345" s="2" t="str">
        <f t="shared" si="41"/>
        <v>Non-routine cognitive</v>
      </c>
    </row>
    <row r="1346" spans="1:6" ht="42.75" x14ac:dyDescent="0.4">
      <c r="A1346" s="3">
        <v>5211</v>
      </c>
      <c r="B1346" s="3" t="str">
        <f t="shared" si="40"/>
        <v>5</v>
      </c>
      <c r="C1346" s="4" t="s">
        <v>407</v>
      </c>
      <c r="D1346" s="8" t="s">
        <v>2197</v>
      </c>
      <c r="E1346" s="4" t="s">
        <v>50</v>
      </c>
      <c r="F1346" s="2" t="str">
        <f t="shared" si="41"/>
        <v>Routine cognitive</v>
      </c>
    </row>
    <row r="1347" spans="1:6" ht="42.75" x14ac:dyDescent="0.4">
      <c r="A1347" s="3">
        <v>5211</v>
      </c>
      <c r="B1347" s="3" t="str">
        <f t="shared" ref="B1347:B1410" si="42">LEFT(A1347,1)</f>
        <v>5</v>
      </c>
      <c r="C1347" s="4" t="s">
        <v>407</v>
      </c>
      <c r="D1347" s="8" t="s">
        <v>2198</v>
      </c>
      <c r="E1347" s="4" t="s">
        <v>106</v>
      </c>
      <c r="F1347" s="2" t="str">
        <f t="shared" ref="F1347:F1410" si="43">IF(E1347="Non-routine interpersonal","Non-routine cognitive",IF(E1347="Non-routine analytical","Non-routine cognitive",IF(E1347="Non-routine manual physical","Non-routine manual",E1347)))</f>
        <v>Non-routine manual</v>
      </c>
    </row>
    <row r="1348" spans="1:6" x14ac:dyDescent="0.4">
      <c r="A1348" s="3">
        <v>5211</v>
      </c>
      <c r="B1348" s="3" t="str">
        <f t="shared" si="42"/>
        <v>5</v>
      </c>
      <c r="C1348" s="4" t="s">
        <v>407</v>
      </c>
      <c r="D1348" s="6" t="s">
        <v>408</v>
      </c>
      <c r="E1348" s="4" t="s">
        <v>50</v>
      </c>
      <c r="F1348" s="2" t="str">
        <f t="shared" si="43"/>
        <v>Routine cognitive</v>
      </c>
    </row>
    <row r="1349" spans="1:6" ht="28.5" x14ac:dyDescent="0.4">
      <c r="A1349" s="3">
        <v>5211</v>
      </c>
      <c r="B1349" s="3" t="str">
        <f t="shared" si="42"/>
        <v>5</v>
      </c>
      <c r="C1349" s="4" t="s">
        <v>407</v>
      </c>
      <c r="D1349" s="8" t="s">
        <v>2199</v>
      </c>
      <c r="E1349" s="4" t="s">
        <v>182</v>
      </c>
      <c r="F1349" s="2" t="str">
        <f t="shared" si="43"/>
        <v>Routine manual</v>
      </c>
    </row>
    <row r="1350" spans="1:6" ht="28.5" x14ac:dyDescent="0.4">
      <c r="A1350" s="3">
        <v>5211</v>
      </c>
      <c r="B1350" s="3" t="str">
        <f t="shared" si="42"/>
        <v>5</v>
      </c>
      <c r="C1350" s="4" t="s">
        <v>407</v>
      </c>
      <c r="D1350" s="8" t="s">
        <v>2200</v>
      </c>
      <c r="E1350" s="4" t="s">
        <v>50</v>
      </c>
      <c r="F1350" s="2" t="str">
        <f t="shared" si="43"/>
        <v>Routine cognitive</v>
      </c>
    </row>
    <row r="1351" spans="1:6" ht="42.75" x14ac:dyDescent="0.4">
      <c r="A1351" s="3">
        <v>5212</v>
      </c>
      <c r="B1351" s="3" t="str">
        <f t="shared" si="42"/>
        <v>5</v>
      </c>
      <c r="C1351" s="4" t="s">
        <v>409</v>
      </c>
      <c r="D1351" s="5" t="s">
        <v>2201</v>
      </c>
      <c r="E1351" s="4" t="s">
        <v>50</v>
      </c>
      <c r="F1351" s="2" t="str">
        <f t="shared" si="43"/>
        <v>Routine cognitive</v>
      </c>
    </row>
    <row r="1352" spans="1:6" ht="28.5" x14ac:dyDescent="0.4">
      <c r="A1352" s="3">
        <v>5212</v>
      </c>
      <c r="B1352" s="3" t="str">
        <f t="shared" si="42"/>
        <v>5</v>
      </c>
      <c r="C1352" s="4" t="s">
        <v>409</v>
      </c>
      <c r="D1352" s="6" t="s">
        <v>410</v>
      </c>
      <c r="E1352" s="4" t="s">
        <v>106</v>
      </c>
      <c r="F1352" s="2" t="str">
        <f t="shared" si="43"/>
        <v>Non-routine manual</v>
      </c>
    </row>
    <row r="1353" spans="1:6" ht="28.5" x14ac:dyDescent="0.4">
      <c r="A1353" s="3">
        <v>5212</v>
      </c>
      <c r="B1353" s="3" t="str">
        <f t="shared" si="42"/>
        <v>5</v>
      </c>
      <c r="C1353" s="4" t="s">
        <v>409</v>
      </c>
      <c r="D1353" s="10" t="s">
        <v>2202</v>
      </c>
      <c r="E1353" s="4" t="s">
        <v>106</v>
      </c>
      <c r="F1353" s="2" t="str">
        <f t="shared" si="43"/>
        <v>Non-routine manual</v>
      </c>
    </row>
    <row r="1354" spans="1:6" ht="57" x14ac:dyDescent="0.4">
      <c r="A1354" s="3">
        <v>5212</v>
      </c>
      <c r="B1354" s="3" t="str">
        <f t="shared" si="42"/>
        <v>5</v>
      </c>
      <c r="C1354" s="4" t="s">
        <v>409</v>
      </c>
      <c r="D1354" s="5" t="s">
        <v>2203</v>
      </c>
      <c r="E1354" s="4" t="s">
        <v>106</v>
      </c>
      <c r="F1354" s="2" t="str">
        <f t="shared" si="43"/>
        <v>Non-routine manual</v>
      </c>
    </row>
    <row r="1355" spans="1:6" ht="28.5" x14ac:dyDescent="0.4">
      <c r="A1355" s="3">
        <v>5212</v>
      </c>
      <c r="B1355" s="3" t="str">
        <f t="shared" si="42"/>
        <v>5</v>
      </c>
      <c r="C1355" s="4" t="s">
        <v>409</v>
      </c>
      <c r="D1355" s="8" t="s">
        <v>2204</v>
      </c>
      <c r="E1355" s="4" t="s">
        <v>50</v>
      </c>
      <c r="F1355" s="2" t="str">
        <f t="shared" si="43"/>
        <v>Routine cognitive</v>
      </c>
    </row>
    <row r="1356" spans="1:6" ht="28.5" x14ac:dyDescent="0.4">
      <c r="A1356" s="3">
        <v>5221</v>
      </c>
      <c r="B1356" s="3" t="str">
        <f t="shared" si="42"/>
        <v>5</v>
      </c>
      <c r="C1356" s="4" t="s">
        <v>411</v>
      </c>
      <c r="D1356" s="8" t="s">
        <v>2205</v>
      </c>
      <c r="E1356" s="4" t="s">
        <v>4</v>
      </c>
      <c r="F1356" s="2" t="str">
        <f t="shared" si="43"/>
        <v>Non-routine cognitive</v>
      </c>
    </row>
    <row r="1357" spans="1:6" ht="28.5" x14ac:dyDescent="0.4">
      <c r="A1357" s="3">
        <v>5221</v>
      </c>
      <c r="B1357" s="3" t="str">
        <f t="shared" si="42"/>
        <v>5</v>
      </c>
      <c r="C1357" s="4" t="s">
        <v>411</v>
      </c>
      <c r="D1357" s="8" t="s">
        <v>2206</v>
      </c>
      <c r="E1357" s="4" t="s">
        <v>3</v>
      </c>
      <c r="F1357" s="2" t="str">
        <f t="shared" si="43"/>
        <v>Non-routine cognitive</v>
      </c>
    </row>
    <row r="1358" spans="1:6" ht="28.5" x14ac:dyDescent="0.4">
      <c r="A1358" s="3">
        <v>5221</v>
      </c>
      <c r="B1358" s="3" t="str">
        <f t="shared" si="42"/>
        <v>5</v>
      </c>
      <c r="C1358" s="4" t="s">
        <v>411</v>
      </c>
      <c r="D1358" s="8" t="s">
        <v>2207</v>
      </c>
      <c r="E1358" s="4" t="s">
        <v>4</v>
      </c>
      <c r="F1358" s="2" t="str">
        <f t="shared" si="43"/>
        <v>Non-routine cognitive</v>
      </c>
    </row>
    <row r="1359" spans="1:6" x14ac:dyDescent="0.4">
      <c r="A1359" s="3">
        <v>5221</v>
      </c>
      <c r="B1359" s="3" t="str">
        <f t="shared" si="42"/>
        <v>5</v>
      </c>
      <c r="C1359" s="4" t="s">
        <v>411</v>
      </c>
      <c r="D1359" s="7" t="s">
        <v>412</v>
      </c>
      <c r="E1359" s="4" t="s">
        <v>4</v>
      </c>
      <c r="F1359" s="2" t="str">
        <f t="shared" si="43"/>
        <v>Non-routine cognitive</v>
      </c>
    </row>
    <row r="1360" spans="1:6" ht="28.5" x14ac:dyDescent="0.4">
      <c r="A1360" s="3">
        <v>5221</v>
      </c>
      <c r="B1360" s="3" t="str">
        <f t="shared" si="42"/>
        <v>5</v>
      </c>
      <c r="C1360" s="4" t="s">
        <v>411</v>
      </c>
      <c r="D1360" s="8" t="s">
        <v>2208</v>
      </c>
      <c r="E1360" s="4" t="s">
        <v>50</v>
      </c>
      <c r="F1360" s="2" t="str">
        <f t="shared" si="43"/>
        <v>Routine cognitive</v>
      </c>
    </row>
    <row r="1361" spans="1:6" ht="28.5" x14ac:dyDescent="0.4">
      <c r="A1361" s="3">
        <v>5221</v>
      </c>
      <c r="B1361" s="3" t="str">
        <f t="shared" si="42"/>
        <v>5</v>
      </c>
      <c r="C1361" s="4" t="s">
        <v>411</v>
      </c>
      <c r="D1361" s="8" t="s">
        <v>2209</v>
      </c>
      <c r="E1361" s="4" t="s">
        <v>50</v>
      </c>
      <c r="F1361" s="2" t="str">
        <f t="shared" si="43"/>
        <v>Routine cognitive</v>
      </c>
    </row>
    <row r="1362" spans="1:6" x14ac:dyDescent="0.4">
      <c r="A1362" s="3">
        <v>5221</v>
      </c>
      <c r="B1362" s="3" t="str">
        <f t="shared" si="42"/>
        <v>5</v>
      </c>
      <c r="C1362" s="4" t="s">
        <v>411</v>
      </c>
      <c r="D1362" s="6" t="s">
        <v>413</v>
      </c>
      <c r="E1362" s="4" t="s">
        <v>50</v>
      </c>
      <c r="F1362" s="2" t="str">
        <f t="shared" si="43"/>
        <v>Routine cognitive</v>
      </c>
    </row>
    <row r="1363" spans="1:6" ht="28.5" x14ac:dyDescent="0.4">
      <c r="A1363" s="3">
        <v>5222</v>
      </c>
      <c r="B1363" s="3" t="str">
        <f t="shared" si="42"/>
        <v>5</v>
      </c>
      <c r="C1363" s="4" t="s">
        <v>414</v>
      </c>
      <c r="D1363" s="8" t="s">
        <v>2210</v>
      </c>
      <c r="E1363" s="4" t="s">
        <v>4</v>
      </c>
      <c r="F1363" s="2" t="str">
        <f t="shared" si="43"/>
        <v>Non-routine cognitive</v>
      </c>
    </row>
    <row r="1364" spans="1:6" ht="42.75" x14ac:dyDescent="0.4">
      <c r="A1364" s="3">
        <v>5222</v>
      </c>
      <c r="B1364" s="3" t="str">
        <f t="shared" si="42"/>
        <v>5</v>
      </c>
      <c r="C1364" s="4" t="s">
        <v>414</v>
      </c>
      <c r="D1364" s="5" t="s">
        <v>2211</v>
      </c>
      <c r="E1364" s="4" t="s">
        <v>3</v>
      </c>
      <c r="F1364" s="2" t="str">
        <f t="shared" si="43"/>
        <v>Non-routine cognitive</v>
      </c>
    </row>
    <row r="1365" spans="1:6" x14ac:dyDescent="0.4">
      <c r="A1365" s="3">
        <v>5222</v>
      </c>
      <c r="B1365" s="3" t="str">
        <f t="shared" si="42"/>
        <v>5</v>
      </c>
      <c r="C1365" s="4" t="s">
        <v>414</v>
      </c>
      <c r="D1365" s="7" t="s">
        <v>415</v>
      </c>
      <c r="E1365" s="4" t="s">
        <v>50</v>
      </c>
      <c r="F1365" s="2" t="str">
        <f t="shared" si="43"/>
        <v>Routine cognitive</v>
      </c>
    </row>
    <row r="1366" spans="1:6" ht="42.75" x14ac:dyDescent="0.4">
      <c r="A1366" s="3">
        <v>5222</v>
      </c>
      <c r="B1366" s="3" t="str">
        <f t="shared" si="42"/>
        <v>5</v>
      </c>
      <c r="C1366" s="4" t="s">
        <v>414</v>
      </c>
      <c r="D1366" s="5" t="s">
        <v>2212</v>
      </c>
      <c r="E1366" s="4" t="s">
        <v>3</v>
      </c>
      <c r="F1366" s="2" t="str">
        <f t="shared" si="43"/>
        <v>Non-routine cognitive</v>
      </c>
    </row>
    <row r="1367" spans="1:6" ht="28.5" x14ac:dyDescent="0.4">
      <c r="A1367" s="3">
        <v>5222</v>
      </c>
      <c r="B1367" s="3" t="str">
        <f t="shared" si="42"/>
        <v>5</v>
      </c>
      <c r="C1367" s="4" t="s">
        <v>414</v>
      </c>
      <c r="D1367" s="8" t="s">
        <v>2213</v>
      </c>
      <c r="E1367" s="4" t="s">
        <v>50</v>
      </c>
      <c r="F1367" s="2" t="str">
        <f t="shared" si="43"/>
        <v>Routine cognitive</v>
      </c>
    </row>
    <row r="1368" spans="1:6" ht="28.5" x14ac:dyDescent="0.4">
      <c r="A1368" s="3">
        <v>5222</v>
      </c>
      <c r="B1368" s="3" t="str">
        <f t="shared" si="42"/>
        <v>5</v>
      </c>
      <c r="C1368" s="4" t="s">
        <v>414</v>
      </c>
      <c r="D1368" s="8" t="s">
        <v>2214</v>
      </c>
      <c r="E1368" s="4" t="s">
        <v>50</v>
      </c>
      <c r="F1368" s="2" t="str">
        <f t="shared" si="43"/>
        <v>Routine cognitive</v>
      </c>
    </row>
    <row r="1369" spans="1:6" ht="28.5" x14ac:dyDescent="0.4">
      <c r="A1369" s="3">
        <v>5222</v>
      </c>
      <c r="B1369" s="3" t="str">
        <f t="shared" si="42"/>
        <v>5</v>
      </c>
      <c r="C1369" s="4" t="s">
        <v>414</v>
      </c>
      <c r="D1369" s="8" t="s">
        <v>2215</v>
      </c>
      <c r="E1369" s="4" t="s">
        <v>50</v>
      </c>
      <c r="F1369" s="2" t="str">
        <f t="shared" si="43"/>
        <v>Routine cognitive</v>
      </c>
    </row>
    <row r="1370" spans="1:6" x14ac:dyDescent="0.4">
      <c r="A1370" s="3">
        <v>5222</v>
      </c>
      <c r="B1370" s="3" t="str">
        <f t="shared" si="42"/>
        <v>5</v>
      </c>
      <c r="C1370" s="4" t="s">
        <v>414</v>
      </c>
      <c r="D1370" s="7" t="s">
        <v>416</v>
      </c>
      <c r="E1370" s="4" t="s">
        <v>50</v>
      </c>
      <c r="F1370" s="2" t="str">
        <f t="shared" si="43"/>
        <v>Routine cognitive</v>
      </c>
    </row>
    <row r="1371" spans="1:6" ht="57" x14ac:dyDescent="0.4">
      <c r="A1371" s="3">
        <v>5223</v>
      </c>
      <c r="B1371" s="3" t="str">
        <f t="shared" si="42"/>
        <v>5</v>
      </c>
      <c r="C1371" s="4" t="s">
        <v>417</v>
      </c>
      <c r="D1371" s="5" t="s">
        <v>2216</v>
      </c>
      <c r="E1371" s="4" t="s">
        <v>4</v>
      </c>
      <c r="F1371" s="2" t="str">
        <f t="shared" si="43"/>
        <v>Non-routine cognitive</v>
      </c>
    </row>
    <row r="1372" spans="1:6" ht="42.75" x14ac:dyDescent="0.4">
      <c r="A1372" s="3">
        <v>5223</v>
      </c>
      <c r="B1372" s="3" t="str">
        <f t="shared" si="42"/>
        <v>5</v>
      </c>
      <c r="C1372" s="4" t="s">
        <v>417</v>
      </c>
      <c r="D1372" s="10" t="s">
        <v>2217</v>
      </c>
      <c r="E1372" s="4" t="s">
        <v>3</v>
      </c>
      <c r="F1372" s="2" t="str">
        <f t="shared" si="43"/>
        <v>Non-routine cognitive</v>
      </c>
    </row>
    <row r="1373" spans="1:6" ht="57" x14ac:dyDescent="0.4">
      <c r="A1373" s="3">
        <v>5223</v>
      </c>
      <c r="B1373" s="3" t="str">
        <f t="shared" si="42"/>
        <v>5</v>
      </c>
      <c r="C1373" s="4" t="s">
        <v>417</v>
      </c>
      <c r="D1373" s="5" t="s">
        <v>2218</v>
      </c>
      <c r="E1373" s="4" t="s">
        <v>50</v>
      </c>
      <c r="F1373" s="2" t="str">
        <f t="shared" si="43"/>
        <v>Routine cognitive</v>
      </c>
    </row>
    <row r="1374" spans="1:6" ht="28.5" x14ac:dyDescent="0.4">
      <c r="A1374" s="3">
        <v>5223</v>
      </c>
      <c r="B1374" s="3" t="str">
        <f t="shared" si="42"/>
        <v>5</v>
      </c>
      <c r="C1374" s="4" t="s">
        <v>417</v>
      </c>
      <c r="D1374" s="8" t="s">
        <v>2219</v>
      </c>
      <c r="E1374" s="4" t="s">
        <v>50</v>
      </c>
      <c r="F1374" s="2" t="str">
        <f t="shared" si="43"/>
        <v>Routine cognitive</v>
      </c>
    </row>
    <row r="1375" spans="1:6" ht="28.5" x14ac:dyDescent="0.4">
      <c r="A1375" s="3">
        <v>5223</v>
      </c>
      <c r="B1375" s="3" t="str">
        <f t="shared" si="42"/>
        <v>5</v>
      </c>
      <c r="C1375" s="4" t="s">
        <v>417</v>
      </c>
      <c r="D1375" s="8" t="s">
        <v>2220</v>
      </c>
      <c r="E1375" s="4" t="s">
        <v>182</v>
      </c>
      <c r="F1375" s="2" t="str">
        <f t="shared" si="43"/>
        <v>Routine manual</v>
      </c>
    </row>
    <row r="1376" spans="1:6" ht="42.75" x14ac:dyDescent="0.4">
      <c r="A1376" s="3">
        <v>5230</v>
      </c>
      <c r="B1376" s="3" t="str">
        <f t="shared" si="42"/>
        <v>5</v>
      </c>
      <c r="C1376" s="4" t="s">
        <v>418</v>
      </c>
      <c r="D1376" s="5" t="s">
        <v>2221</v>
      </c>
      <c r="E1376" s="4" t="s">
        <v>50</v>
      </c>
      <c r="F1376" s="2" t="str">
        <f t="shared" si="43"/>
        <v>Routine cognitive</v>
      </c>
    </row>
    <row r="1377" spans="1:6" x14ac:dyDescent="0.4">
      <c r="A1377" s="3">
        <v>5230</v>
      </c>
      <c r="B1377" s="3" t="str">
        <f t="shared" si="42"/>
        <v>5</v>
      </c>
      <c r="C1377" s="4" t="s">
        <v>418</v>
      </c>
      <c r="D1377" s="6" t="s">
        <v>419</v>
      </c>
      <c r="E1377" s="4" t="s">
        <v>50</v>
      </c>
      <c r="F1377" s="2" t="str">
        <f t="shared" si="43"/>
        <v>Routine cognitive</v>
      </c>
    </row>
    <row r="1378" spans="1:6" ht="28.5" x14ac:dyDescent="0.4">
      <c r="A1378" s="3">
        <v>5230</v>
      </c>
      <c r="B1378" s="3" t="str">
        <f t="shared" si="42"/>
        <v>5</v>
      </c>
      <c r="C1378" s="4" t="s">
        <v>418</v>
      </c>
      <c r="D1378" s="10" t="s">
        <v>2222</v>
      </c>
      <c r="E1378" s="4" t="s">
        <v>50</v>
      </c>
      <c r="F1378" s="2" t="str">
        <f t="shared" si="43"/>
        <v>Routine cognitive</v>
      </c>
    </row>
    <row r="1379" spans="1:6" ht="42.75" x14ac:dyDescent="0.4">
      <c r="A1379" s="3">
        <v>5230</v>
      </c>
      <c r="B1379" s="3" t="str">
        <f t="shared" si="42"/>
        <v>5</v>
      </c>
      <c r="C1379" s="4" t="s">
        <v>418</v>
      </c>
      <c r="D1379" s="10" t="s">
        <v>2223</v>
      </c>
      <c r="E1379" s="4" t="s">
        <v>50</v>
      </c>
      <c r="F1379" s="2" t="str">
        <f t="shared" si="43"/>
        <v>Routine cognitive</v>
      </c>
    </row>
    <row r="1380" spans="1:6" ht="42.75" x14ac:dyDescent="0.4">
      <c r="A1380" s="3">
        <v>5230</v>
      </c>
      <c r="B1380" s="3" t="str">
        <f t="shared" si="42"/>
        <v>5</v>
      </c>
      <c r="C1380" s="4" t="s">
        <v>418</v>
      </c>
      <c r="D1380" s="8" t="s">
        <v>2224</v>
      </c>
      <c r="E1380" s="4" t="s">
        <v>50</v>
      </c>
      <c r="F1380" s="2" t="str">
        <f t="shared" si="43"/>
        <v>Routine cognitive</v>
      </c>
    </row>
    <row r="1381" spans="1:6" ht="28.5" x14ac:dyDescent="0.4">
      <c r="A1381" s="3">
        <v>5230</v>
      </c>
      <c r="B1381" s="3" t="str">
        <f t="shared" si="42"/>
        <v>5</v>
      </c>
      <c r="C1381" s="4" t="s">
        <v>418</v>
      </c>
      <c r="D1381" s="5" t="s">
        <v>2225</v>
      </c>
      <c r="E1381" s="4" t="s">
        <v>50</v>
      </c>
      <c r="F1381" s="2" t="str">
        <f t="shared" si="43"/>
        <v>Routine cognitive</v>
      </c>
    </row>
    <row r="1382" spans="1:6" x14ac:dyDescent="0.4">
      <c r="A1382" s="3">
        <v>5230</v>
      </c>
      <c r="B1382" s="3" t="str">
        <f t="shared" si="42"/>
        <v>5</v>
      </c>
      <c r="C1382" s="4" t="s">
        <v>418</v>
      </c>
      <c r="D1382" s="7" t="s">
        <v>420</v>
      </c>
      <c r="E1382" s="4" t="s">
        <v>50</v>
      </c>
      <c r="F1382" s="2" t="str">
        <f t="shared" si="43"/>
        <v>Routine cognitive</v>
      </c>
    </row>
    <row r="1383" spans="1:6" x14ac:dyDescent="0.4">
      <c r="A1383" s="3">
        <v>5230</v>
      </c>
      <c r="B1383" s="3" t="str">
        <f t="shared" si="42"/>
        <v>5</v>
      </c>
      <c r="C1383" s="4" t="s">
        <v>418</v>
      </c>
      <c r="D1383" s="7" t="s">
        <v>421</v>
      </c>
      <c r="E1383" s="4" t="s">
        <v>182</v>
      </c>
      <c r="F1383" s="2" t="str">
        <f t="shared" si="43"/>
        <v>Routine manual</v>
      </c>
    </row>
    <row r="1384" spans="1:6" ht="42.75" x14ac:dyDescent="0.4">
      <c r="A1384" s="3">
        <v>5242</v>
      </c>
      <c r="B1384" s="3" t="str">
        <f t="shared" si="42"/>
        <v>5</v>
      </c>
      <c r="C1384" s="4" t="s">
        <v>422</v>
      </c>
      <c r="D1384" s="5" t="s">
        <v>2226</v>
      </c>
      <c r="E1384" s="4" t="s">
        <v>50</v>
      </c>
      <c r="F1384" s="2" t="str">
        <f t="shared" si="43"/>
        <v>Routine cognitive</v>
      </c>
    </row>
    <row r="1385" spans="1:6" ht="28.5" x14ac:dyDescent="0.4">
      <c r="A1385" s="3">
        <v>5242</v>
      </c>
      <c r="B1385" s="3" t="str">
        <f t="shared" si="42"/>
        <v>5</v>
      </c>
      <c r="C1385" s="4" t="s">
        <v>422</v>
      </c>
      <c r="D1385" s="8" t="s">
        <v>2227</v>
      </c>
      <c r="E1385" s="4" t="s">
        <v>3</v>
      </c>
      <c r="F1385" s="2" t="str">
        <f t="shared" si="43"/>
        <v>Non-routine cognitive</v>
      </c>
    </row>
    <row r="1386" spans="1:6" x14ac:dyDescent="0.4">
      <c r="A1386" s="3">
        <v>5242</v>
      </c>
      <c r="B1386" s="3" t="str">
        <f t="shared" si="42"/>
        <v>5</v>
      </c>
      <c r="C1386" s="4" t="s">
        <v>422</v>
      </c>
      <c r="D1386" s="6" t="s">
        <v>423</v>
      </c>
      <c r="E1386" s="4" t="s">
        <v>50</v>
      </c>
      <c r="F1386" s="2" t="str">
        <f t="shared" si="43"/>
        <v>Routine cognitive</v>
      </c>
    </row>
    <row r="1387" spans="1:6" ht="42.75" x14ac:dyDescent="0.4">
      <c r="A1387" s="3">
        <v>5242</v>
      </c>
      <c r="B1387" s="3" t="str">
        <f t="shared" si="42"/>
        <v>5</v>
      </c>
      <c r="C1387" s="4" t="s">
        <v>422</v>
      </c>
      <c r="D1387" s="8" t="s">
        <v>2228</v>
      </c>
      <c r="E1387" s="4" t="s">
        <v>50</v>
      </c>
      <c r="F1387" s="2" t="str">
        <f t="shared" si="43"/>
        <v>Routine cognitive</v>
      </c>
    </row>
    <row r="1388" spans="1:6" ht="28.5" x14ac:dyDescent="0.4">
      <c r="A1388" s="3">
        <v>5242</v>
      </c>
      <c r="B1388" s="3" t="str">
        <f t="shared" si="42"/>
        <v>5</v>
      </c>
      <c r="C1388" s="4" t="s">
        <v>422</v>
      </c>
      <c r="D1388" s="8" t="s">
        <v>2229</v>
      </c>
      <c r="E1388" s="4" t="s">
        <v>3</v>
      </c>
      <c r="F1388" s="2" t="str">
        <f t="shared" si="43"/>
        <v>Non-routine cognitive</v>
      </c>
    </row>
    <row r="1389" spans="1:6" ht="42.75" x14ac:dyDescent="0.4">
      <c r="A1389" s="3">
        <v>5243</v>
      </c>
      <c r="B1389" s="3" t="str">
        <f t="shared" si="42"/>
        <v>5</v>
      </c>
      <c r="C1389" s="4" t="s">
        <v>424</v>
      </c>
      <c r="D1389" s="8" t="s">
        <v>2230</v>
      </c>
      <c r="E1389" s="4" t="s">
        <v>3</v>
      </c>
      <c r="F1389" s="2" t="str">
        <f t="shared" si="43"/>
        <v>Non-routine cognitive</v>
      </c>
    </row>
    <row r="1390" spans="1:6" ht="28.5" x14ac:dyDescent="0.4">
      <c r="A1390" s="3">
        <v>5243</v>
      </c>
      <c r="B1390" s="3" t="str">
        <f t="shared" si="42"/>
        <v>5</v>
      </c>
      <c r="C1390" s="4" t="s">
        <v>424</v>
      </c>
      <c r="D1390" s="8" t="s">
        <v>2231</v>
      </c>
      <c r="E1390" s="4" t="s">
        <v>3</v>
      </c>
      <c r="F1390" s="2" t="str">
        <f t="shared" si="43"/>
        <v>Non-routine cognitive</v>
      </c>
    </row>
    <row r="1391" spans="1:6" ht="28.5" x14ac:dyDescent="0.4">
      <c r="A1391" s="3">
        <v>5243</v>
      </c>
      <c r="B1391" s="3" t="str">
        <f t="shared" si="42"/>
        <v>5</v>
      </c>
      <c r="C1391" s="4" t="s">
        <v>424</v>
      </c>
      <c r="D1391" s="5" t="s">
        <v>2232</v>
      </c>
      <c r="E1391" s="4" t="s">
        <v>50</v>
      </c>
      <c r="F1391" s="2" t="str">
        <f t="shared" si="43"/>
        <v>Routine cognitive</v>
      </c>
    </row>
    <row r="1392" spans="1:6" ht="28.5" x14ac:dyDescent="0.4">
      <c r="A1392" s="3">
        <v>5243</v>
      </c>
      <c r="B1392" s="3" t="str">
        <f t="shared" si="42"/>
        <v>5</v>
      </c>
      <c r="C1392" s="4" t="s">
        <v>424</v>
      </c>
      <c r="D1392" s="8" t="s">
        <v>2233</v>
      </c>
      <c r="E1392" s="4" t="s">
        <v>50</v>
      </c>
      <c r="F1392" s="2" t="str">
        <f t="shared" si="43"/>
        <v>Routine cognitive</v>
      </c>
    </row>
    <row r="1393" spans="1:6" ht="28.5" x14ac:dyDescent="0.4">
      <c r="A1393" s="3">
        <v>5243</v>
      </c>
      <c r="B1393" s="3" t="str">
        <f t="shared" si="42"/>
        <v>5</v>
      </c>
      <c r="C1393" s="4" t="s">
        <v>424</v>
      </c>
      <c r="D1393" s="8" t="s">
        <v>2234</v>
      </c>
      <c r="E1393" s="4" t="s">
        <v>50</v>
      </c>
      <c r="F1393" s="2" t="str">
        <f t="shared" si="43"/>
        <v>Routine cognitive</v>
      </c>
    </row>
    <row r="1394" spans="1:6" ht="42.75" x14ac:dyDescent="0.4">
      <c r="A1394" s="3">
        <v>5243</v>
      </c>
      <c r="B1394" s="3" t="str">
        <f t="shared" si="42"/>
        <v>5</v>
      </c>
      <c r="C1394" s="4" t="s">
        <v>424</v>
      </c>
      <c r="D1394" s="5" t="s">
        <v>2235</v>
      </c>
      <c r="E1394" s="4" t="s">
        <v>50</v>
      </c>
      <c r="F1394" s="2" t="str">
        <f t="shared" si="43"/>
        <v>Routine cognitive</v>
      </c>
    </row>
    <row r="1395" spans="1:6" ht="42.75" x14ac:dyDescent="0.4">
      <c r="A1395" s="3">
        <v>5243</v>
      </c>
      <c r="B1395" s="3" t="str">
        <f t="shared" si="42"/>
        <v>5</v>
      </c>
      <c r="C1395" s="4" t="s">
        <v>424</v>
      </c>
      <c r="D1395" s="5" t="s">
        <v>2236</v>
      </c>
      <c r="E1395" s="4" t="s">
        <v>106</v>
      </c>
      <c r="F1395" s="2" t="str">
        <f t="shared" si="43"/>
        <v>Non-routine manual</v>
      </c>
    </row>
    <row r="1396" spans="1:6" ht="28.5" x14ac:dyDescent="0.4">
      <c r="A1396" s="3">
        <v>5244</v>
      </c>
      <c r="B1396" s="3" t="str">
        <f t="shared" si="42"/>
        <v>5</v>
      </c>
      <c r="C1396" s="4" t="s">
        <v>425</v>
      </c>
      <c r="D1396" s="4" t="s">
        <v>426</v>
      </c>
      <c r="E1396" s="4" t="s">
        <v>3</v>
      </c>
      <c r="F1396" s="2" t="str">
        <f t="shared" si="43"/>
        <v>Non-routine cognitive</v>
      </c>
    </row>
    <row r="1397" spans="1:6" ht="42.75" x14ac:dyDescent="0.4">
      <c r="A1397" s="3">
        <v>5244</v>
      </c>
      <c r="B1397" s="3" t="str">
        <f t="shared" si="42"/>
        <v>5</v>
      </c>
      <c r="C1397" s="4" t="s">
        <v>425</v>
      </c>
      <c r="D1397" s="5" t="s">
        <v>2237</v>
      </c>
      <c r="E1397" s="4" t="s">
        <v>3</v>
      </c>
      <c r="F1397" s="2" t="str">
        <f t="shared" si="43"/>
        <v>Non-routine cognitive</v>
      </c>
    </row>
    <row r="1398" spans="1:6" ht="28.5" x14ac:dyDescent="0.4">
      <c r="A1398" s="3">
        <v>5244</v>
      </c>
      <c r="B1398" s="3" t="str">
        <f t="shared" si="42"/>
        <v>5</v>
      </c>
      <c r="C1398" s="4" t="s">
        <v>425</v>
      </c>
      <c r="D1398" s="5" t="s">
        <v>2238</v>
      </c>
      <c r="E1398" s="4" t="s">
        <v>3</v>
      </c>
      <c r="F1398" s="2" t="str">
        <f t="shared" si="43"/>
        <v>Non-routine cognitive</v>
      </c>
    </row>
    <row r="1399" spans="1:6" x14ac:dyDescent="0.4">
      <c r="A1399" s="3">
        <v>5244</v>
      </c>
      <c r="B1399" s="3" t="str">
        <f t="shared" si="42"/>
        <v>5</v>
      </c>
      <c r="C1399" s="4" t="s">
        <v>425</v>
      </c>
      <c r="D1399" s="7" t="s">
        <v>427</v>
      </c>
      <c r="E1399" s="4" t="s">
        <v>3</v>
      </c>
      <c r="F1399" s="2" t="str">
        <f t="shared" si="43"/>
        <v>Non-routine cognitive</v>
      </c>
    </row>
    <row r="1400" spans="1:6" ht="28.5" x14ac:dyDescent="0.4">
      <c r="A1400" s="3">
        <v>5244</v>
      </c>
      <c r="B1400" s="3" t="str">
        <f t="shared" si="42"/>
        <v>5</v>
      </c>
      <c r="C1400" s="4" t="s">
        <v>425</v>
      </c>
      <c r="D1400" s="6" t="s">
        <v>428</v>
      </c>
      <c r="E1400" s="4" t="s">
        <v>50</v>
      </c>
      <c r="F1400" s="2" t="str">
        <f t="shared" si="43"/>
        <v>Routine cognitive</v>
      </c>
    </row>
    <row r="1401" spans="1:6" ht="28.5" x14ac:dyDescent="0.4">
      <c r="A1401" s="3">
        <v>5244</v>
      </c>
      <c r="B1401" s="3" t="str">
        <f t="shared" si="42"/>
        <v>5</v>
      </c>
      <c r="C1401" s="4" t="s">
        <v>425</v>
      </c>
      <c r="D1401" s="8" t="s">
        <v>2239</v>
      </c>
      <c r="E1401" s="4" t="s">
        <v>3</v>
      </c>
      <c r="F1401" s="2" t="str">
        <f t="shared" si="43"/>
        <v>Non-routine cognitive</v>
      </c>
    </row>
    <row r="1402" spans="1:6" x14ac:dyDescent="0.4">
      <c r="A1402" s="3">
        <v>5244</v>
      </c>
      <c r="B1402" s="3" t="str">
        <f t="shared" si="42"/>
        <v>5</v>
      </c>
      <c r="C1402" s="4" t="s">
        <v>425</v>
      </c>
      <c r="D1402" s="6" t="s">
        <v>429</v>
      </c>
      <c r="E1402" s="4" t="s">
        <v>50</v>
      </c>
      <c r="F1402" s="2" t="str">
        <f t="shared" si="43"/>
        <v>Routine cognitive</v>
      </c>
    </row>
    <row r="1403" spans="1:6" ht="28.5" x14ac:dyDescent="0.4">
      <c r="A1403" s="3">
        <v>5244</v>
      </c>
      <c r="B1403" s="3" t="str">
        <f t="shared" si="42"/>
        <v>5</v>
      </c>
      <c r="C1403" s="4" t="s">
        <v>425</v>
      </c>
      <c r="D1403" s="8" t="s">
        <v>2240</v>
      </c>
      <c r="E1403" s="4" t="s">
        <v>50</v>
      </c>
      <c r="F1403" s="2" t="str">
        <f t="shared" si="43"/>
        <v>Routine cognitive</v>
      </c>
    </row>
    <row r="1404" spans="1:6" ht="28.5" x14ac:dyDescent="0.4">
      <c r="A1404" s="3">
        <v>5245</v>
      </c>
      <c r="B1404" s="3" t="str">
        <f t="shared" si="42"/>
        <v>5</v>
      </c>
      <c r="C1404" s="4" t="s">
        <v>430</v>
      </c>
      <c r="D1404" s="8" t="s">
        <v>2241</v>
      </c>
      <c r="E1404" s="4" t="s">
        <v>106</v>
      </c>
      <c r="F1404" s="2" t="str">
        <f t="shared" si="43"/>
        <v>Non-routine manual</v>
      </c>
    </row>
    <row r="1405" spans="1:6" ht="42.75" x14ac:dyDescent="0.4">
      <c r="A1405" s="3">
        <v>5245</v>
      </c>
      <c r="B1405" s="3" t="str">
        <f t="shared" si="42"/>
        <v>5</v>
      </c>
      <c r="C1405" s="4" t="s">
        <v>430</v>
      </c>
      <c r="D1405" s="8" t="s">
        <v>2242</v>
      </c>
      <c r="E1405" s="4" t="s">
        <v>106</v>
      </c>
      <c r="F1405" s="2" t="str">
        <f t="shared" si="43"/>
        <v>Non-routine manual</v>
      </c>
    </row>
    <row r="1406" spans="1:6" ht="28.5" x14ac:dyDescent="0.4">
      <c r="A1406" s="3">
        <v>5245</v>
      </c>
      <c r="B1406" s="3" t="str">
        <f t="shared" si="42"/>
        <v>5</v>
      </c>
      <c r="C1406" s="4" t="s">
        <v>430</v>
      </c>
      <c r="D1406" s="7" t="s">
        <v>431</v>
      </c>
      <c r="E1406" s="4" t="s">
        <v>106</v>
      </c>
      <c r="F1406" s="2" t="str">
        <f t="shared" si="43"/>
        <v>Non-routine manual</v>
      </c>
    </row>
    <row r="1407" spans="1:6" ht="28.5" x14ac:dyDescent="0.4">
      <c r="A1407" s="3">
        <v>5245</v>
      </c>
      <c r="B1407" s="3" t="str">
        <f t="shared" si="42"/>
        <v>5</v>
      </c>
      <c r="C1407" s="4" t="s">
        <v>430</v>
      </c>
      <c r="D1407" s="5" t="s">
        <v>2243</v>
      </c>
      <c r="E1407" s="4" t="s">
        <v>106</v>
      </c>
      <c r="F1407" s="2" t="str">
        <f t="shared" si="43"/>
        <v>Non-routine manual</v>
      </c>
    </row>
    <row r="1408" spans="1:6" x14ac:dyDescent="0.4">
      <c r="A1408" s="3">
        <v>5245</v>
      </c>
      <c r="B1408" s="3" t="str">
        <f t="shared" si="42"/>
        <v>5</v>
      </c>
      <c r="C1408" s="4" t="s">
        <v>430</v>
      </c>
      <c r="D1408" s="6" t="s">
        <v>432</v>
      </c>
      <c r="E1408" s="4" t="s">
        <v>182</v>
      </c>
      <c r="F1408" s="2" t="str">
        <f t="shared" si="43"/>
        <v>Routine manual</v>
      </c>
    </row>
    <row r="1409" spans="1:6" x14ac:dyDescent="0.4">
      <c r="A1409" s="3">
        <v>5245</v>
      </c>
      <c r="B1409" s="3" t="str">
        <f t="shared" si="42"/>
        <v>5</v>
      </c>
      <c r="C1409" s="4" t="s">
        <v>430</v>
      </c>
      <c r="D1409" s="6" t="s">
        <v>433</v>
      </c>
      <c r="E1409" s="4" t="s">
        <v>50</v>
      </c>
      <c r="F1409" s="2" t="str">
        <f t="shared" si="43"/>
        <v>Routine cognitive</v>
      </c>
    </row>
    <row r="1410" spans="1:6" ht="28.5" x14ac:dyDescent="0.4">
      <c r="A1410" s="3">
        <v>5245</v>
      </c>
      <c r="B1410" s="3" t="str">
        <f t="shared" si="42"/>
        <v>5</v>
      </c>
      <c r="C1410" s="4" t="s">
        <v>430</v>
      </c>
      <c r="D1410" s="8" t="s">
        <v>2244</v>
      </c>
      <c r="E1410" s="4" t="s">
        <v>106</v>
      </c>
      <c r="F1410" s="2" t="str">
        <f t="shared" si="43"/>
        <v>Non-routine manual</v>
      </c>
    </row>
    <row r="1411" spans="1:6" ht="28.5" x14ac:dyDescent="0.4">
      <c r="A1411" s="3">
        <v>5245</v>
      </c>
      <c r="B1411" s="3" t="str">
        <f t="shared" ref="B1411:B1474" si="44">LEFT(A1411,1)</f>
        <v>5</v>
      </c>
      <c r="C1411" s="4" t="s">
        <v>430</v>
      </c>
      <c r="D1411" s="8" t="s">
        <v>2245</v>
      </c>
      <c r="E1411" s="4" t="s">
        <v>50</v>
      </c>
      <c r="F1411" s="2" t="str">
        <f t="shared" ref="F1411:F1474" si="45">IF(E1411="Non-routine interpersonal","Non-routine cognitive",IF(E1411="Non-routine analytical","Non-routine cognitive",IF(E1411="Non-routine manual physical","Non-routine manual",E1411)))</f>
        <v>Routine cognitive</v>
      </c>
    </row>
    <row r="1412" spans="1:6" ht="28.5" x14ac:dyDescent="0.4">
      <c r="A1412" s="3">
        <v>5246</v>
      </c>
      <c r="B1412" s="3" t="str">
        <f t="shared" si="44"/>
        <v>5</v>
      </c>
      <c r="C1412" s="4" t="s">
        <v>434</v>
      </c>
      <c r="D1412" s="6" t="s">
        <v>435</v>
      </c>
      <c r="E1412" s="4" t="s">
        <v>106</v>
      </c>
      <c r="F1412" s="2" t="str">
        <f t="shared" si="45"/>
        <v>Non-routine manual</v>
      </c>
    </row>
    <row r="1413" spans="1:6" ht="28.5" x14ac:dyDescent="0.4">
      <c r="A1413" s="3">
        <v>5246</v>
      </c>
      <c r="B1413" s="3" t="str">
        <f t="shared" si="44"/>
        <v>5</v>
      </c>
      <c r="C1413" s="4" t="s">
        <v>434</v>
      </c>
      <c r="D1413" s="5" t="s">
        <v>2246</v>
      </c>
      <c r="E1413" s="4" t="s">
        <v>3</v>
      </c>
      <c r="F1413" s="2" t="str">
        <f t="shared" si="45"/>
        <v>Non-routine cognitive</v>
      </c>
    </row>
    <row r="1414" spans="1:6" ht="42.75" x14ac:dyDescent="0.4">
      <c r="A1414" s="3">
        <v>5246</v>
      </c>
      <c r="B1414" s="3" t="str">
        <f t="shared" si="44"/>
        <v>5</v>
      </c>
      <c r="C1414" s="4" t="s">
        <v>434</v>
      </c>
      <c r="D1414" s="5" t="s">
        <v>2247</v>
      </c>
      <c r="E1414" s="4" t="s">
        <v>106</v>
      </c>
      <c r="F1414" s="2" t="str">
        <f t="shared" si="45"/>
        <v>Non-routine manual</v>
      </c>
    </row>
    <row r="1415" spans="1:6" ht="28.5" x14ac:dyDescent="0.4">
      <c r="A1415" s="3">
        <v>5246</v>
      </c>
      <c r="B1415" s="3" t="str">
        <f t="shared" si="44"/>
        <v>5</v>
      </c>
      <c r="C1415" s="4" t="s">
        <v>434</v>
      </c>
      <c r="D1415" s="8" t="s">
        <v>2248</v>
      </c>
      <c r="E1415" s="4" t="s">
        <v>106</v>
      </c>
      <c r="F1415" s="2" t="str">
        <f t="shared" si="45"/>
        <v>Non-routine manual</v>
      </c>
    </row>
    <row r="1416" spans="1:6" ht="28.5" x14ac:dyDescent="0.4">
      <c r="A1416" s="3">
        <v>5246</v>
      </c>
      <c r="B1416" s="3" t="str">
        <f t="shared" si="44"/>
        <v>5</v>
      </c>
      <c r="C1416" s="4" t="s">
        <v>434</v>
      </c>
      <c r="D1416" s="8" t="s">
        <v>2249</v>
      </c>
      <c r="E1416" s="4" t="s">
        <v>182</v>
      </c>
      <c r="F1416" s="2" t="str">
        <f t="shared" si="45"/>
        <v>Routine manual</v>
      </c>
    </row>
    <row r="1417" spans="1:6" x14ac:dyDescent="0.4">
      <c r="A1417" s="3">
        <v>5246</v>
      </c>
      <c r="B1417" s="3" t="str">
        <f t="shared" si="44"/>
        <v>5</v>
      </c>
      <c r="C1417" s="4" t="s">
        <v>434</v>
      </c>
      <c r="D1417" s="12" t="s">
        <v>436</v>
      </c>
      <c r="E1417" s="4" t="s">
        <v>182</v>
      </c>
      <c r="F1417" s="2" t="str">
        <f t="shared" si="45"/>
        <v>Routine manual</v>
      </c>
    </row>
    <row r="1418" spans="1:6" ht="28.5" x14ac:dyDescent="0.4">
      <c r="A1418" s="3">
        <v>5246</v>
      </c>
      <c r="B1418" s="3" t="str">
        <f t="shared" si="44"/>
        <v>5</v>
      </c>
      <c r="C1418" s="4" t="s">
        <v>434</v>
      </c>
      <c r="D1418" s="10" t="s">
        <v>2250</v>
      </c>
      <c r="E1418" s="4" t="s">
        <v>182</v>
      </c>
      <c r="F1418" s="2" t="str">
        <f t="shared" si="45"/>
        <v>Routine manual</v>
      </c>
    </row>
    <row r="1419" spans="1:6" x14ac:dyDescent="0.4">
      <c r="A1419" s="3">
        <v>5246</v>
      </c>
      <c r="B1419" s="3" t="str">
        <f t="shared" si="44"/>
        <v>5</v>
      </c>
      <c r="C1419" s="4" t="s">
        <v>434</v>
      </c>
      <c r="D1419" s="7" t="s">
        <v>437</v>
      </c>
      <c r="E1419" s="4" t="s">
        <v>50</v>
      </c>
      <c r="F1419" s="2" t="str">
        <f t="shared" si="45"/>
        <v>Routine cognitive</v>
      </c>
    </row>
    <row r="1420" spans="1:6" ht="28.5" x14ac:dyDescent="0.4">
      <c r="A1420" s="3">
        <v>5249</v>
      </c>
      <c r="B1420" s="3" t="str">
        <f t="shared" si="44"/>
        <v>5</v>
      </c>
      <c r="C1420" s="5" t="s">
        <v>2251</v>
      </c>
      <c r="D1420" s="18" t="s">
        <v>82</v>
      </c>
      <c r="E1420" s="4" t="s">
        <v>3652</v>
      </c>
      <c r="F1420" s="2" t="str">
        <f t="shared" si="45"/>
        <v>NA</v>
      </c>
    </row>
    <row r="1421" spans="1:6" x14ac:dyDescent="0.4">
      <c r="A1421" s="3">
        <v>5311</v>
      </c>
      <c r="B1421" s="3" t="str">
        <f t="shared" si="44"/>
        <v>5</v>
      </c>
      <c r="C1421" s="4" t="s">
        <v>438</v>
      </c>
      <c r="D1421" s="6" t="s">
        <v>439</v>
      </c>
      <c r="E1421" s="4" t="s">
        <v>3</v>
      </c>
      <c r="F1421" s="2" t="str">
        <f t="shared" si="45"/>
        <v>Non-routine cognitive</v>
      </c>
    </row>
    <row r="1422" spans="1:6" ht="28.5" x14ac:dyDescent="0.4">
      <c r="A1422" s="3">
        <v>5311</v>
      </c>
      <c r="B1422" s="3" t="str">
        <f t="shared" si="44"/>
        <v>5</v>
      </c>
      <c r="C1422" s="4" t="s">
        <v>438</v>
      </c>
      <c r="D1422" s="10" t="s">
        <v>2252</v>
      </c>
      <c r="E1422" s="4" t="s">
        <v>3</v>
      </c>
      <c r="F1422" s="2" t="str">
        <f t="shared" si="45"/>
        <v>Non-routine cognitive</v>
      </c>
    </row>
    <row r="1423" spans="1:6" ht="28.5" x14ac:dyDescent="0.4">
      <c r="A1423" s="3">
        <v>5311</v>
      </c>
      <c r="B1423" s="3" t="str">
        <f t="shared" si="44"/>
        <v>5</v>
      </c>
      <c r="C1423" s="4" t="s">
        <v>438</v>
      </c>
      <c r="D1423" s="8" t="s">
        <v>2253</v>
      </c>
      <c r="E1423" s="4" t="s">
        <v>50</v>
      </c>
      <c r="F1423" s="2" t="str">
        <f t="shared" si="45"/>
        <v>Routine cognitive</v>
      </c>
    </row>
    <row r="1424" spans="1:6" ht="42.75" x14ac:dyDescent="0.4">
      <c r="A1424" s="3">
        <v>5311</v>
      </c>
      <c r="B1424" s="3" t="str">
        <f t="shared" si="44"/>
        <v>5</v>
      </c>
      <c r="C1424" s="4" t="s">
        <v>438</v>
      </c>
      <c r="D1424" s="5" t="s">
        <v>2254</v>
      </c>
      <c r="E1424" s="4" t="s">
        <v>50</v>
      </c>
      <c r="F1424" s="2" t="str">
        <f t="shared" si="45"/>
        <v>Routine cognitive</v>
      </c>
    </row>
    <row r="1425" spans="1:6" ht="28.5" x14ac:dyDescent="0.4">
      <c r="A1425" s="3">
        <v>5311</v>
      </c>
      <c r="B1425" s="3" t="str">
        <f t="shared" si="44"/>
        <v>5</v>
      </c>
      <c r="C1425" s="4" t="s">
        <v>438</v>
      </c>
      <c r="D1425" s="10" t="s">
        <v>2255</v>
      </c>
      <c r="E1425" s="4" t="s">
        <v>3</v>
      </c>
      <c r="F1425" s="2" t="str">
        <f t="shared" si="45"/>
        <v>Non-routine cognitive</v>
      </c>
    </row>
    <row r="1426" spans="1:6" ht="42.75" x14ac:dyDescent="0.4">
      <c r="A1426" s="3">
        <v>5311</v>
      </c>
      <c r="B1426" s="3" t="str">
        <f t="shared" si="44"/>
        <v>5</v>
      </c>
      <c r="C1426" s="4" t="s">
        <v>438</v>
      </c>
      <c r="D1426" s="8" t="s">
        <v>2256</v>
      </c>
      <c r="E1426" s="4" t="s">
        <v>3</v>
      </c>
      <c r="F1426" s="2" t="str">
        <f t="shared" si="45"/>
        <v>Non-routine cognitive</v>
      </c>
    </row>
    <row r="1427" spans="1:6" x14ac:dyDescent="0.4">
      <c r="A1427" s="3">
        <v>5311</v>
      </c>
      <c r="B1427" s="3" t="str">
        <f t="shared" si="44"/>
        <v>5</v>
      </c>
      <c r="C1427" s="4" t="s">
        <v>438</v>
      </c>
      <c r="D1427" s="6" t="s">
        <v>440</v>
      </c>
      <c r="E1427" s="4" t="s">
        <v>4</v>
      </c>
      <c r="F1427" s="2" t="str">
        <f t="shared" si="45"/>
        <v>Non-routine cognitive</v>
      </c>
    </row>
    <row r="1428" spans="1:6" ht="57" x14ac:dyDescent="0.4">
      <c r="A1428" s="3">
        <v>5311</v>
      </c>
      <c r="B1428" s="3" t="str">
        <f t="shared" si="44"/>
        <v>5</v>
      </c>
      <c r="C1428" s="4" t="s">
        <v>438</v>
      </c>
      <c r="D1428" s="5" t="s">
        <v>2257</v>
      </c>
      <c r="E1428" s="4" t="s">
        <v>50</v>
      </c>
      <c r="F1428" s="2" t="str">
        <f t="shared" si="45"/>
        <v>Routine cognitive</v>
      </c>
    </row>
    <row r="1429" spans="1:6" ht="57" x14ac:dyDescent="0.4">
      <c r="A1429" s="3">
        <v>5312</v>
      </c>
      <c r="B1429" s="3" t="str">
        <f t="shared" si="44"/>
        <v>5</v>
      </c>
      <c r="C1429" s="4" t="s">
        <v>441</v>
      </c>
      <c r="D1429" s="5" t="s">
        <v>2258</v>
      </c>
      <c r="E1429" s="4" t="s">
        <v>3</v>
      </c>
      <c r="F1429" s="2" t="str">
        <f t="shared" si="45"/>
        <v>Non-routine cognitive</v>
      </c>
    </row>
    <row r="1430" spans="1:6" ht="28.5" x14ac:dyDescent="0.4">
      <c r="A1430" s="3">
        <v>5312</v>
      </c>
      <c r="B1430" s="3" t="str">
        <f t="shared" si="44"/>
        <v>5</v>
      </c>
      <c r="C1430" s="4" t="s">
        <v>441</v>
      </c>
      <c r="D1430" s="8" t="s">
        <v>2259</v>
      </c>
      <c r="E1430" s="4" t="s">
        <v>3</v>
      </c>
      <c r="F1430" s="2" t="str">
        <f t="shared" si="45"/>
        <v>Non-routine cognitive</v>
      </c>
    </row>
    <row r="1431" spans="1:6" ht="42.75" x14ac:dyDescent="0.4">
      <c r="A1431" s="3">
        <v>5312</v>
      </c>
      <c r="B1431" s="3" t="str">
        <f t="shared" si="44"/>
        <v>5</v>
      </c>
      <c r="C1431" s="4" t="s">
        <v>441</v>
      </c>
      <c r="D1431" s="8" t="s">
        <v>2260</v>
      </c>
      <c r="E1431" s="4" t="s">
        <v>3</v>
      </c>
      <c r="F1431" s="2" t="str">
        <f t="shared" si="45"/>
        <v>Non-routine cognitive</v>
      </c>
    </row>
    <row r="1432" spans="1:6" ht="28.5" x14ac:dyDescent="0.4">
      <c r="A1432" s="3">
        <v>5312</v>
      </c>
      <c r="B1432" s="3" t="str">
        <f t="shared" si="44"/>
        <v>5</v>
      </c>
      <c r="C1432" s="4" t="s">
        <v>441</v>
      </c>
      <c r="D1432" s="10" t="s">
        <v>2261</v>
      </c>
      <c r="E1432" s="4" t="s">
        <v>3</v>
      </c>
      <c r="F1432" s="2" t="str">
        <f t="shared" si="45"/>
        <v>Non-routine cognitive</v>
      </c>
    </row>
    <row r="1433" spans="1:6" ht="28.5" x14ac:dyDescent="0.4">
      <c r="A1433" s="3">
        <v>5312</v>
      </c>
      <c r="B1433" s="3" t="str">
        <f t="shared" si="44"/>
        <v>5</v>
      </c>
      <c r="C1433" s="4" t="s">
        <v>441</v>
      </c>
      <c r="D1433" s="8" t="s">
        <v>2262</v>
      </c>
      <c r="E1433" s="4" t="s">
        <v>50</v>
      </c>
      <c r="F1433" s="2" t="str">
        <f t="shared" si="45"/>
        <v>Routine cognitive</v>
      </c>
    </row>
    <row r="1434" spans="1:6" ht="28.5" x14ac:dyDescent="0.4">
      <c r="A1434" s="3">
        <v>5312</v>
      </c>
      <c r="B1434" s="3" t="str">
        <f t="shared" si="44"/>
        <v>5</v>
      </c>
      <c r="C1434" s="4" t="s">
        <v>441</v>
      </c>
      <c r="D1434" s="10" t="s">
        <v>2263</v>
      </c>
      <c r="E1434" s="4" t="s">
        <v>182</v>
      </c>
      <c r="F1434" s="2" t="str">
        <f t="shared" si="45"/>
        <v>Routine manual</v>
      </c>
    </row>
    <row r="1435" spans="1:6" ht="28.5" x14ac:dyDescent="0.4">
      <c r="A1435" s="3">
        <v>5312</v>
      </c>
      <c r="B1435" s="3" t="str">
        <f t="shared" si="44"/>
        <v>5</v>
      </c>
      <c r="C1435" s="4" t="s">
        <v>441</v>
      </c>
      <c r="D1435" s="6" t="s">
        <v>442</v>
      </c>
      <c r="E1435" s="4" t="s">
        <v>106</v>
      </c>
      <c r="F1435" s="2" t="str">
        <f t="shared" si="45"/>
        <v>Non-routine manual</v>
      </c>
    </row>
    <row r="1436" spans="1:6" ht="57" x14ac:dyDescent="0.4">
      <c r="A1436" s="3">
        <v>5321</v>
      </c>
      <c r="B1436" s="3" t="str">
        <f t="shared" si="44"/>
        <v>5</v>
      </c>
      <c r="C1436" s="4" t="s">
        <v>443</v>
      </c>
      <c r="D1436" s="5" t="s">
        <v>2264</v>
      </c>
      <c r="E1436" s="4" t="s">
        <v>106</v>
      </c>
      <c r="F1436" s="2" t="str">
        <f t="shared" si="45"/>
        <v>Non-routine manual</v>
      </c>
    </row>
    <row r="1437" spans="1:6" ht="42.75" x14ac:dyDescent="0.4">
      <c r="A1437" s="3">
        <v>5321</v>
      </c>
      <c r="B1437" s="3" t="str">
        <f t="shared" si="44"/>
        <v>5</v>
      </c>
      <c r="C1437" s="4" t="s">
        <v>443</v>
      </c>
      <c r="D1437" s="4" t="s">
        <v>3661</v>
      </c>
      <c r="E1437" s="4" t="s">
        <v>106</v>
      </c>
      <c r="F1437" s="2" t="str">
        <f t="shared" si="45"/>
        <v>Non-routine manual</v>
      </c>
    </row>
    <row r="1438" spans="1:6" ht="42.75" x14ac:dyDescent="0.4">
      <c r="A1438" s="3">
        <v>5321</v>
      </c>
      <c r="B1438" s="3" t="str">
        <f t="shared" si="44"/>
        <v>5</v>
      </c>
      <c r="C1438" s="4" t="s">
        <v>443</v>
      </c>
      <c r="D1438" s="5" t="s">
        <v>2265</v>
      </c>
      <c r="E1438" s="4" t="s">
        <v>106</v>
      </c>
      <c r="F1438" s="2" t="str">
        <f t="shared" si="45"/>
        <v>Non-routine manual</v>
      </c>
    </row>
    <row r="1439" spans="1:6" ht="28.5" x14ac:dyDescent="0.4">
      <c r="A1439" s="3">
        <v>5321</v>
      </c>
      <c r="B1439" s="3" t="str">
        <f t="shared" si="44"/>
        <v>5</v>
      </c>
      <c r="C1439" s="4" t="s">
        <v>443</v>
      </c>
      <c r="D1439" s="5" t="s">
        <v>2266</v>
      </c>
      <c r="E1439" s="4" t="s">
        <v>106</v>
      </c>
      <c r="F1439" s="2" t="str">
        <f t="shared" si="45"/>
        <v>Non-routine manual</v>
      </c>
    </row>
    <row r="1440" spans="1:6" ht="42.75" x14ac:dyDescent="0.4">
      <c r="A1440" s="3">
        <v>5321</v>
      </c>
      <c r="B1440" s="3" t="str">
        <f t="shared" si="44"/>
        <v>5</v>
      </c>
      <c r="C1440" s="4" t="s">
        <v>443</v>
      </c>
      <c r="D1440" s="5" t="s">
        <v>2267</v>
      </c>
      <c r="E1440" s="4" t="s">
        <v>106</v>
      </c>
      <c r="F1440" s="2" t="str">
        <f t="shared" si="45"/>
        <v>Non-routine manual</v>
      </c>
    </row>
    <row r="1441" spans="1:6" ht="42.75" x14ac:dyDescent="0.4">
      <c r="A1441" s="3">
        <v>5321</v>
      </c>
      <c r="B1441" s="3" t="str">
        <f t="shared" si="44"/>
        <v>5</v>
      </c>
      <c r="C1441" s="4" t="s">
        <v>443</v>
      </c>
      <c r="D1441" s="8" t="s">
        <v>2268</v>
      </c>
      <c r="E1441" s="4" t="s">
        <v>4</v>
      </c>
      <c r="F1441" s="2" t="str">
        <f t="shared" si="45"/>
        <v>Non-routine cognitive</v>
      </c>
    </row>
    <row r="1442" spans="1:6" ht="71.25" x14ac:dyDescent="0.4">
      <c r="A1442" s="3">
        <v>5322</v>
      </c>
      <c r="B1442" s="3" t="str">
        <f t="shared" si="44"/>
        <v>5</v>
      </c>
      <c r="C1442" s="4" t="s">
        <v>444</v>
      </c>
      <c r="D1442" s="5" t="s">
        <v>2269</v>
      </c>
      <c r="E1442" s="4" t="s">
        <v>106</v>
      </c>
      <c r="F1442" s="2" t="str">
        <f t="shared" si="45"/>
        <v>Non-routine manual</v>
      </c>
    </row>
    <row r="1443" spans="1:6" ht="57" x14ac:dyDescent="0.4">
      <c r="A1443" s="3">
        <v>5322</v>
      </c>
      <c r="B1443" s="3" t="str">
        <f t="shared" si="44"/>
        <v>5</v>
      </c>
      <c r="C1443" s="4" t="s">
        <v>444</v>
      </c>
      <c r="D1443" s="5" t="s">
        <v>2270</v>
      </c>
      <c r="E1443" s="4" t="s">
        <v>50</v>
      </c>
      <c r="F1443" s="2" t="str">
        <f t="shared" si="45"/>
        <v>Routine cognitive</v>
      </c>
    </row>
    <row r="1444" spans="1:6" ht="42.75" x14ac:dyDescent="0.4">
      <c r="A1444" s="3">
        <v>5322</v>
      </c>
      <c r="B1444" s="3" t="str">
        <f t="shared" si="44"/>
        <v>5</v>
      </c>
      <c r="C1444" s="4" t="s">
        <v>444</v>
      </c>
      <c r="D1444" s="5" t="s">
        <v>2271</v>
      </c>
      <c r="E1444" s="4" t="s">
        <v>106</v>
      </c>
      <c r="F1444" s="2" t="str">
        <f t="shared" si="45"/>
        <v>Non-routine manual</v>
      </c>
    </row>
    <row r="1445" spans="1:6" ht="42.75" x14ac:dyDescent="0.4">
      <c r="A1445" s="3">
        <v>5322</v>
      </c>
      <c r="B1445" s="3" t="str">
        <f t="shared" si="44"/>
        <v>5</v>
      </c>
      <c r="C1445" s="4" t="s">
        <v>444</v>
      </c>
      <c r="D1445" s="5" t="s">
        <v>2272</v>
      </c>
      <c r="E1445" s="4" t="s">
        <v>3</v>
      </c>
      <c r="F1445" s="2" t="str">
        <f t="shared" si="45"/>
        <v>Non-routine cognitive</v>
      </c>
    </row>
    <row r="1446" spans="1:6" ht="42.75" x14ac:dyDescent="0.4">
      <c r="A1446" s="3">
        <v>5322</v>
      </c>
      <c r="B1446" s="3" t="str">
        <f t="shared" si="44"/>
        <v>5</v>
      </c>
      <c r="C1446" s="4" t="s">
        <v>444</v>
      </c>
      <c r="D1446" s="5" t="s">
        <v>2273</v>
      </c>
      <c r="E1446" s="4" t="s">
        <v>106</v>
      </c>
      <c r="F1446" s="2" t="str">
        <f t="shared" si="45"/>
        <v>Non-routine manual</v>
      </c>
    </row>
    <row r="1447" spans="1:6" ht="28.5" x14ac:dyDescent="0.4">
      <c r="A1447" s="3">
        <v>5322</v>
      </c>
      <c r="B1447" s="3" t="str">
        <f t="shared" si="44"/>
        <v>5</v>
      </c>
      <c r="C1447" s="4" t="s">
        <v>444</v>
      </c>
      <c r="D1447" s="10" t="s">
        <v>2274</v>
      </c>
      <c r="E1447" s="4" t="s">
        <v>3</v>
      </c>
      <c r="F1447" s="2" t="str">
        <f t="shared" si="45"/>
        <v>Non-routine cognitive</v>
      </c>
    </row>
    <row r="1448" spans="1:6" ht="42.75" x14ac:dyDescent="0.4">
      <c r="A1448" s="3">
        <v>5322</v>
      </c>
      <c r="B1448" s="3" t="str">
        <f t="shared" si="44"/>
        <v>5</v>
      </c>
      <c r="C1448" s="4" t="s">
        <v>444</v>
      </c>
      <c r="D1448" s="8" t="s">
        <v>2275</v>
      </c>
      <c r="E1448" s="4" t="s">
        <v>106</v>
      </c>
      <c r="F1448" s="2" t="str">
        <f t="shared" si="45"/>
        <v>Non-routine manual</v>
      </c>
    </row>
    <row r="1449" spans="1:6" ht="28.5" x14ac:dyDescent="0.4">
      <c r="A1449" s="3">
        <v>5322</v>
      </c>
      <c r="B1449" s="3" t="str">
        <f t="shared" si="44"/>
        <v>5</v>
      </c>
      <c r="C1449" s="4" t="s">
        <v>444</v>
      </c>
      <c r="D1449" s="4" t="s">
        <v>445</v>
      </c>
      <c r="E1449" s="4" t="s">
        <v>3</v>
      </c>
      <c r="F1449" s="2" t="str">
        <f t="shared" si="45"/>
        <v>Non-routine cognitive</v>
      </c>
    </row>
    <row r="1450" spans="1:6" ht="42.75" x14ac:dyDescent="0.4">
      <c r="A1450" s="3">
        <v>5322</v>
      </c>
      <c r="B1450" s="3" t="str">
        <f t="shared" si="44"/>
        <v>5</v>
      </c>
      <c r="C1450" s="4" t="s">
        <v>444</v>
      </c>
      <c r="D1450" s="5" t="s">
        <v>2276</v>
      </c>
      <c r="E1450" s="4" t="s">
        <v>3</v>
      </c>
      <c r="F1450" s="2" t="str">
        <f t="shared" si="45"/>
        <v>Non-routine cognitive</v>
      </c>
    </row>
    <row r="1451" spans="1:6" ht="28.5" x14ac:dyDescent="0.4">
      <c r="A1451" s="3">
        <v>5329</v>
      </c>
      <c r="B1451" s="3" t="str">
        <f t="shared" si="44"/>
        <v>5</v>
      </c>
      <c r="C1451" s="4" t="s">
        <v>446</v>
      </c>
      <c r="D1451" s="4" t="s">
        <v>447</v>
      </c>
      <c r="E1451" s="4" t="s">
        <v>106</v>
      </c>
      <c r="F1451" s="2" t="str">
        <f t="shared" si="45"/>
        <v>Non-routine manual</v>
      </c>
    </row>
    <row r="1452" spans="1:6" ht="28.5" x14ac:dyDescent="0.4">
      <c r="A1452" s="3">
        <v>5329</v>
      </c>
      <c r="B1452" s="3" t="str">
        <f t="shared" si="44"/>
        <v>5</v>
      </c>
      <c r="C1452" s="4" t="s">
        <v>446</v>
      </c>
      <c r="D1452" s="4" t="s">
        <v>448</v>
      </c>
      <c r="E1452" s="4" t="s">
        <v>50</v>
      </c>
      <c r="F1452" s="2" t="str">
        <f t="shared" si="45"/>
        <v>Routine cognitive</v>
      </c>
    </row>
    <row r="1453" spans="1:6" ht="28.5" x14ac:dyDescent="0.4">
      <c r="A1453" s="3">
        <v>5329</v>
      </c>
      <c r="B1453" s="3" t="str">
        <f t="shared" si="44"/>
        <v>5</v>
      </c>
      <c r="C1453" s="4" t="s">
        <v>446</v>
      </c>
      <c r="D1453" s="4" t="s">
        <v>449</v>
      </c>
      <c r="E1453" s="4" t="s">
        <v>106</v>
      </c>
      <c r="F1453" s="2" t="str">
        <f t="shared" si="45"/>
        <v>Non-routine manual</v>
      </c>
    </row>
    <row r="1454" spans="1:6" ht="28.5" x14ac:dyDescent="0.4">
      <c r="A1454" s="3">
        <v>5329</v>
      </c>
      <c r="B1454" s="3" t="str">
        <f t="shared" si="44"/>
        <v>5</v>
      </c>
      <c r="C1454" s="4" t="s">
        <v>446</v>
      </c>
      <c r="D1454" s="7" t="s">
        <v>450</v>
      </c>
      <c r="E1454" s="4" t="s">
        <v>3</v>
      </c>
      <c r="F1454" s="2" t="str">
        <f t="shared" si="45"/>
        <v>Non-routine cognitive</v>
      </c>
    </row>
    <row r="1455" spans="1:6" ht="28.5" x14ac:dyDescent="0.4">
      <c r="A1455" s="3">
        <v>5329</v>
      </c>
      <c r="B1455" s="3" t="str">
        <f t="shared" si="44"/>
        <v>5</v>
      </c>
      <c r="C1455" s="4" t="s">
        <v>446</v>
      </c>
      <c r="D1455" s="4" t="s">
        <v>451</v>
      </c>
      <c r="E1455" s="4" t="s">
        <v>106</v>
      </c>
      <c r="F1455" s="2" t="str">
        <f t="shared" si="45"/>
        <v>Non-routine manual</v>
      </c>
    </row>
    <row r="1456" spans="1:6" ht="28.5" x14ac:dyDescent="0.4">
      <c r="A1456" s="3">
        <v>5329</v>
      </c>
      <c r="B1456" s="3" t="str">
        <f t="shared" si="44"/>
        <v>5</v>
      </c>
      <c r="C1456" s="4" t="s">
        <v>446</v>
      </c>
      <c r="D1456" s="12" t="s">
        <v>452</v>
      </c>
      <c r="E1456" s="4" t="s">
        <v>50</v>
      </c>
      <c r="F1456" s="2" t="str">
        <f t="shared" si="45"/>
        <v>Routine cognitive</v>
      </c>
    </row>
    <row r="1457" spans="1:6" ht="42.75" x14ac:dyDescent="0.4">
      <c r="A1457" s="3">
        <v>5411</v>
      </c>
      <c r="B1457" s="3" t="str">
        <f t="shared" si="44"/>
        <v>5</v>
      </c>
      <c r="C1457" s="4" t="s">
        <v>453</v>
      </c>
      <c r="D1457" s="5" t="s">
        <v>2277</v>
      </c>
      <c r="E1457" s="4" t="s">
        <v>106</v>
      </c>
      <c r="F1457" s="2" t="str">
        <f t="shared" si="45"/>
        <v>Non-routine manual</v>
      </c>
    </row>
    <row r="1458" spans="1:6" ht="28.5" x14ac:dyDescent="0.4">
      <c r="A1458" s="3">
        <v>5411</v>
      </c>
      <c r="B1458" s="3" t="str">
        <f t="shared" si="44"/>
        <v>5</v>
      </c>
      <c r="C1458" s="4" t="s">
        <v>453</v>
      </c>
      <c r="D1458" s="8" t="s">
        <v>2278</v>
      </c>
      <c r="E1458" s="4" t="s">
        <v>106</v>
      </c>
      <c r="F1458" s="2" t="str">
        <f t="shared" si="45"/>
        <v>Non-routine manual</v>
      </c>
    </row>
    <row r="1459" spans="1:6" ht="28.5" x14ac:dyDescent="0.4">
      <c r="A1459" s="3">
        <v>5411</v>
      </c>
      <c r="B1459" s="3" t="str">
        <f t="shared" si="44"/>
        <v>5</v>
      </c>
      <c r="C1459" s="4" t="s">
        <v>453</v>
      </c>
      <c r="D1459" s="10" t="s">
        <v>2279</v>
      </c>
      <c r="E1459" s="4" t="s">
        <v>106</v>
      </c>
      <c r="F1459" s="2" t="str">
        <f t="shared" si="45"/>
        <v>Non-routine manual</v>
      </c>
    </row>
    <row r="1460" spans="1:6" ht="42.75" x14ac:dyDescent="0.4">
      <c r="A1460" s="3">
        <v>5411</v>
      </c>
      <c r="B1460" s="3" t="str">
        <f t="shared" si="44"/>
        <v>5</v>
      </c>
      <c r="C1460" s="4" t="s">
        <v>453</v>
      </c>
      <c r="D1460" s="5" t="s">
        <v>2280</v>
      </c>
      <c r="E1460" s="4" t="s">
        <v>106</v>
      </c>
      <c r="F1460" s="2" t="str">
        <f t="shared" si="45"/>
        <v>Non-routine manual</v>
      </c>
    </row>
    <row r="1461" spans="1:6" ht="42.75" x14ac:dyDescent="0.4">
      <c r="A1461" s="3">
        <v>5411</v>
      </c>
      <c r="B1461" s="3" t="str">
        <f t="shared" si="44"/>
        <v>5</v>
      </c>
      <c r="C1461" s="4" t="s">
        <v>453</v>
      </c>
      <c r="D1461" s="5" t="s">
        <v>2281</v>
      </c>
      <c r="E1461" s="4" t="s">
        <v>106</v>
      </c>
      <c r="F1461" s="2" t="str">
        <f t="shared" si="45"/>
        <v>Non-routine manual</v>
      </c>
    </row>
    <row r="1462" spans="1:6" x14ac:dyDescent="0.4">
      <c r="A1462" s="3">
        <v>5411</v>
      </c>
      <c r="B1462" s="3" t="str">
        <f t="shared" si="44"/>
        <v>5</v>
      </c>
      <c r="C1462" s="4" t="s">
        <v>453</v>
      </c>
      <c r="D1462" s="6" t="s">
        <v>454</v>
      </c>
      <c r="E1462" s="4" t="s">
        <v>3</v>
      </c>
      <c r="F1462" s="2" t="str">
        <f t="shared" si="45"/>
        <v>Non-routine cognitive</v>
      </c>
    </row>
    <row r="1463" spans="1:6" ht="57" x14ac:dyDescent="0.4">
      <c r="A1463" s="3">
        <v>5412</v>
      </c>
      <c r="B1463" s="3" t="str">
        <f t="shared" si="44"/>
        <v>5</v>
      </c>
      <c r="C1463" s="4" t="s">
        <v>455</v>
      </c>
      <c r="D1463" s="5" t="s">
        <v>2282</v>
      </c>
      <c r="E1463" s="4" t="s">
        <v>106</v>
      </c>
      <c r="F1463" s="2" t="str">
        <f t="shared" si="45"/>
        <v>Non-routine manual</v>
      </c>
    </row>
    <row r="1464" spans="1:6" ht="28.5" x14ac:dyDescent="0.4">
      <c r="A1464" s="3">
        <v>5412</v>
      </c>
      <c r="B1464" s="3" t="str">
        <f t="shared" si="44"/>
        <v>5</v>
      </c>
      <c r="C1464" s="4" t="s">
        <v>455</v>
      </c>
      <c r="D1464" s="8" t="s">
        <v>2283</v>
      </c>
      <c r="E1464" s="4" t="s">
        <v>4</v>
      </c>
      <c r="F1464" s="2" t="str">
        <f t="shared" si="45"/>
        <v>Non-routine cognitive</v>
      </c>
    </row>
    <row r="1465" spans="1:6" ht="28.5" x14ac:dyDescent="0.4">
      <c r="A1465" s="3">
        <v>5412</v>
      </c>
      <c r="B1465" s="3" t="str">
        <f t="shared" si="44"/>
        <v>5</v>
      </c>
      <c r="C1465" s="4" t="s">
        <v>455</v>
      </c>
      <c r="D1465" s="10" t="s">
        <v>2284</v>
      </c>
      <c r="E1465" s="4" t="s">
        <v>106</v>
      </c>
      <c r="F1465" s="2" t="str">
        <f t="shared" si="45"/>
        <v>Non-routine manual</v>
      </c>
    </row>
    <row r="1466" spans="1:6" ht="28.5" x14ac:dyDescent="0.4">
      <c r="A1466" s="3">
        <v>5412</v>
      </c>
      <c r="B1466" s="3" t="str">
        <f t="shared" si="44"/>
        <v>5</v>
      </c>
      <c r="C1466" s="4" t="s">
        <v>455</v>
      </c>
      <c r="D1466" s="8" t="s">
        <v>2285</v>
      </c>
      <c r="E1466" s="4" t="s">
        <v>106</v>
      </c>
      <c r="F1466" s="2" t="str">
        <f t="shared" si="45"/>
        <v>Non-routine manual</v>
      </c>
    </row>
    <row r="1467" spans="1:6" ht="42.75" x14ac:dyDescent="0.4">
      <c r="A1467" s="3">
        <v>5413</v>
      </c>
      <c r="B1467" s="3" t="str">
        <f t="shared" si="44"/>
        <v>5</v>
      </c>
      <c r="C1467" s="4" t="s">
        <v>456</v>
      </c>
      <c r="D1467" s="5" t="s">
        <v>2286</v>
      </c>
      <c r="E1467" s="4" t="s">
        <v>182</v>
      </c>
      <c r="F1467" s="2" t="str">
        <f t="shared" si="45"/>
        <v>Routine manual</v>
      </c>
    </row>
    <row r="1468" spans="1:6" ht="28.5" x14ac:dyDescent="0.4">
      <c r="A1468" s="3">
        <v>5413</v>
      </c>
      <c r="B1468" s="3" t="str">
        <f t="shared" si="44"/>
        <v>5</v>
      </c>
      <c r="C1468" s="4" t="s">
        <v>456</v>
      </c>
      <c r="D1468" s="5" t="s">
        <v>2287</v>
      </c>
      <c r="E1468" s="4" t="s">
        <v>50</v>
      </c>
      <c r="F1468" s="2" t="str">
        <f t="shared" si="45"/>
        <v>Routine cognitive</v>
      </c>
    </row>
    <row r="1469" spans="1:6" ht="28.5" x14ac:dyDescent="0.4">
      <c r="A1469" s="3">
        <v>5413</v>
      </c>
      <c r="B1469" s="3" t="str">
        <f t="shared" si="44"/>
        <v>5</v>
      </c>
      <c r="C1469" s="4" t="s">
        <v>456</v>
      </c>
      <c r="D1469" s="8" t="s">
        <v>2288</v>
      </c>
      <c r="E1469" s="4" t="s">
        <v>3</v>
      </c>
      <c r="F1469" s="2" t="str">
        <f t="shared" si="45"/>
        <v>Non-routine cognitive</v>
      </c>
    </row>
    <row r="1470" spans="1:6" ht="42.75" x14ac:dyDescent="0.4">
      <c r="A1470" s="3">
        <v>5413</v>
      </c>
      <c r="B1470" s="3" t="str">
        <f t="shared" si="44"/>
        <v>5</v>
      </c>
      <c r="C1470" s="4" t="s">
        <v>456</v>
      </c>
      <c r="D1470" s="8" t="s">
        <v>2289</v>
      </c>
      <c r="E1470" s="4" t="s">
        <v>3</v>
      </c>
      <c r="F1470" s="2" t="str">
        <f t="shared" si="45"/>
        <v>Non-routine cognitive</v>
      </c>
    </row>
    <row r="1471" spans="1:6" ht="28.5" x14ac:dyDescent="0.4">
      <c r="A1471" s="3">
        <v>5413</v>
      </c>
      <c r="B1471" s="3" t="str">
        <f t="shared" si="44"/>
        <v>5</v>
      </c>
      <c r="C1471" s="4" t="s">
        <v>456</v>
      </c>
      <c r="D1471" s="6" t="s">
        <v>457</v>
      </c>
      <c r="E1471" s="4" t="s">
        <v>106</v>
      </c>
      <c r="F1471" s="2" t="str">
        <f t="shared" si="45"/>
        <v>Non-routine manual</v>
      </c>
    </row>
    <row r="1472" spans="1:6" ht="28.5" x14ac:dyDescent="0.4">
      <c r="A1472" s="3">
        <v>5413</v>
      </c>
      <c r="B1472" s="3" t="str">
        <f t="shared" si="44"/>
        <v>5</v>
      </c>
      <c r="C1472" s="4" t="s">
        <v>456</v>
      </c>
      <c r="D1472" s="10" t="s">
        <v>2290</v>
      </c>
      <c r="E1472" s="4" t="s">
        <v>3</v>
      </c>
      <c r="F1472" s="2" t="str">
        <f t="shared" si="45"/>
        <v>Non-routine cognitive</v>
      </c>
    </row>
    <row r="1473" spans="1:6" ht="28.5" x14ac:dyDescent="0.4">
      <c r="A1473" s="3">
        <v>5413</v>
      </c>
      <c r="B1473" s="3" t="str">
        <f t="shared" si="44"/>
        <v>5</v>
      </c>
      <c r="C1473" s="4" t="s">
        <v>456</v>
      </c>
      <c r="D1473" s="8" t="s">
        <v>2291</v>
      </c>
      <c r="E1473" s="4" t="s">
        <v>3</v>
      </c>
      <c r="F1473" s="2" t="str">
        <f t="shared" si="45"/>
        <v>Non-routine cognitive</v>
      </c>
    </row>
    <row r="1474" spans="1:6" ht="28.5" x14ac:dyDescent="0.4">
      <c r="A1474" s="3">
        <v>5414</v>
      </c>
      <c r="B1474" s="3" t="str">
        <f t="shared" si="44"/>
        <v>5</v>
      </c>
      <c r="C1474" s="4" t="s">
        <v>458</v>
      </c>
      <c r="D1474" s="5" t="s">
        <v>2292</v>
      </c>
      <c r="E1474" s="4" t="s">
        <v>106</v>
      </c>
      <c r="F1474" s="2" t="str">
        <f t="shared" si="45"/>
        <v>Non-routine manual</v>
      </c>
    </row>
    <row r="1475" spans="1:6" ht="42.75" x14ac:dyDescent="0.4">
      <c r="A1475" s="3">
        <v>5414</v>
      </c>
      <c r="B1475" s="3" t="str">
        <f t="shared" ref="B1475:B1538" si="46">LEFT(A1475,1)</f>
        <v>5</v>
      </c>
      <c r="C1475" s="4" t="s">
        <v>458</v>
      </c>
      <c r="D1475" s="5" t="s">
        <v>2293</v>
      </c>
      <c r="E1475" s="4" t="s">
        <v>182</v>
      </c>
      <c r="F1475" s="2" t="str">
        <f t="shared" ref="F1475:F1538" si="47">IF(E1475="Non-routine interpersonal","Non-routine cognitive",IF(E1475="Non-routine analytical","Non-routine cognitive",IF(E1475="Non-routine manual physical","Non-routine manual",E1475)))</f>
        <v>Routine manual</v>
      </c>
    </row>
    <row r="1476" spans="1:6" ht="42.75" x14ac:dyDescent="0.4">
      <c r="A1476" s="3">
        <v>5414</v>
      </c>
      <c r="B1476" s="3" t="str">
        <f t="shared" si="46"/>
        <v>5</v>
      </c>
      <c r="C1476" s="4" t="s">
        <v>458</v>
      </c>
      <c r="D1476" s="5" t="s">
        <v>2294</v>
      </c>
      <c r="E1476" s="4" t="s">
        <v>182</v>
      </c>
      <c r="F1476" s="2" t="str">
        <f t="shared" si="47"/>
        <v>Routine manual</v>
      </c>
    </row>
    <row r="1477" spans="1:6" ht="42.75" x14ac:dyDescent="0.4">
      <c r="A1477" s="3">
        <v>5414</v>
      </c>
      <c r="B1477" s="3" t="str">
        <f t="shared" si="46"/>
        <v>5</v>
      </c>
      <c r="C1477" s="4" t="s">
        <v>458</v>
      </c>
      <c r="D1477" s="5" t="s">
        <v>2295</v>
      </c>
      <c r="E1477" s="4" t="s">
        <v>106</v>
      </c>
      <c r="F1477" s="2" t="str">
        <f t="shared" si="47"/>
        <v>Non-routine manual</v>
      </c>
    </row>
    <row r="1478" spans="1:6" ht="28.5" x14ac:dyDescent="0.4">
      <c r="A1478" s="3">
        <v>5414</v>
      </c>
      <c r="B1478" s="3" t="str">
        <f t="shared" si="46"/>
        <v>5</v>
      </c>
      <c r="C1478" s="4" t="s">
        <v>458</v>
      </c>
      <c r="D1478" s="5" t="s">
        <v>2296</v>
      </c>
      <c r="E1478" s="4" t="s">
        <v>182</v>
      </c>
      <c r="F1478" s="2" t="str">
        <f t="shared" si="47"/>
        <v>Routine manual</v>
      </c>
    </row>
    <row r="1479" spans="1:6" ht="42.75" x14ac:dyDescent="0.4">
      <c r="A1479" s="3">
        <v>5414</v>
      </c>
      <c r="B1479" s="3" t="str">
        <f t="shared" si="46"/>
        <v>5</v>
      </c>
      <c r="C1479" s="4" t="s">
        <v>458</v>
      </c>
      <c r="D1479" s="5" t="s">
        <v>2297</v>
      </c>
      <c r="E1479" s="4" t="s">
        <v>50</v>
      </c>
      <c r="F1479" s="2" t="str">
        <f t="shared" si="47"/>
        <v>Routine cognitive</v>
      </c>
    </row>
    <row r="1480" spans="1:6" ht="28.5" x14ac:dyDescent="0.4">
      <c r="A1480" s="3">
        <v>5419</v>
      </c>
      <c r="B1480" s="3" t="str">
        <f t="shared" si="46"/>
        <v>5</v>
      </c>
      <c r="C1480" s="4" t="s">
        <v>459</v>
      </c>
      <c r="D1480" s="4" t="s">
        <v>460</v>
      </c>
      <c r="E1480" s="4" t="s">
        <v>106</v>
      </c>
      <c r="F1480" s="2" t="str">
        <f t="shared" si="47"/>
        <v>Non-routine manual</v>
      </c>
    </row>
    <row r="1481" spans="1:6" ht="28.5" x14ac:dyDescent="0.4">
      <c r="A1481" s="3">
        <v>5419</v>
      </c>
      <c r="B1481" s="3" t="str">
        <f t="shared" si="46"/>
        <v>5</v>
      </c>
      <c r="C1481" s="4" t="s">
        <v>459</v>
      </c>
      <c r="D1481" s="4" t="s">
        <v>461</v>
      </c>
      <c r="E1481" s="4" t="s">
        <v>4</v>
      </c>
      <c r="F1481" s="2" t="str">
        <f t="shared" si="47"/>
        <v>Non-routine cognitive</v>
      </c>
    </row>
    <row r="1482" spans="1:6" ht="57" x14ac:dyDescent="0.4">
      <c r="A1482" s="3">
        <v>5419</v>
      </c>
      <c r="B1482" s="3" t="str">
        <f t="shared" si="46"/>
        <v>5</v>
      </c>
      <c r="C1482" s="4" t="s">
        <v>459</v>
      </c>
      <c r="D1482" s="5" t="s">
        <v>2298</v>
      </c>
      <c r="E1482" s="4" t="s">
        <v>106</v>
      </c>
      <c r="F1482" s="2" t="str">
        <f t="shared" si="47"/>
        <v>Non-routine manual</v>
      </c>
    </row>
    <row r="1483" spans="1:6" ht="28.5" x14ac:dyDescent="0.4">
      <c r="A1483" s="3">
        <v>5419</v>
      </c>
      <c r="B1483" s="3" t="str">
        <f t="shared" si="46"/>
        <v>5</v>
      </c>
      <c r="C1483" s="4" t="s">
        <v>459</v>
      </c>
      <c r="D1483" s="6" t="s">
        <v>462</v>
      </c>
      <c r="E1483" s="4" t="s">
        <v>106</v>
      </c>
      <c r="F1483" s="2" t="str">
        <f t="shared" si="47"/>
        <v>Non-routine manual</v>
      </c>
    </row>
    <row r="1484" spans="1:6" ht="28.5" x14ac:dyDescent="0.4">
      <c r="A1484" s="3">
        <v>5419</v>
      </c>
      <c r="B1484" s="3" t="str">
        <f t="shared" si="46"/>
        <v>5</v>
      </c>
      <c r="C1484" s="4" t="s">
        <v>459</v>
      </c>
      <c r="D1484" s="19" t="s">
        <v>463</v>
      </c>
      <c r="E1484" s="4" t="s">
        <v>106</v>
      </c>
      <c r="F1484" s="2" t="str">
        <f t="shared" si="47"/>
        <v>Non-routine manual</v>
      </c>
    </row>
    <row r="1485" spans="1:6" ht="42.75" x14ac:dyDescent="0.4">
      <c r="A1485" s="3">
        <v>6111</v>
      </c>
      <c r="B1485" s="3" t="str">
        <f t="shared" si="46"/>
        <v>6</v>
      </c>
      <c r="C1485" s="4" t="s">
        <v>464</v>
      </c>
      <c r="D1485" s="5" t="s">
        <v>2299</v>
      </c>
      <c r="E1485" s="4" t="s">
        <v>4</v>
      </c>
      <c r="F1485" s="2" t="str">
        <f t="shared" si="47"/>
        <v>Non-routine cognitive</v>
      </c>
    </row>
    <row r="1486" spans="1:6" ht="28.5" x14ac:dyDescent="0.4">
      <c r="A1486" s="3">
        <v>6111</v>
      </c>
      <c r="B1486" s="3" t="str">
        <f t="shared" si="46"/>
        <v>6</v>
      </c>
      <c r="C1486" s="4" t="s">
        <v>464</v>
      </c>
      <c r="D1486" s="10" t="s">
        <v>2300</v>
      </c>
      <c r="E1486" s="4" t="s">
        <v>106</v>
      </c>
      <c r="F1486" s="2" t="str">
        <f t="shared" si="47"/>
        <v>Non-routine manual</v>
      </c>
    </row>
    <row r="1487" spans="1:6" ht="28.5" x14ac:dyDescent="0.4">
      <c r="A1487" s="3">
        <v>6111</v>
      </c>
      <c r="B1487" s="3" t="str">
        <f t="shared" si="46"/>
        <v>6</v>
      </c>
      <c r="C1487" s="4" t="s">
        <v>464</v>
      </c>
      <c r="D1487" s="7" t="s">
        <v>465</v>
      </c>
      <c r="E1487" s="4" t="s">
        <v>106</v>
      </c>
      <c r="F1487" s="2" t="str">
        <f t="shared" si="47"/>
        <v>Non-routine manual</v>
      </c>
    </row>
    <row r="1488" spans="1:6" ht="42.75" x14ac:dyDescent="0.4">
      <c r="A1488" s="3">
        <v>6111</v>
      </c>
      <c r="B1488" s="3" t="str">
        <f t="shared" si="46"/>
        <v>6</v>
      </c>
      <c r="C1488" s="4" t="s">
        <v>464</v>
      </c>
      <c r="D1488" s="5" t="s">
        <v>2301</v>
      </c>
      <c r="E1488" s="4" t="s">
        <v>106</v>
      </c>
      <c r="F1488" s="2" t="str">
        <f t="shared" si="47"/>
        <v>Non-routine manual</v>
      </c>
    </row>
    <row r="1489" spans="1:6" ht="28.5" x14ac:dyDescent="0.4">
      <c r="A1489" s="3">
        <v>6111</v>
      </c>
      <c r="B1489" s="3" t="str">
        <f t="shared" si="46"/>
        <v>6</v>
      </c>
      <c r="C1489" s="4" t="s">
        <v>464</v>
      </c>
      <c r="D1489" s="5" t="s">
        <v>2302</v>
      </c>
      <c r="E1489" s="4" t="s">
        <v>106</v>
      </c>
      <c r="F1489" s="2" t="str">
        <f t="shared" si="47"/>
        <v>Non-routine manual</v>
      </c>
    </row>
    <row r="1490" spans="1:6" ht="28.5" x14ac:dyDescent="0.4">
      <c r="A1490" s="3">
        <v>6111</v>
      </c>
      <c r="B1490" s="3" t="str">
        <f t="shared" si="46"/>
        <v>6</v>
      </c>
      <c r="C1490" s="4" t="s">
        <v>464</v>
      </c>
      <c r="D1490" s="4" t="s">
        <v>466</v>
      </c>
      <c r="E1490" s="4" t="s">
        <v>106</v>
      </c>
      <c r="F1490" s="2" t="str">
        <f t="shared" si="47"/>
        <v>Non-routine manual</v>
      </c>
    </row>
    <row r="1491" spans="1:6" ht="42.75" x14ac:dyDescent="0.4">
      <c r="A1491" s="3">
        <v>6111</v>
      </c>
      <c r="B1491" s="3" t="str">
        <f t="shared" si="46"/>
        <v>6</v>
      </c>
      <c r="C1491" s="4" t="s">
        <v>464</v>
      </c>
      <c r="D1491" s="5" t="s">
        <v>2303</v>
      </c>
      <c r="E1491" s="4" t="s">
        <v>106</v>
      </c>
      <c r="F1491" s="2" t="str">
        <f t="shared" si="47"/>
        <v>Non-routine manual</v>
      </c>
    </row>
    <row r="1492" spans="1:6" ht="28.5" x14ac:dyDescent="0.4">
      <c r="A1492" s="3">
        <v>6111</v>
      </c>
      <c r="B1492" s="3" t="str">
        <f t="shared" si="46"/>
        <v>6</v>
      </c>
      <c r="C1492" s="4" t="s">
        <v>464</v>
      </c>
      <c r="D1492" s="5" t="s">
        <v>2304</v>
      </c>
      <c r="E1492" s="4" t="s">
        <v>106</v>
      </c>
      <c r="F1492" s="2" t="str">
        <f t="shared" si="47"/>
        <v>Non-routine manual</v>
      </c>
    </row>
    <row r="1493" spans="1:6" ht="28.5" x14ac:dyDescent="0.4">
      <c r="A1493" s="3">
        <v>6111</v>
      </c>
      <c r="B1493" s="3" t="str">
        <f t="shared" si="46"/>
        <v>6</v>
      </c>
      <c r="C1493" s="4" t="s">
        <v>464</v>
      </c>
      <c r="D1493" s="6" t="s">
        <v>467</v>
      </c>
      <c r="E1493" s="4" t="s">
        <v>106</v>
      </c>
      <c r="F1493" s="2" t="str">
        <f t="shared" si="47"/>
        <v>Non-routine manual</v>
      </c>
    </row>
    <row r="1494" spans="1:6" ht="42.75" x14ac:dyDescent="0.4">
      <c r="A1494" s="3">
        <v>6111</v>
      </c>
      <c r="B1494" s="3" t="str">
        <f t="shared" si="46"/>
        <v>6</v>
      </c>
      <c r="C1494" s="4" t="s">
        <v>464</v>
      </c>
      <c r="D1494" s="4" t="s">
        <v>3662</v>
      </c>
      <c r="E1494" s="4" t="s">
        <v>3</v>
      </c>
      <c r="F1494" s="2" t="str">
        <f t="shared" si="47"/>
        <v>Non-routine cognitive</v>
      </c>
    </row>
    <row r="1495" spans="1:6" ht="42.75" x14ac:dyDescent="0.4">
      <c r="A1495" s="3">
        <v>6111</v>
      </c>
      <c r="B1495" s="3" t="str">
        <f t="shared" si="46"/>
        <v>6</v>
      </c>
      <c r="C1495" s="4" t="s">
        <v>464</v>
      </c>
      <c r="D1495" s="5" t="s">
        <v>2305</v>
      </c>
      <c r="E1495" s="4" t="s">
        <v>3</v>
      </c>
      <c r="F1495" s="2" t="str">
        <f t="shared" si="47"/>
        <v>Non-routine cognitive</v>
      </c>
    </row>
    <row r="1496" spans="1:6" ht="42.75" x14ac:dyDescent="0.4">
      <c r="A1496" s="3">
        <v>6112</v>
      </c>
      <c r="B1496" s="3" t="str">
        <f t="shared" si="46"/>
        <v>6</v>
      </c>
      <c r="C1496" s="4" t="s">
        <v>468</v>
      </c>
      <c r="D1496" s="5" t="s">
        <v>2306</v>
      </c>
      <c r="E1496" s="4" t="s">
        <v>4</v>
      </c>
      <c r="F1496" s="2" t="str">
        <f t="shared" si="47"/>
        <v>Non-routine cognitive</v>
      </c>
    </row>
    <row r="1497" spans="1:6" ht="28.5" x14ac:dyDescent="0.4">
      <c r="A1497" s="3">
        <v>6112</v>
      </c>
      <c r="B1497" s="3" t="str">
        <f t="shared" si="46"/>
        <v>6</v>
      </c>
      <c r="C1497" s="4" t="s">
        <v>468</v>
      </c>
      <c r="D1497" s="10" t="s">
        <v>2307</v>
      </c>
      <c r="E1497" s="4" t="s">
        <v>106</v>
      </c>
      <c r="F1497" s="2" t="str">
        <f t="shared" si="47"/>
        <v>Non-routine manual</v>
      </c>
    </row>
    <row r="1498" spans="1:6" ht="28.5" x14ac:dyDescent="0.4">
      <c r="A1498" s="3">
        <v>6112</v>
      </c>
      <c r="B1498" s="3" t="str">
        <f t="shared" si="46"/>
        <v>6</v>
      </c>
      <c r="C1498" s="4" t="s">
        <v>468</v>
      </c>
      <c r="D1498" s="7" t="s">
        <v>465</v>
      </c>
      <c r="E1498" s="4" t="s">
        <v>106</v>
      </c>
      <c r="F1498" s="2" t="str">
        <f t="shared" si="47"/>
        <v>Non-routine manual</v>
      </c>
    </row>
    <row r="1499" spans="1:6" ht="42.75" x14ac:dyDescent="0.4">
      <c r="A1499" s="3">
        <v>6112</v>
      </c>
      <c r="B1499" s="3" t="str">
        <f t="shared" si="46"/>
        <v>6</v>
      </c>
      <c r="C1499" s="4" t="s">
        <v>468</v>
      </c>
      <c r="D1499" s="5" t="s">
        <v>2308</v>
      </c>
      <c r="E1499" s="4" t="s">
        <v>106</v>
      </c>
      <c r="F1499" s="2" t="str">
        <f t="shared" si="47"/>
        <v>Non-routine manual</v>
      </c>
    </row>
    <row r="1500" spans="1:6" ht="28.5" x14ac:dyDescent="0.4">
      <c r="A1500" s="3">
        <v>6112</v>
      </c>
      <c r="B1500" s="3" t="str">
        <f t="shared" si="46"/>
        <v>6</v>
      </c>
      <c r="C1500" s="4" t="s">
        <v>468</v>
      </c>
      <c r="D1500" s="8" t="s">
        <v>2309</v>
      </c>
      <c r="E1500" s="4" t="s">
        <v>106</v>
      </c>
      <c r="F1500" s="2" t="str">
        <f t="shared" si="47"/>
        <v>Non-routine manual</v>
      </c>
    </row>
    <row r="1501" spans="1:6" ht="28.5" x14ac:dyDescent="0.4">
      <c r="A1501" s="3">
        <v>6112</v>
      </c>
      <c r="B1501" s="3" t="str">
        <f t="shared" si="46"/>
        <v>6</v>
      </c>
      <c r="C1501" s="4" t="s">
        <v>468</v>
      </c>
      <c r="D1501" s="5" t="s">
        <v>2310</v>
      </c>
      <c r="E1501" s="4" t="s">
        <v>106</v>
      </c>
      <c r="F1501" s="2" t="str">
        <f t="shared" si="47"/>
        <v>Non-routine manual</v>
      </c>
    </row>
    <row r="1502" spans="1:6" ht="42.75" x14ac:dyDescent="0.4">
      <c r="A1502" s="3">
        <v>6112</v>
      </c>
      <c r="B1502" s="3" t="str">
        <f t="shared" si="46"/>
        <v>6</v>
      </c>
      <c r="C1502" s="4" t="s">
        <v>468</v>
      </c>
      <c r="D1502" s="5" t="s">
        <v>2303</v>
      </c>
      <c r="E1502" s="4" t="s">
        <v>106</v>
      </c>
      <c r="F1502" s="2" t="str">
        <f t="shared" si="47"/>
        <v>Non-routine manual</v>
      </c>
    </row>
    <row r="1503" spans="1:6" ht="42.75" x14ac:dyDescent="0.4">
      <c r="A1503" s="3">
        <v>6112</v>
      </c>
      <c r="B1503" s="3" t="str">
        <f t="shared" si="46"/>
        <v>6</v>
      </c>
      <c r="C1503" s="4" t="s">
        <v>468</v>
      </c>
      <c r="D1503" s="8" t="s">
        <v>2311</v>
      </c>
      <c r="E1503" s="4" t="s">
        <v>106</v>
      </c>
      <c r="F1503" s="2" t="str">
        <f t="shared" si="47"/>
        <v>Non-routine manual</v>
      </c>
    </row>
    <row r="1504" spans="1:6" ht="28.5" x14ac:dyDescent="0.4">
      <c r="A1504" s="3">
        <v>6112</v>
      </c>
      <c r="B1504" s="3" t="str">
        <f t="shared" si="46"/>
        <v>6</v>
      </c>
      <c r="C1504" s="4" t="s">
        <v>468</v>
      </c>
      <c r="D1504" s="6" t="s">
        <v>467</v>
      </c>
      <c r="E1504" s="4" t="s">
        <v>106</v>
      </c>
      <c r="F1504" s="2" t="str">
        <f t="shared" si="47"/>
        <v>Non-routine manual</v>
      </c>
    </row>
    <row r="1505" spans="1:6" ht="42.75" x14ac:dyDescent="0.4">
      <c r="A1505" s="3">
        <v>6112</v>
      </c>
      <c r="B1505" s="3" t="str">
        <f t="shared" si="46"/>
        <v>6</v>
      </c>
      <c r="C1505" s="4" t="s">
        <v>468</v>
      </c>
      <c r="D1505" s="5" t="s">
        <v>2312</v>
      </c>
      <c r="E1505" s="4" t="s">
        <v>3</v>
      </c>
      <c r="F1505" s="2" t="str">
        <f t="shared" si="47"/>
        <v>Non-routine cognitive</v>
      </c>
    </row>
    <row r="1506" spans="1:6" ht="42.75" x14ac:dyDescent="0.4">
      <c r="A1506" s="3">
        <v>6112</v>
      </c>
      <c r="B1506" s="3" t="str">
        <f t="shared" si="46"/>
        <v>6</v>
      </c>
      <c r="C1506" s="4" t="s">
        <v>468</v>
      </c>
      <c r="D1506" s="5" t="s">
        <v>2305</v>
      </c>
      <c r="E1506" s="4" t="s">
        <v>3</v>
      </c>
      <c r="F1506" s="2" t="str">
        <f t="shared" si="47"/>
        <v>Non-routine cognitive</v>
      </c>
    </row>
    <row r="1507" spans="1:6" ht="57" x14ac:dyDescent="0.4">
      <c r="A1507" s="3">
        <v>6113</v>
      </c>
      <c r="B1507" s="3" t="str">
        <f t="shared" si="46"/>
        <v>6</v>
      </c>
      <c r="C1507" s="4" t="s">
        <v>469</v>
      </c>
      <c r="D1507" s="5" t="s">
        <v>2313</v>
      </c>
      <c r="E1507" s="4" t="s">
        <v>4</v>
      </c>
      <c r="F1507" s="2" t="str">
        <f t="shared" si="47"/>
        <v>Non-routine cognitive</v>
      </c>
    </row>
    <row r="1508" spans="1:6" ht="28.5" x14ac:dyDescent="0.4">
      <c r="A1508" s="3">
        <v>6113</v>
      </c>
      <c r="B1508" s="3" t="str">
        <f t="shared" si="46"/>
        <v>6</v>
      </c>
      <c r="C1508" s="4" t="s">
        <v>469</v>
      </c>
      <c r="D1508" s="5" t="s">
        <v>2314</v>
      </c>
      <c r="E1508" s="4" t="s">
        <v>106</v>
      </c>
      <c r="F1508" s="2" t="str">
        <f t="shared" si="47"/>
        <v>Non-routine manual</v>
      </c>
    </row>
    <row r="1509" spans="1:6" ht="28.5" x14ac:dyDescent="0.4">
      <c r="A1509" s="3">
        <v>6113</v>
      </c>
      <c r="B1509" s="3" t="str">
        <f t="shared" si="46"/>
        <v>6</v>
      </c>
      <c r="C1509" s="4" t="s">
        <v>469</v>
      </c>
      <c r="D1509" s="6" t="s">
        <v>470</v>
      </c>
      <c r="E1509" s="4" t="s">
        <v>106</v>
      </c>
      <c r="F1509" s="2" t="str">
        <f t="shared" si="47"/>
        <v>Non-routine manual</v>
      </c>
    </row>
    <row r="1510" spans="1:6" ht="42.75" x14ac:dyDescent="0.4">
      <c r="A1510" s="3">
        <v>6113</v>
      </c>
      <c r="B1510" s="3" t="str">
        <f t="shared" si="46"/>
        <v>6</v>
      </c>
      <c r="C1510" s="4" t="s">
        <v>469</v>
      </c>
      <c r="D1510" s="8" t="s">
        <v>2315</v>
      </c>
      <c r="E1510" s="4" t="s">
        <v>106</v>
      </c>
      <c r="F1510" s="2" t="str">
        <f t="shared" si="47"/>
        <v>Non-routine manual</v>
      </c>
    </row>
    <row r="1511" spans="1:6" ht="42.75" x14ac:dyDescent="0.4">
      <c r="A1511" s="3">
        <v>6113</v>
      </c>
      <c r="B1511" s="3" t="str">
        <f t="shared" si="46"/>
        <v>6</v>
      </c>
      <c r="C1511" s="4" t="s">
        <v>469</v>
      </c>
      <c r="D1511" s="5" t="s">
        <v>2316</v>
      </c>
      <c r="E1511" s="4" t="s">
        <v>106</v>
      </c>
      <c r="F1511" s="2" t="str">
        <f t="shared" si="47"/>
        <v>Non-routine manual</v>
      </c>
    </row>
    <row r="1512" spans="1:6" ht="42.75" x14ac:dyDescent="0.4">
      <c r="A1512" s="3">
        <v>6113</v>
      </c>
      <c r="B1512" s="3" t="str">
        <f t="shared" si="46"/>
        <v>6</v>
      </c>
      <c r="C1512" s="4" t="s">
        <v>469</v>
      </c>
      <c r="D1512" s="5" t="s">
        <v>2317</v>
      </c>
      <c r="E1512" s="4" t="s">
        <v>4</v>
      </c>
      <c r="F1512" s="2" t="str">
        <f t="shared" si="47"/>
        <v>Non-routine cognitive</v>
      </c>
    </row>
    <row r="1513" spans="1:6" ht="28.5" x14ac:dyDescent="0.4">
      <c r="A1513" s="3">
        <v>6113</v>
      </c>
      <c r="B1513" s="3" t="str">
        <f t="shared" si="46"/>
        <v>6</v>
      </c>
      <c r="C1513" s="4" t="s">
        <v>469</v>
      </c>
      <c r="D1513" s="4" t="s">
        <v>471</v>
      </c>
      <c r="E1513" s="4" t="s">
        <v>106</v>
      </c>
      <c r="F1513" s="2" t="str">
        <f t="shared" si="47"/>
        <v>Non-routine manual</v>
      </c>
    </row>
    <row r="1514" spans="1:6" ht="28.5" x14ac:dyDescent="0.4">
      <c r="A1514" s="3">
        <v>6113</v>
      </c>
      <c r="B1514" s="3" t="str">
        <f t="shared" si="46"/>
        <v>6</v>
      </c>
      <c r="C1514" s="4" t="s">
        <v>469</v>
      </c>
      <c r="D1514" s="6" t="s">
        <v>472</v>
      </c>
      <c r="E1514" s="4" t="s">
        <v>106</v>
      </c>
      <c r="F1514" s="2" t="str">
        <f t="shared" si="47"/>
        <v>Non-routine manual</v>
      </c>
    </row>
    <row r="1515" spans="1:6" ht="28.5" x14ac:dyDescent="0.4">
      <c r="A1515" s="3">
        <v>6113</v>
      </c>
      <c r="B1515" s="3" t="str">
        <f t="shared" si="46"/>
        <v>6</v>
      </c>
      <c r="C1515" s="4" t="s">
        <v>469</v>
      </c>
      <c r="D1515" s="4" t="s">
        <v>473</v>
      </c>
      <c r="E1515" s="4" t="s">
        <v>106</v>
      </c>
      <c r="F1515" s="2" t="str">
        <f t="shared" si="47"/>
        <v>Non-routine manual</v>
      </c>
    </row>
    <row r="1516" spans="1:6" ht="28.5" x14ac:dyDescent="0.4">
      <c r="A1516" s="3">
        <v>6113</v>
      </c>
      <c r="B1516" s="3" t="str">
        <f t="shared" si="46"/>
        <v>6</v>
      </c>
      <c r="C1516" s="4" t="s">
        <v>469</v>
      </c>
      <c r="D1516" s="6" t="s">
        <v>467</v>
      </c>
      <c r="E1516" s="4" t="s">
        <v>106</v>
      </c>
      <c r="F1516" s="2" t="str">
        <f t="shared" si="47"/>
        <v>Non-routine manual</v>
      </c>
    </row>
    <row r="1517" spans="1:6" ht="42.75" x14ac:dyDescent="0.4">
      <c r="A1517" s="3">
        <v>6113</v>
      </c>
      <c r="B1517" s="3" t="str">
        <f t="shared" si="46"/>
        <v>6</v>
      </c>
      <c r="C1517" s="4" t="s">
        <v>469</v>
      </c>
      <c r="D1517" s="5" t="s">
        <v>2318</v>
      </c>
      <c r="E1517" s="4" t="s">
        <v>3</v>
      </c>
      <c r="F1517" s="2" t="str">
        <f t="shared" si="47"/>
        <v>Non-routine cognitive</v>
      </c>
    </row>
    <row r="1518" spans="1:6" ht="42.75" x14ac:dyDescent="0.4">
      <c r="A1518" s="3">
        <v>6113</v>
      </c>
      <c r="B1518" s="3" t="str">
        <f t="shared" si="46"/>
        <v>6</v>
      </c>
      <c r="C1518" s="4" t="s">
        <v>469</v>
      </c>
      <c r="D1518" s="5" t="s">
        <v>2319</v>
      </c>
      <c r="E1518" s="4" t="s">
        <v>3</v>
      </c>
      <c r="F1518" s="2" t="str">
        <f t="shared" si="47"/>
        <v>Non-routine cognitive</v>
      </c>
    </row>
    <row r="1519" spans="1:6" ht="42.75" x14ac:dyDescent="0.4">
      <c r="A1519" s="3">
        <v>6114</v>
      </c>
      <c r="B1519" s="3" t="str">
        <f t="shared" si="46"/>
        <v>6</v>
      </c>
      <c r="C1519" s="4" t="s">
        <v>474</v>
      </c>
      <c r="D1519" s="5" t="s">
        <v>2306</v>
      </c>
      <c r="E1519" s="4" t="s">
        <v>4</v>
      </c>
      <c r="F1519" s="2" t="str">
        <f t="shared" si="47"/>
        <v>Non-routine cognitive</v>
      </c>
    </row>
    <row r="1520" spans="1:6" ht="28.5" x14ac:dyDescent="0.4">
      <c r="A1520" s="3">
        <v>6114</v>
      </c>
      <c r="B1520" s="3" t="str">
        <f t="shared" si="46"/>
        <v>6</v>
      </c>
      <c r="C1520" s="4" t="s">
        <v>474</v>
      </c>
      <c r="D1520" s="10" t="s">
        <v>2307</v>
      </c>
      <c r="E1520" s="4" t="s">
        <v>106</v>
      </c>
      <c r="F1520" s="2" t="str">
        <f t="shared" si="47"/>
        <v>Non-routine manual</v>
      </c>
    </row>
    <row r="1521" spans="1:6" ht="28.5" x14ac:dyDescent="0.4">
      <c r="A1521" s="3">
        <v>6114</v>
      </c>
      <c r="B1521" s="3" t="str">
        <f t="shared" si="46"/>
        <v>6</v>
      </c>
      <c r="C1521" s="4" t="s">
        <v>474</v>
      </c>
      <c r="D1521" s="7" t="s">
        <v>465</v>
      </c>
      <c r="E1521" s="4" t="s">
        <v>106</v>
      </c>
      <c r="F1521" s="2" t="str">
        <f t="shared" si="47"/>
        <v>Non-routine manual</v>
      </c>
    </row>
    <row r="1522" spans="1:6" ht="42.75" x14ac:dyDescent="0.4">
      <c r="A1522" s="3">
        <v>6114</v>
      </c>
      <c r="B1522" s="3" t="str">
        <f t="shared" si="46"/>
        <v>6</v>
      </c>
      <c r="C1522" s="4" t="s">
        <v>474</v>
      </c>
      <c r="D1522" s="5" t="s">
        <v>3663</v>
      </c>
      <c r="E1522" s="4" t="s">
        <v>106</v>
      </c>
      <c r="F1522" s="2" t="str">
        <f t="shared" si="47"/>
        <v>Non-routine manual</v>
      </c>
    </row>
    <row r="1523" spans="1:6" ht="28.5" x14ac:dyDescent="0.4">
      <c r="A1523" s="3">
        <v>6114</v>
      </c>
      <c r="B1523" s="3" t="str">
        <f t="shared" si="46"/>
        <v>6</v>
      </c>
      <c r="C1523" s="4" t="s">
        <v>474</v>
      </c>
      <c r="D1523" s="11" t="s">
        <v>2320</v>
      </c>
      <c r="E1523" s="4" t="s">
        <v>106</v>
      </c>
      <c r="F1523" s="2" t="str">
        <f t="shared" si="47"/>
        <v>Non-routine manual</v>
      </c>
    </row>
    <row r="1524" spans="1:6" ht="28.5" x14ac:dyDescent="0.4">
      <c r="A1524" s="3">
        <v>6114</v>
      </c>
      <c r="B1524" s="3" t="str">
        <f t="shared" si="46"/>
        <v>6</v>
      </c>
      <c r="C1524" s="4" t="s">
        <v>474</v>
      </c>
      <c r="D1524" s="6" t="s">
        <v>475</v>
      </c>
      <c r="E1524" s="4" t="s">
        <v>106</v>
      </c>
      <c r="F1524" s="2" t="str">
        <f t="shared" si="47"/>
        <v>Non-routine manual</v>
      </c>
    </row>
    <row r="1525" spans="1:6" ht="42.75" x14ac:dyDescent="0.4">
      <c r="A1525" s="3">
        <v>6114</v>
      </c>
      <c r="B1525" s="3" t="str">
        <f t="shared" si="46"/>
        <v>6</v>
      </c>
      <c r="C1525" s="4" t="s">
        <v>474</v>
      </c>
      <c r="D1525" s="5" t="s">
        <v>2321</v>
      </c>
      <c r="E1525" s="4" t="s">
        <v>106</v>
      </c>
      <c r="F1525" s="2" t="str">
        <f t="shared" si="47"/>
        <v>Non-routine manual</v>
      </c>
    </row>
    <row r="1526" spans="1:6" ht="42.75" x14ac:dyDescent="0.4">
      <c r="A1526" s="3">
        <v>6114</v>
      </c>
      <c r="B1526" s="3" t="str">
        <f t="shared" si="46"/>
        <v>6</v>
      </c>
      <c r="C1526" s="4" t="s">
        <v>474</v>
      </c>
      <c r="D1526" s="8" t="s">
        <v>2311</v>
      </c>
      <c r="E1526" s="4" t="s">
        <v>106</v>
      </c>
      <c r="F1526" s="2" t="str">
        <f t="shared" si="47"/>
        <v>Non-routine manual</v>
      </c>
    </row>
    <row r="1527" spans="1:6" ht="28.5" x14ac:dyDescent="0.4">
      <c r="A1527" s="3">
        <v>6114</v>
      </c>
      <c r="B1527" s="3" t="str">
        <f t="shared" si="46"/>
        <v>6</v>
      </c>
      <c r="C1527" s="4" t="s">
        <v>474</v>
      </c>
      <c r="D1527" s="6" t="s">
        <v>467</v>
      </c>
      <c r="E1527" s="4" t="s">
        <v>106</v>
      </c>
      <c r="F1527" s="2" t="str">
        <f t="shared" si="47"/>
        <v>Non-routine manual</v>
      </c>
    </row>
    <row r="1528" spans="1:6" ht="42.75" x14ac:dyDescent="0.4">
      <c r="A1528" s="3">
        <v>6114</v>
      </c>
      <c r="B1528" s="3" t="str">
        <f t="shared" si="46"/>
        <v>6</v>
      </c>
      <c r="C1528" s="4" t="s">
        <v>474</v>
      </c>
      <c r="D1528" s="5" t="s">
        <v>2318</v>
      </c>
      <c r="E1528" s="4" t="s">
        <v>3</v>
      </c>
      <c r="F1528" s="2" t="str">
        <f t="shared" si="47"/>
        <v>Non-routine cognitive</v>
      </c>
    </row>
    <row r="1529" spans="1:6" ht="42.75" x14ac:dyDescent="0.4">
      <c r="A1529" s="3">
        <v>6114</v>
      </c>
      <c r="B1529" s="3" t="str">
        <f t="shared" si="46"/>
        <v>6</v>
      </c>
      <c r="C1529" s="4" t="s">
        <v>474</v>
      </c>
      <c r="D1529" s="5" t="s">
        <v>2319</v>
      </c>
      <c r="E1529" s="4" t="s">
        <v>3</v>
      </c>
      <c r="F1529" s="2" t="str">
        <f t="shared" si="47"/>
        <v>Non-routine cognitive</v>
      </c>
    </row>
    <row r="1530" spans="1:6" x14ac:dyDescent="0.45">
      <c r="A1530" s="3">
        <v>6115</v>
      </c>
      <c r="B1530" s="3" t="str">
        <f t="shared" si="46"/>
        <v>6</v>
      </c>
      <c r="C1530" s="5"/>
      <c r="D1530" s="17"/>
      <c r="E1530" s="4" t="s">
        <v>3652</v>
      </c>
      <c r="F1530" s="2" t="str">
        <f t="shared" si="47"/>
        <v>NA</v>
      </c>
    </row>
    <row r="1531" spans="1:6" x14ac:dyDescent="0.45">
      <c r="A1531" s="3">
        <v>6116</v>
      </c>
      <c r="B1531" s="3" t="str">
        <f t="shared" si="46"/>
        <v>6</v>
      </c>
      <c r="C1531" s="5"/>
      <c r="D1531" s="17"/>
      <c r="E1531" s="4" t="s">
        <v>3652</v>
      </c>
      <c r="F1531" s="2" t="str">
        <f t="shared" si="47"/>
        <v>NA</v>
      </c>
    </row>
    <row r="1532" spans="1:6" x14ac:dyDescent="0.45">
      <c r="A1532" s="3">
        <v>6117</v>
      </c>
      <c r="B1532" s="3" t="str">
        <f t="shared" si="46"/>
        <v>6</v>
      </c>
      <c r="C1532" s="5"/>
      <c r="D1532" s="17"/>
      <c r="E1532" s="4" t="s">
        <v>3652</v>
      </c>
      <c r="F1532" s="2" t="str">
        <f t="shared" si="47"/>
        <v>NA</v>
      </c>
    </row>
    <row r="1533" spans="1:6" x14ac:dyDescent="0.45">
      <c r="A1533" s="3">
        <v>6118</v>
      </c>
      <c r="B1533" s="3" t="str">
        <f t="shared" si="46"/>
        <v>6</v>
      </c>
      <c r="C1533" s="5"/>
      <c r="D1533" s="17"/>
      <c r="E1533" s="4" t="s">
        <v>3652</v>
      </c>
      <c r="F1533" s="2" t="str">
        <f t="shared" si="47"/>
        <v>NA</v>
      </c>
    </row>
    <row r="1534" spans="1:6" x14ac:dyDescent="0.45">
      <c r="A1534" s="3">
        <v>6119</v>
      </c>
      <c r="B1534" s="3" t="str">
        <f t="shared" si="46"/>
        <v>6</v>
      </c>
      <c r="C1534" s="5"/>
      <c r="D1534" s="17"/>
      <c r="E1534" s="4" t="s">
        <v>3652</v>
      </c>
      <c r="F1534" s="2" t="str">
        <f t="shared" si="47"/>
        <v>NA</v>
      </c>
    </row>
    <row r="1535" spans="1:6" ht="42.75" x14ac:dyDescent="0.4">
      <c r="A1535" s="3">
        <v>6121</v>
      </c>
      <c r="B1535" s="3" t="str">
        <f t="shared" si="46"/>
        <v>6</v>
      </c>
      <c r="C1535" s="4" t="s">
        <v>476</v>
      </c>
      <c r="D1535" s="5" t="s">
        <v>2322</v>
      </c>
      <c r="E1535" s="4" t="s">
        <v>4</v>
      </c>
      <c r="F1535" s="2" t="str">
        <f t="shared" si="47"/>
        <v>Non-routine cognitive</v>
      </c>
    </row>
    <row r="1536" spans="1:6" ht="42.75" x14ac:dyDescent="0.4">
      <c r="A1536" s="3">
        <v>6121</v>
      </c>
      <c r="B1536" s="3" t="str">
        <f t="shared" si="46"/>
        <v>6</v>
      </c>
      <c r="C1536" s="4" t="s">
        <v>476</v>
      </c>
      <c r="D1536" s="5" t="s">
        <v>2323</v>
      </c>
      <c r="E1536" s="4" t="s">
        <v>50</v>
      </c>
      <c r="F1536" s="2" t="str">
        <f t="shared" si="47"/>
        <v>Routine cognitive</v>
      </c>
    </row>
    <row r="1537" spans="1:6" ht="42.75" x14ac:dyDescent="0.4">
      <c r="A1537" s="3">
        <v>6121</v>
      </c>
      <c r="B1537" s="3" t="str">
        <f t="shared" si="46"/>
        <v>6</v>
      </c>
      <c r="C1537" s="4" t="s">
        <v>476</v>
      </c>
      <c r="D1537" s="5" t="s">
        <v>2324</v>
      </c>
      <c r="E1537" s="4" t="s">
        <v>50</v>
      </c>
      <c r="F1537" s="2" t="str">
        <f t="shared" si="47"/>
        <v>Routine cognitive</v>
      </c>
    </row>
    <row r="1538" spans="1:6" ht="42.75" x14ac:dyDescent="0.4">
      <c r="A1538" s="3">
        <v>6121</v>
      </c>
      <c r="B1538" s="3" t="str">
        <f t="shared" si="46"/>
        <v>6</v>
      </c>
      <c r="C1538" s="4" t="s">
        <v>476</v>
      </c>
      <c r="D1538" s="5" t="s">
        <v>2325</v>
      </c>
      <c r="E1538" s="4" t="s">
        <v>106</v>
      </c>
      <c r="F1538" s="2" t="str">
        <f t="shared" si="47"/>
        <v>Non-routine manual</v>
      </c>
    </row>
    <row r="1539" spans="1:6" ht="28.5" x14ac:dyDescent="0.4">
      <c r="A1539" s="3">
        <v>6121</v>
      </c>
      <c r="B1539" s="3" t="str">
        <f t="shared" ref="B1539:B1602" si="48">LEFT(A1539,1)</f>
        <v>6</v>
      </c>
      <c r="C1539" s="4" t="s">
        <v>476</v>
      </c>
      <c r="D1539" s="8" t="s">
        <v>2326</v>
      </c>
      <c r="E1539" s="4" t="s">
        <v>106</v>
      </c>
      <c r="F1539" s="2" t="str">
        <f t="shared" ref="F1539:F1602" si="49">IF(E1539="Non-routine interpersonal","Non-routine cognitive",IF(E1539="Non-routine analytical","Non-routine cognitive",IF(E1539="Non-routine manual physical","Non-routine manual",E1539)))</f>
        <v>Non-routine manual</v>
      </c>
    </row>
    <row r="1540" spans="1:6" ht="28.5" x14ac:dyDescent="0.4">
      <c r="A1540" s="3">
        <v>6121</v>
      </c>
      <c r="B1540" s="3" t="str">
        <f t="shared" si="48"/>
        <v>6</v>
      </c>
      <c r="C1540" s="4" t="s">
        <v>476</v>
      </c>
      <c r="D1540" s="7" t="s">
        <v>477</v>
      </c>
      <c r="E1540" s="4" t="s">
        <v>106</v>
      </c>
      <c r="F1540" s="2" t="str">
        <f t="shared" si="49"/>
        <v>Non-routine manual</v>
      </c>
    </row>
    <row r="1541" spans="1:6" ht="28.5" x14ac:dyDescent="0.4">
      <c r="A1541" s="3">
        <v>6121</v>
      </c>
      <c r="B1541" s="3" t="str">
        <f t="shared" si="48"/>
        <v>6</v>
      </c>
      <c r="C1541" s="4" t="s">
        <v>476</v>
      </c>
      <c r="D1541" s="5" t="s">
        <v>2327</v>
      </c>
      <c r="E1541" s="4" t="s">
        <v>106</v>
      </c>
      <c r="F1541" s="2" t="str">
        <f t="shared" si="49"/>
        <v>Non-routine manual</v>
      </c>
    </row>
    <row r="1542" spans="1:6" ht="42.75" x14ac:dyDescent="0.4">
      <c r="A1542" s="3">
        <v>6121</v>
      </c>
      <c r="B1542" s="3" t="str">
        <f t="shared" si="48"/>
        <v>6</v>
      </c>
      <c r="C1542" s="4" t="s">
        <v>476</v>
      </c>
      <c r="D1542" s="5" t="s">
        <v>2328</v>
      </c>
      <c r="E1542" s="4" t="s">
        <v>106</v>
      </c>
      <c r="F1542" s="2" t="str">
        <f t="shared" si="49"/>
        <v>Non-routine manual</v>
      </c>
    </row>
    <row r="1543" spans="1:6" ht="28.5" x14ac:dyDescent="0.4">
      <c r="A1543" s="3">
        <v>6121</v>
      </c>
      <c r="B1543" s="3" t="str">
        <f t="shared" si="48"/>
        <v>6</v>
      </c>
      <c r="C1543" s="4" t="s">
        <v>476</v>
      </c>
      <c r="D1543" s="5" t="s">
        <v>2329</v>
      </c>
      <c r="E1543" s="4" t="s">
        <v>106</v>
      </c>
      <c r="F1543" s="2" t="str">
        <f t="shared" si="49"/>
        <v>Non-routine manual</v>
      </c>
    </row>
    <row r="1544" spans="1:6" ht="28.5" x14ac:dyDescent="0.4">
      <c r="A1544" s="3">
        <v>6121</v>
      </c>
      <c r="B1544" s="3" t="str">
        <f t="shared" si="48"/>
        <v>6</v>
      </c>
      <c r="C1544" s="4" t="s">
        <v>476</v>
      </c>
      <c r="D1544" s="8" t="s">
        <v>2330</v>
      </c>
      <c r="E1544" s="4" t="s">
        <v>106</v>
      </c>
      <c r="F1544" s="2" t="str">
        <f t="shared" si="49"/>
        <v>Non-routine manual</v>
      </c>
    </row>
    <row r="1545" spans="1:6" ht="28.5" x14ac:dyDescent="0.4">
      <c r="A1545" s="3">
        <v>6121</v>
      </c>
      <c r="B1545" s="3" t="str">
        <f t="shared" si="48"/>
        <v>6</v>
      </c>
      <c r="C1545" s="4" t="s">
        <v>476</v>
      </c>
      <c r="D1545" s="5" t="s">
        <v>2331</v>
      </c>
      <c r="E1545" s="4" t="s">
        <v>106</v>
      </c>
      <c r="F1545" s="2" t="str">
        <f t="shared" si="49"/>
        <v>Non-routine manual</v>
      </c>
    </row>
    <row r="1546" spans="1:6" ht="42.75" x14ac:dyDescent="0.4">
      <c r="A1546" s="3">
        <v>6121</v>
      </c>
      <c r="B1546" s="3" t="str">
        <f t="shared" si="48"/>
        <v>6</v>
      </c>
      <c r="C1546" s="4" t="s">
        <v>476</v>
      </c>
      <c r="D1546" s="4" t="s">
        <v>3664</v>
      </c>
      <c r="E1546" s="4" t="s">
        <v>3</v>
      </c>
      <c r="F1546" s="2" t="str">
        <f t="shared" si="49"/>
        <v>Non-routine cognitive</v>
      </c>
    </row>
    <row r="1547" spans="1:6" ht="42.75" x14ac:dyDescent="0.4">
      <c r="A1547" s="3">
        <v>6121</v>
      </c>
      <c r="B1547" s="3" t="str">
        <f t="shared" si="48"/>
        <v>6</v>
      </c>
      <c r="C1547" s="4" t="s">
        <v>476</v>
      </c>
      <c r="D1547" s="5" t="s">
        <v>2332</v>
      </c>
      <c r="E1547" s="4" t="s">
        <v>3</v>
      </c>
      <c r="F1547" s="2" t="str">
        <f t="shared" si="49"/>
        <v>Non-routine cognitive</v>
      </c>
    </row>
    <row r="1548" spans="1:6" ht="42.75" x14ac:dyDescent="0.4">
      <c r="A1548" s="3">
        <v>6122</v>
      </c>
      <c r="B1548" s="3" t="str">
        <f t="shared" si="48"/>
        <v>6</v>
      </c>
      <c r="C1548" s="4" t="s">
        <v>478</v>
      </c>
      <c r="D1548" s="8" t="s">
        <v>2333</v>
      </c>
      <c r="E1548" s="4" t="s">
        <v>4</v>
      </c>
      <c r="F1548" s="2" t="str">
        <f t="shared" si="49"/>
        <v>Non-routine cognitive</v>
      </c>
    </row>
    <row r="1549" spans="1:6" ht="28.5" x14ac:dyDescent="0.4">
      <c r="A1549" s="3">
        <v>6122</v>
      </c>
      <c r="B1549" s="3" t="str">
        <f t="shared" si="48"/>
        <v>6</v>
      </c>
      <c r="C1549" s="4" t="s">
        <v>478</v>
      </c>
      <c r="D1549" s="5" t="s">
        <v>2334</v>
      </c>
      <c r="E1549" s="4" t="s">
        <v>3</v>
      </c>
      <c r="F1549" s="2" t="str">
        <f t="shared" si="49"/>
        <v>Non-routine cognitive</v>
      </c>
    </row>
    <row r="1550" spans="1:6" ht="57" x14ac:dyDescent="0.4">
      <c r="A1550" s="3">
        <v>6122</v>
      </c>
      <c r="B1550" s="3" t="str">
        <f t="shared" si="48"/>
        <v>6</v>
      </c>
      <c r="C1550" s="4" t="s">
        <v>478</v>
      </c>
      <c r="D1550" s="5" t="s">
        <v>2335</v>
      </c>
      <c r="E1550" s="4" t="s">
        <v>50</v>
      </c>
      <c r="F1550" s="2" t="str">
        <f t="shared" si="49"/>
        <v>Routine cognitive</v>
      </c>
    </row>
    <row r="1551" spans="1:6" ht="28.5" x14ac:dyDescent="0.4">
      <c r="A1551" s="3">
        <v>6122</v>
      </c>
      <c r="B1551" s="3" t="str">
        <f t="shared" si="48"/>
        <v>6</v>
      </c>
      <c r="C1551" s="4" t="s">
        <v>478</v>
      </c>
      <c r="D1551" s="5" t="s">
        <v>2336</v>
      </c>
      <c r="E1551" s="4" t="s">
        <v>106</v>
      </c>
      <c r="F1551" s="2" t="str">
        <f t="shared" si="49"/>
        <v>Non-routine manual</v>
      </c>
    </row>
    <row r="1552" spans="1:6" ht="28.5" x14ac:dyDescent="0.4">
      <c r="A1552" s="3">
        <v>6122</v>
      </c>
      <c r="B1552" s="3" t="str">
        <f t="shared" si="48"/>
        <v>6</v>
      </c>
      <c r="C1552" s="4" t="s">
        <v>478</v>
      </c>
      <c r="D1552" s="5" t="s">
        <v>2337</v>
      </c>
      <c r="E1552" s="4" t="s">
        <v>106</v>
      </c>
      <c r="F1552" s="2" t="str">
        <f t="shared" si="49"/>
        <v>Non-routine manual</v>
      </c>
    </row>
    <row r="1553" spans="1:6" ht="28.5" x14ac:dyDescent="0.4">
      <c r="A1553" s="3">
        <v>6122</v>
      </c>
      <c r="B1553" s="3" t="str">
        <f t="shared" si="48"/>
        <v>6</v>
      </c>
      <c r="C1553" s="4" t="s">
        <v>478</v>
      </c>
      <c r="D1553" s="4" t="s">
        <v>479</v>
      </c>
      <c r="E1553" s="4" t="s">
        <v>106</v>
      </c>
      <c r="F1553" s="2" t="str">
        <f t="shared" si="49"/>
        <v>Non-routine manual</v>
      </c>
    </row>
    <row r="1554" spans="1:6" ht="28.5" x14ac:dyDescent="0.4">
      <c r="A1554" s="3">
        <v>6122</v>
      </c>
      <c r="B1554" s="3" t="str">
        <f t="shared" si="48"/>
        <v>6</v>
      </c>
      <c r="C1554" s="4" t="s">
        <v>478</v>
      </c>
      <c r="D1554" s="5" t="s">
        <v>2338</v>
      </c>
      <c r="E1554" s="4" t="s">
        <v>106</v>
      </c>
      <c r="F1554" s="2" t="str">
        <f t="shared" si="49"/>
        <v>Non-routine manual</v>
      </c>
    </row>
    <row r="1555" spans="1:6" ht="28.5" x14ac:dyDescent="0.4">
      <c r="A1555" s="3">
        <v>6122</v>
      </c>
      <c r="B1555" s="3" t="str">
        <f t="shared" si="48"/>
        <v>6</v>
      </c>
      <c r="C1555" s="4" t="s">
        <v>478</v>
      </c>
      <c r="D1555" s="7" t="s">
        <v>3665</v>
      </c>
      <c r="E1555" s="4" t="s">
        <v>106</v>
      </c>
      <c r="F1555" s="2" t="str">
        <f t="shared" si="49"/>
        <v>Non-routine manual</v>
      </c>
    </row>
    <row r="1556" spans="1:6" ht="28.5" x14ac:dyDescent="0.4">
      <c r="A1556" s="3">
        <v>6122</v>
      </c>
      <c r="B1556" s="3" t="str">
        <f t="shared" si="48"/>
        <v>6</v>
      </c>
      <c r="C1556" s="4" t="s">
        <v>478</v>
      </c>
      <c r="D1556" s="5" t="s">
        <v>2339</v>
      </c>
      <c r="E1556" s="4" t="s">
        <v>106</v>
      </c>
      <c r="F1556" s="2" t="str">
        <f t="shared" si="49"/>
        <v>Non-routine manual</v>
      </c>
    </row>
    <row r="1557" spans="1:6" ht="28.5" x14ac:dyDescent="0.4">
      <c r="A1557" s="3">
        <v>6122</v>
      </c>
      <c r="B1557" s="3" t="str">
        <f t="shared" si="48"/>
        <v>6</v>
      </c>
      <c r="C1557" s="4" t="s">
        <v>478</v>
      </c>
      <c r="D1557" s="6" t="s">
        <v>467</v>
      </c>
      <c r="E1557" s="4" t="s">
        <v>106</v>
      </c>
      <c r="F1557" s="2" t="str">
        <f t="shared" si="49"/>
        <v>Non-routine manual</v>
      </c>
    </row>
    <row r="1558" spans="1:6" x14ac:dyDescent="0.4">
      <c r="A1558" s="3">
        <v>6122</v>
      </c>
      <c r="B1558" s="3" t="str">
        <f t="shared" si="48"/>
        <v>6</v>
      </c>
      <c r="C1558" s="4" t="s">
        <v>478</v>
      </c>
      <c r="D1558" s="4" t="s">
        <v>480</v>
      </c>
      <c r="E1558" s="4" t="s">
        <v>3</v>
      </c>
      <c r="F1558" s="2" t="str">
        <f t="shared" si="49"/>
        <v>Non-routine cognitive</v>
      </c>
    </row>
    <row r="1559" spans="1:6" ht="57" x14ac:dyDescent="0.4">
      <c r="A1559" s="3">
        <v>6122</v>
      </c>
      <c r="B1559" s="3" t="str">
        <f t="shared" si="48"/>
        <v>6</v>
      </c>
      <c r="C1559" s="4" t="s">
        <v>478</v>
      </c>
      <c r="D1559" s="5" t="s">
        <v>2340</v>
      </c>
      <c r="E1559" s="4" t="s">
        <v>3</v>
      </c>
      <c r="F1559" s="2" t="str">
        <f t="shared" si="49"/>
        <v>Non-routine cognitive</v>
      </c>
    </row>
    <row r="1560" spans="1:6" x14ac:dyDescent="0.45">
      <c r="A1560" s="3">
        <v>6126</v>
      </c>
      <c r="B1560" s="3" t="str">
        <f t="shared" si="48"/>
        <v>6</v>
      </c>
      <c r="C1560" s="5"/>
      <c r="D1560" s="17"/>
      <c r="E1560" s="4" t="s">
        <v>3652</v>
      </c>
      <c r="F1560" s="2" t="str">
        <f t="shared" si="49"/>
        <v>NA</v>
      </c>
    </row>
    <row r="1561" spans="1:6" x14ac:dyDescent="0.4">
      <c r="A1561" s="3">
        <v>6127</v>
      </c>
      <c r="B1561" s="3" t="str">
        <f t="shared" si="48"/>
        <v>6</v>
      </c>
      <c r="C1561" s="4" t="s">
        <v>3652</v>
      </c>
      <c r="D1561" s="4" t="s">
        <v>481</v>
      </c>
      <c r="E1561" s="4" t="s">
        <v>3652</v>
      </c>
      <c r="F1561" s="2" t="str">
        <f t="shared" si="49"/>
        <v>NA</v>
      </c>
    </row>
    <row r="1562" spans="1:6" ht="42.75" x14ac:dyDescent="0.4">
      <c r="A1562" s="3">
        <v>6129</v>
      </c>
      <c r="B1562" s="3" t="str">
        <f t="shared" si="48"/>
        <v>6</v>
      </c>
      <c r="C1562" s="4" t="s">
        <v>482</v>
      </c>
      <c r="D1562" s="5" t="s">
        <v>2341</v>
      </c>
      <c r="E1562" s="4" t="s">
        <v>4</v>
      </c>
      <c r="F1562" s="2" t="str">
        <f t="shared" si="49"/>
        <v>Non-routine cognitive</v>
      </c>
    </row>
    <row r="1563" spans="1:6" ht="28.5" x14ac:dyDescent="0.4">
      <c r="A1563" s="3">
        <v>6129</v>
      </c>
      <c r="B1563" s="3" t="str">
        <f t="shared" si="48"/>
        <v>6</v>
      </c>
      <c r="C1563" s="4" t="s">
        <v>482</v>
      </c>
      <c r="D1563" s="14" t="s">
        <v>483</v>
      </c>
      <c r="E1563" s="4" t="s">
        <v>106</v>
      </c>
      <c r="F1563" s="2" t="str">
        <f t="shared" si="49"/>
        <v>Non-routine manual</v>
      </c>
    </row>
    <row r="1564" spans="1:6" ht="42.75" x14ac:dyDescent="0.4">
      <c r="A1564" s="3">
        <v>6129</v>
      </c>
      <c r="B1564" s="3" t="str">
        <f t="shared" si="48"/>
        <v>6</v>
      </c>
      <c r="C1564" s="4" t="s">
        <v>482</v>
      </c>
      <c r="D1564" s="5" t="s">
        <v>2342</v>
      </c>
      <c r="E1564" s="4" t="s">
        <v>50</v>
      </c>
      <c r="F1564" s="2" t="str">
        <f t="shared" si="49"/>
        <v>Routine cognitive</v>
      </c>
    </row>
    <row r="1565" spans="1:6" ht="42.75" x14ac:dyDescent="0.4">
      <c r="A1565" s="3">
        <v>6129</v>
      </c>
      <c r="B1565" s="3" t="str">
        <f t="shared" si="48"/>
        <v>6</v>
      </c>
      <c r="C1565" s="4" t="s">
        <v>482</v>
      </c>
      <c r="D1565" s="5" t="s">
        <v>2343</v>
      </c>
      <c r="E1565" s="4" t="s">
        <v>106</v>
      </c>
      <c r="F1565" s="2" t="str">
        <f t="shared" si="49"/>
        <v>Non-routine manual</v>
      </c>
    </row>
    <row r="1566" spans="1:6" ht="28.5" x14ac:dyDescent="0.4">
      <c r="A1566" s="3">
        <v>6129</v>
      </c>
      <c r="B1566" s="3" t="str">
        <f t="shared" si="48"/>
        <v>6</v>
      </c>
      <c r="C1566" s="4" t="s">
        <v>482</v>
      </c>
      <c r="D1566" s="5" t="s">
        <v>2344</v>
      </c>
      <c r="E1566" s="4" t="s">
        <v>106</v>
      </c>
      <c r="F1566" s="2" t="str">
        <f t="shared" si="49"/>
        <v>Non-routine manual</v>
      </c>
    </row>
    <row r="1567" spans="1:6" ht="28.5" x14ac:dyDescent="0.4">
      <c r="A1567" s="3">
        <v>6129</v>
      </c>
      <c r="B1567" s="3" t="str">
        <f t="shared" si="48"/>
        <v>6</v>
      </c>
      <c r="C1567" s="4" t="s">
        <v>482</v>
      </c>
      <c r="D1567" s="8" t="s">
        <v>2345</v>
      </c>
      <c r="E1567" s="4" t="s">
        <v>106</v>
      </c>
      <c r="F1567" s="2" t="str">
        <f t="shared" si="49"/>
        <v>Non-routine manual</v>
      </c>
    </row>
    <row r="1568" spans="1:6" ht="28.5" x14ac:dyDescent="0.4">
      <c r="A1568" s="3">
        <v>6129</v>
      </c>
      <c r="B1568" s="3" t="str">
        <f t="shared" si="48"/>
        <v>6</v>
      </c>
      <c r="C1568" s="4" t="s">
        <v>482</v>
      </c>
      <c r="D1568" s="6" t="s">
        <v>484</v>
      </c>
      <c r="E1568" s="4" t="s">
        <v>106</v>
      </c>
      <c r="F1568" s="2" t="str">
        <f t="shared" si="49"/>
        <v>Non-routine manual</v>
      </c>
    </row>
    <row r="1569" spans="1:6" ht="57" x14ac:dyDescent="0.4">
      <c r="A1569" s="3">
        <v>6129</v>
      </c>
      <c r="B1569" s="3" t="str">
        <f t="shared" si="48"/>
        <v>6</v>
      </c>
      <c r="C1569" s="4" t="s">
        <v>482</v>
      </c>
      <c r="D1569" s="5" t="s">
        <v>2346</v>
      </c>
      <c r="E1569" s="4" t="s">
        <v>3</v>
      </c>
      <c r="F1569" s="2" t="str">
        <f t="shared" si="49"/>
        <v>Non-routine cognitive</v>
      </c>
    </row>
    <row r="1570" spans="1:6" ht="42.75" x14ac:dyDescent="0.4">
      <c r="A1570" s="3">
        <v>6129</v>
      </c>
      <c r="B1570" s="3" t="str">
        <f t="shared" si="48"/>
        <v>6</v>
      </c>
      <c r="C1570" s="4" t="s">
        <v>482</v>
      </c>
      <c r="D1570" s="5" t="s">
        <v>2347</v>
      </c>
      <c r="E1570" s="4" t="s">
        <v>3</v>
      </c>
      <c r="F1570" s="2" t="str">
        <f t="shared" si="49"/>
        <v>Non-routine cognitive</v>
      </c>
    </row>
    <row r="1571" spans="1:6" ht="42.75" x14ac:dyDescent="0.4">
      <c r="A1571" s="3">
        <v>6130</v>
      </c>
      <c r="B1571" s="3" t="str">
        <f t="shared" si="48"/>
        <v>6</v>
      </c>
      <c r="C1571" s="4" t="s">
        <v>485</v>
      </c>
      <c r="D1571" s="5" t="s">
        <v>2348</v>
      </c>
      <c r="E1571" s="4" t="s">
        <v>4</v>
      </c>
      <c r="F1571" s="2" t="str">
        <f t="shared" si="49"/>
        <v>Non-routine cognitive</v>
      </c>
    </row>
    <row r="1572" spans="1:6" x14ac:dyDescent="0.4">
      <c r="A1572" s="3">
        <v>6130</v>
      </c>
      <c r="B1572" s="3" t="str">
        <f t="shared" si="48"/>
        <v>6</v>
      </c>
      <c r="C1572" s="4" t="s">
        <v>485</v>
      </c>
      <c r="D1572" s="7" t="s">
        <v>486</v>
      </c>
      <c r="E1572" s="4" t="s">
        <v>3</v>
      </c>
      <c r="F1572" s="2" t="str">
        <f t="shared" si="49"/>
        <v>Non-routine cognitive</v>
      </c>
    </row>
    <row r="1573" spans="1:6" ht="42.75" x14ac:dyDescent="0.4">
      <c r="A1573" s="3">
        <v>6130</v>
      </c>
      <c r="B1573" s="3" t="str">
        <f t="shared" si="48"/>
        <v>6</v>
      </c>
      <c r="C1573" s="4" t="s">
        <v>485</v>
      </c>
      <c r="D1573" s="5" t="s">
        <v>2349</v>
      </c>
      <c r="E1573" s="4" t="s">
        <v>106</v>
      </c>
      <c r="F1573" s="2" t="str">
        <f t="shared" si="49"/>
        <v>Non-routine manual</v>
      </c>
    </row>
    <row r="1574" spans="1:6" x14ac:dyDescent="0.4">
      <c r="A1574" s="3">
        <v>6130</v>
      </c>
      <c r="B1574" s="3" t="str">
        <f t="shared" si="48"/>
        <v>6</v>
      </c>
      <c r="C1574" s="4" t="s">
        <v>485</v>
      </c>
      <c r="D1574" s="7" t="s">
        <v>487</v>
      </c>
      <c r="E1574" s="4" t="s">
        <v>50</v>
      </c>
      <c r="F1574" s="2" t="str">
        <f t="shared" si="49"/>
        <v>Routine cognitive</v>
      </c>
    </row>
    <row r="1575" spans="1:6" ht="28.5" x14ac:dyDescent="0.4">
      <c r="A1575" s="3">
        <v>6130</v>
      </c>
      <c r="B1575" s="3" t="str">
        <f t="shared" si="48"/>
        <v>6</v>
      </c>
      <c r="C1575" s="4" t="s">
        <v>485</v>
      </c>
      <c r="D1575" s="6" t="s">
        <v>488</v>
      </c>
      <c r="E1575" s="4" t="s">
        <v>106</v>
      </c>
      <c r="F1575" s="2" t="str">
        <f t="shared" si="49"/>
        <v>Non-routine manual</v>
      </c>
    </row>
    <row r="1576" spans="1:6" ht="28.5" x14ac:dyDescent="0.4">
      <c r="A1576" s="3">
        <v>6130</v>
      </c>
      <c r="B1576" s="3" t="str">
        <f t="shared" si="48"/>
        <v>6</v>
      </c>
      <c r="C1576" s="4" t="s">
        <v>485</v>
      </c>
      <c r="D1576" s="8" t="s">
        <v>2350</v>
      </c>
      <c r="E1576" s="4" t="s">
        <v>106</v>
      </c>
      <c r="F1576" s="2" t="str">
        <f t="shared" si="49"/>
        <v>Non-routine manual</v>
      </c>
    </row>
    <row r="1577" spans="1:6" ht="28.5" x14ac:dyDescent="0.4">
      <c r="A1577" s="3">
        <v>6130</v>
      </c>
      <c r="B1577" s="3" t="str">
        <f t="shared" si="48"/>
        <v>6</v>
      </c>
      <c r="C1577" s="4" t="s">
        <v>485</v>
      </c>
      <c r="D1577" s="5" t="s">
        <v>2351</v>
      </c>
      <c r="E1577" s="4" t="s">
        <v>106</v>
      </c>
      <c r="F1577" s="2" t="str">
        <f t="shared" si="49"/>
        <v>Non-routine manual</v>
      </c>
    </row>
    <row r="1578" spans="1:6" ht="28.5" x14ac:dyDescent="0.4">
      <c r="A1578" s="3">
        <v>6130</v>
      </c>
      <c r="B1578" s="3" t="str">
        <f t="shared" si="48"/>
        <v>6</v>
      </c>
      <c r="C1578" s="4" t="s">
        <v>485</v>
      </c>
      <c r="D1578" s="6" t="s">
        <v>467</v>
      </c>
      <c r="E1578" s="4" t="s">
        <v>106</v>
      </c>
      <c r="F1578" s="2" t="str">
        <f t="shared" si="49"/>
        <v>Non-routine manual</v>
      </c>
    </row>
    <row r="1579" spans="1:6" ht="42.75" x14ac:dyDescent="0.4">
      <c r="A1579" s="3">
        <v>6130</v>
      </c>
      <c r="B1579" s="3" t="str">
        <f t="shared" si="48"/>
        <v>6</v>
      </c>
      <c r="C1579" s="4" t="s">
        <v>485</v>
      </c>
      <c r="D1579" s="5" t="s">
        <v>2352</v>
      </c>
      <c r="E1579" s="4" t="s">
        <v>3</v>
      </c>
      <c r="F1579" s="2" t="str">
        <f t="shared" si="49"/>
        <v>Non-routine cognitive</v>
      </c>
    </row>
    <row r="1580" spans="1:6" ht="42.75" x14ac:dyDescent="0.4">
      <c r="A1580" s="3">
        <v>6130</v>
      </c>
      <c r="B1580" s="3" t="str">
        <f t="shared" si="48"/>
        <v>6</v>
      </c>
      <c r="C1580" s="4" t="s">
        <v>485</v>
      </c>
      <c r="D1580" s="5" t="s">
        <v>2353</v>
      </c>
      <c r="E1580" s="4" t="s">
        <v>3</v>
      </c>
      <c r="F1580" s="2" t="str">
        <f t="shared" si="49"/>
        <v>Non-routine cognitive</v>
      </c>
    </row>
    <row r="1581" spans="1:6" x14ac:dyDescent="0.45">
      <c r="A1581" s="3">
        <v>6213</v>
      </c>
      <c r="B1581" s="3" t="str">
        <f t="shared" si="48"/>
        <v>6</v>
      </c>
      <c r="C1581" s="5"/>
      <c r="D1581" s="17"/>
      <c r="E1581" s="4" t="s">
        <v>3652</v>
      </c>
      <c r="F1581" s="2" t="str">
        <f t="shared" si="49"/>
        <v>NA</v>
      </c>
    </row>
    <row r="1582" spans="1:6" x14ac:dyDescent="0.45">
      <c r="A1582" s="3">
        <v>6214</v>
      </c>
      <c r="B1582" s="3" t="str">
        <f t="shared" si="48"/>
        <v>6</v>
      </c>
      <c r="C1582" s="5"/>
      <c r="D1582" s="17"/>
      <c r="E1582" s="4" t="s">
        <v>3652</v>
      </c>
      <c r="F1582" s="2" t="str">
        <f t="shared" si="49"/>
        <v>NA</v>
      </c>
    </row>
    <row r="1583" spans="1:6" ht="42.75" x14ac:dyDescent="0.4">
      <c r="A1583" s="3">
        <v>6221</v>
      </c>
      <c r="B1583" s="3" t="str">
        <f t="shared" si="48"/>
        <v>6</v>
      </c>
      <c r="C1583" s="4" t="s">
        <v>489</v>
      </c>
      <c r="D1583" s="5" t="s">
        <v>2354</v>
      </c>
      <c r="E1583" s="4" t="s">
        <v>106</v>
      </c>
      <c r="F1583" s="2" t="str">
        <f t="shared" si="49"/>
        <v>Non-routine manual</v>
      </c>
    </row>
    <row r="1584" spans="1:6" ht="28.5" x14ac:dyDescent="0.4">
      <c r="A1584" s="3">
        <v>6221</v>
      </c>
      <c r="B1584" s="3" t="str">
        <f t="shared" si="48"/>
        <v>6</v>
      </c>
      <c r="C1584" s="4" t="s">
        <v>489</v>
      </c>
      <c r="D1584" s="5" t="s">
        <v>2355</v>
      </c>
      <c r="E1584" s="4" t="s">
        <v>50</v>
      </c>
      <c r="F1584" s="2" t="str">
        <f t="shared" si="49"/>
        <v>Routine cognitive</v>
      </c>
    </row>
    <row r="1585" spans="1:6" ht="28.5" x14ac:dyDescent="0.4">
      <c r="A1585" s="3">
        <v>6221</v>
      </c>
      <c r="B1585" s="3" t="str">
        <f t="shared" si="48"/>
        <v>6</v>
      </c>
      <c r="C1585" s="4" t="s">
        <v>489</v>
      </c>
      <c r="D1585" s="4" t="s">
        <v>490</v>
      </c>
      <c r="E1585" s="4" t="s">
        <v>3</v>
      </c>
      <c r="F1585" s="2" t="str">
        <f t="shared" si="49"/>
        <v>Non-routine cognitive</v>
      </c>
    </row>
    <row r="1586" spans="1:6" ht="28.5" x14ac:dyDescent="0.4">
      <c r="A1586" s="3">
        <v>6221</v>
      </c>
      <c r="B1586" s="3" t="str">
        <f t="shared" si="48"/>
        <v>6</v>
      </c>
      <c r="C1586" s="4" t="s">
        <v>489</v>
      </c>
      <c r="D1586" s="5" t="s">
        <v>2356</v>
      </c>
      <c r="E1586" s="4" t="s">
        <v>50</v>
      </c>
      <c r="F1586" s="2" t="str">
        <f t="shared" si="49"/>
        <v>Routine cognitive</v>
      </c>
    </row>
    <row r="1587" spans="1:6" ht="42.75" x14ac:dyDescent="0.4">
      <c r="A1587" s="3">
        <v>6221</v>
      </c>
      <c r="B1587" s="3" t="str">
        <f t="shared" si="48"/>
        <v>6</v>
      </c>
      <c r="C1587" s="4" t="s">
        <v>489</v>
      </c>
      <c r="D1587" s="5" t="s">
        <v>2357</v>
      </c>
      <c r="E1587" s="4" t="s">
        <v>50</v>
      </c>
      <c r="F1587" s="2" t="str">
        <f t="shared" si="49"/>
        <v>Routine cognitive</v>
      </c>
    </row>
    <row r="1588" spans="1:6" ht="42.75" x14ac:dyDescent="0.4">
      <c r="A1588" s="3">
        <v>6221</v>
      </c>
      <c r="B1588" s="3" t="str">
        <f t="shared" si="48"/>
        <v>6</v>
      </c>
      <c r="C1588" s="4" t="s">
        <v>489</v>
      </c>
      <c r="D1588" s="5" t="s">
        <v>2358</v>
      </c>
      <c r="E1588" s="4" t="s">
        <v>106</v>
      </c>
      <c r="F1588" s="2" t="str">
        <f t="shared" si="49"/>
        <v>Non-routine manual</v>
      </c>
    </row>
    <row r="1589" spans="1:6" ht="28.5" x14ac:dyDescent="0.4">
      <c r="A1589" s="3">
        <v>6221</v>
      </c>
      <c r="B1589" s="3" t="str">
        <f t="shared" si="48"/>
        <v>6</v>
      </c>
      <c r="C1589" s="4" t="s">
        <v>489</v>
      </c>
      <c r="D1589" s="8" t="s">
        <v>2359</v>
      </c>
      <c r="E1589" s="4" t="s">
        <v>106</v>
      </c>
      <c r="F1589" s="2" t="str">
        <f t="shared" si="49"/>
        <v>Non-routine manual</v>
      </c>
    </row>
    <row r="1590" spans="1:6" x14ac:dyDescent="0.4">
      <c r="A1590" s="3">
        <v>6221</v>
      </c>
      <c r="B1590" s="3" t="str">
        <f t="shared" si="48"/>
        <v>6</v>
      </c>
      <c r="C1590" s="4" t="s">
        <v>489</v>
      </c>
      <c r="D1590" s="14" t="s">
        <v>491</v>
      </c>
      <c r="E1590" s="4" t="s">
        <v>3</v>
      </c>
      <c r="F1590" s="2" t="str">
        <f t="shared" si="49"/>
        <v>Non-routine cognitive</v>
      </c>
    </row>
    <row r="1591" spans="1:6" ht="28.5" x14ac:dyDescent="0.4">
      <c r="A1591" s="3">
        <v>6221</v>
      </c>
      <c r="B1591" s="3" t="str">
        <f t="shared" si="48"/>
        <v>6</v>
      </c>
      <c r="C1591" s="4" t="s">
        <v>489</v>
      </c>
      <c r="D1591" s="5" t="s">
        <v>2360</v>
      </c>
      <c r="E1591" s="4" t="s">
        <v>3</v>
      </c>
      <c r="F1591" s="2" t="str">
        <f t="shared" si="49"/>
        <v>Non-routine cognitive</v>
      </c>
    </row>
    <row r="1592" spans="1:6" ht="28.5" x14ac:dyDescent="0.4">
      <c r="A1592" s="3">
        <v>6221</v>
      </c>
      <c r="B1592" s="3" t="str">
        <f t="shared" si="48"/>
        <v>6</v>
      </c>
      <c r="C1592" s="4" t="s">
        <v>489</v>
      </c>
      <c r="D1592" s="5" t="s">
        <v>2361</v>
      </c>
      <c r="E1592" s="4" t="s">
        <v>3</v>
      </c>
      <c r="F1592" s="2" t="str">
        <f t="shared" si="49"/>
        <v>Non-routine cognitive</v>
      </c>
    </row>
    <row r="1593" spans="1:6" ht="28.5" x14ac:dyDescent="0.4">
      <c r="A1593" s="3">
        <v>6222</v>
      </c>
      <c r="B1593" s="3" t="str">
        <f t="shared" si="48"/>
        <v>6</v>
      </c>
      <c r="C1593" s="5" t="s">
        <v>2362</v>
      </c>
      <c r="D1593" s="10" t="s">
        <v>2363</v>
      </c>
      <c r="E1593" s="4" t="s">
        <v>106</v>
      </c>
      <c r="F1593" s="2" t="str">
        <f t="shared" si="49"/>
        <v>Non-routine manual</v>
      </c>
    </row>
    <row r="1594" spans="1:6" ht="42.75" x14ac:dyDescent="0.4">
      <c r="A1594" s="3">
        <v>6222</v>
      </c>
      <c r="B1594" s="3" t="str">
        <f t="shared" si="48"/>
        <v>6</v>
      </c>
      <c r="C1594" s="4" t="s">
        <v>492</v>
      </c>
      <c r="D1594" s="5" t="s">
        <v>2364</v>
      </c>
      <c r="E1594" s="4" t="s">
        <v>4</v>
      </c>
      <c r="F1594" s="2" t="str">
        <f t="shared" si="49"/>
        <v>Non-routine cognitive</v>
      </c>
    </row>
    <row r="1595" spans="1:6" ht="28.5" x14ac:dyDescent="0.4">
      <c r="A1595" s="3">
        <v>6222</v>
      </c>
      <c r="B1595" s="3" t="str">
        <f t="shared" si="48"/>
        <v>6</v>
      </c>
      <c r="C1595" s="5" t="s">
        <v>2365</v>
      </c>
      <c r="D1595" s="6" t="s">
        <v>493</v>
      </c>
      <c r="E1595" s="4" t="s">
        <v>106</v>
      </c>
      <c r="F1595" s="2" t="str">
        <f t="shared" si="49"/>
        <v>Non-routine manual</v>
      </c>
    </row>
    <row r="1596" spans="1:6" ht="28.5" x14ac:dyDescent="0.4">
      <c r="A1596" s="3">
        <v>6222</v>
      </c>
      <c r="B1596" s="3" t="str">
        <f t="shared" si="48"/>
        <v>6</v>
      </c>
      <c r="C1596" s="4" t="s">
        <v>492</v>
      </c>
      <c r="D1596" s="5" t="s">
        <v>2366</v>
      </c>
      <c r="E1596" s="4" t="s">
        <v>106</v>
      </c>
      <c r="F1596" s="2" t="str">
        <f t="shared" si="49"/>
        <v>Non-routine manual</v>
      </c>
    </row>
    <row r="1597" spans="1:6" ht="28.5" x14ac:dyDescent="0.4">
      <c r="A1597" s="3">
        <v>6222</v>
      </c>
      <c r="B1597" s="3" t="str">
        <f t="shared" si="48"/>
        <v>6</v>
      </c>
      <c r="C1597" s="4" t="s">
        <v>492</v>
      </c>
      <c r="D1597" s="4" t="s">
        <v>494</v>
      </c>
      <c r="E1597" s="4" t="s">
        <v>106</v>
      </c>
      <c r="F1597" s="2" t="str">
        <f t="shared" si="49"/>
        <v>Non-routine manual</v>
      </c>
    </row>
    <row r="1598" spans="1:6" ht="28.5" x14ac:dyDescent="0.4">
      <c r="A1598" s="3">
        <v>6222</v>
      </c>
      <c r="B1598" s="3" t="str">
        <f t="shared" si="48"/>
        <v>6</v>
      </c>
      <c r="C1598" s="5" t="s">
        <v>2362</v>
      </c>
      <c r="D1598" s="5" t="s">
        <v>2367</v>
      </c>
      <c r="E1598" s="4" t="s">
        <v>106</v>
      </c>
      <c r="F1598" s="2" t="str">
        <f t="shared" si="49"/>
        <v>Non-routine manual</v>
      </c>
    </row>
    <row r="1599" spans="1:6" ht="28.5" x14ac:dyDescent="0.4">
      <c r="A1599" s="3">
        <v>6222</v>
      </c>
      <c r="B1599" s="3" t="str">
        <f t="shared" si="48"/>
        <v>6</v>
      </c>
      <c r="C1599" s="4" t="s">
        <v>492</v>
      </c>
      <c r="D1599" s="5" t="s">
        <v>2368</v>
      </c>
      <c r="E1599" s="4" t="s">
        <v>50</v>
      </c>
      <c r="F1599" s="2" t="str">
        <f t="shared" si="49"/>
        <v>Routine cognitive</v>
      </c>
    </row>
    <row r="1600" spans="1:6" ht="28.5" x14ac:dyDescent="0.4">
      <c r="A1600" s="3">
        <v>6222</v>
      </c>
      <c r="B1600" s="3" t="str">
        <f t="shared" si="48"/>
        <v>6</v>
      </c>
      <c r="C1600" s="5" t="s">
        <v>2365</v>
      </c>
      <c r="D1600" s="7" t="s">
        <v>495</v>
      </c>
      <c r="E1600" s="4" t="s">
        <v>50</v>
      </c>
      <c r="F1600" s="2" t="str">
        <f t="shared" si="49"/>
        <v>Routine cognitive</v>
      </c>
    </row>
    <row r="1601" spans="1:6" ht="42.75" x14ac:dyDescent="0.4">
      <c r="A1601" s="3">
        <v>6222</v>
      </c>
      <c r="B1601" s="3" t="str">
        <f t="shared" si="48"/>
        <v>6</v>
      </c>
      <c r="C1601" s="4" t="s">
        <v>492</v>
      </c>
      <c r="D1601" s="6" t="s">
        <v>496</v>
      </c>
      <c r="E1601" s="4" t="s">
        <v>106</v>
      </c>
      <c r="F1601" s="2" t="str">
        <f t="shared" si="49"/>
        <v>Non-routine manual</v>
      </c>
    </row>
    <row r="1602" spans="1:6" ht="28.5" x14ac:dyDescent="0.4">
      <c r="A1602" s="3">
        <v>6222</v>
      </c>
      <c r="B1602" s="3" t="str">
        <f t="shared" si="48"/>
        <v>6</v>
      </c>
      <c r="C1602" s="5" t="s">
        <v>2365</v>
      </c>
      <c r="D1602" s="5" t="s">
        <v>2369</v>
      </c>
      <c r="E1602" s="4" t="s">
        <v>3</v>
      </c>
      <c r="F1602" s="2" t="str">
        <f t="shared" si="49"/>
        <v>Non-routine cognitive</v>
      </c>
    </row>
    <row r="1603" spans="1:6" x14ac:dyDescent="0.45">
      <c r="A1603" s="3">
        <v>6225</v>
      </c>
      <c r="B1603" s="3" t="str">
        <f t="shared" ref="B1603:B1666" si="50">LEFT(A1603,1)</f>
        <v>6</v>
      </c>
      <c r="C1603" s="5"/>
      <c r="D1603" s="17"/>
      <c r="E1603" s="4" t="s">
        <v>3652</v>
      </c>
      <c r="F1603" s="2" t="str">
        <f t="shared" ref="F1603:F1666" si="51">IF(E1603="Non-routine interpersonal","Non-routine cognitive",IF(E1603="Non-routine analytical","Non-routine cognitive",IF(E1603="Non-routine manual physical","Non-routine manual",E1603)))</f>
        <v>NA</v>
      </c>
    </row>
    <row r="1604" spans="1:6" x14ac:dyDescent="0.45">
      <c r="A1604" s="3">
        <v>6226</v>
      </c>
      <c r="B1604" s="3" t="str">
        <f t="shared" si="50"/>
        <v>6</v>
      </c>
      <c r="C1604" s="5"/>
      <c r="D1604" s="17"/>
      <c r="E1604" s="4" t="s">
        <v>3652</v>
      </c>
      <c r="F1604" s="2" t="str">
        <f t="shared" si="51"/>
        <v>NA</v>
      </c>
    </row>
    <row r="1605" spans="1:6" ht="28.5" x14ac:dyDescent="0.4">
      <c r="A1605" s="3">
        <v>6330</v>
      </c>
      <c r="B1605" s="3" t="str">
        <f t="shared" si="50"/>
        <v>6</v>
      </c>
      <c r="C1605" s="4" t="s">
        <v>497</v>
      </c>
      <c r="D1605" s="6" t="s">
        <v>498</v>
      </c>
      <c r="E1605" s="4" t="s">
        <v>106</v>
      </c>
      <c r="F1605" s="2" t="str">
        <f t="shared" si="51"/>
        <v>Non-routine manual</v>
      </c>
    </row>
    <row r="1606" spans="1:6" ht="28.5" x14ac:dyDescent="0.4">
      <c r="A1606" s="3">
        <v>6330</v>
      </c>
      <c r="B1606" s="3" t="str">
        <f t="shared" si="50"/>
        <v>6</v>
      </c>
      <c r="C1606" s="4" t="s">
        <v>497</v>
      </c>
      <c r="D1606" s="4" t="s">
        <v>499</v>
      </c>
      <c r="E1606" s="4" t="s">
        <v>106</v>
      </c>
      <c r="F1606" s="2" t="str">
        <f t="shared" si="51"/>
        <v>Non-routine manual</v>
      </c>
    </row>
    <row r="1607" spans="1:6" ht="28.5" x14ac:dyDescent="0.4">
      <c r="A1607" s="3">
        <v>6330</v>
      </c>
      <c r="B1607" s="3" t="str">
        <f t="shared" si="50"/>
        <v>6</v>
      </c>
      <c r="C1607" s="4" t="s">
        <v>497</v>
      </c>
      <c r="D1607" s="7" t="s">
        <v>500</v>
      </c>
      <c r="E1607" s="4" t="s">
        <v>106</v>
      </c>
      <c r="F1607" s="2" t="str">
        <f t="shared" si="51"/>
        <v>Non-routine manual</v>
      </c>
    </row>
    <row r="1608" spans="1:6" ht="57" x14ac:dyDescent="0.4">
      <c r="A1608" s="3">
        <v>6330</v>
      </c>
      <c r="B1608" s="3" t="str">
        <f t="shared" si="50"/>
        <v>6</v>
      </c>
      <c r="C1608" s="4" t="s">
        <v>497</v>
      </c>
      <c r="D1608" s="5" t="s">
        <v>2370</v>
      </c>
      <c r="E1608" s="4" t="s">
        <v>106</v>
      </c>
      <c r="F1608" s="2" t="str">
        <f t="shared" si="51"/>
        <v>Non-routine manual</v>
      </c>
    </row>
    <row r="1609" spans="1:6" ht="28.5" x14ac:dyDescent="0.4">
      <c r="A1609" s="3">
        <v>6330</v>
      </c>
      <c r="B1609" s="3" t="str">
        <f t="shared" si="50"/>
        <v>6</v>
      </c>
      <c r="C1609" s="4" t="s">
        <v>497</v>
      </c>
      <c r="D1609" s="14" t="s">
        <v>501</v>
      </c>
      <c r="E1609" s="4" t="s">
        <v>106</v>
      </c>
      <c r="F1609" s="2" t="str">
        <f t="shared" si="51"/>
        <v>Non-routine manual</v>
      </c>
    </row>
    <row r="1610" spans="1:6" ht="28.5" x14ac:dyDescent="0.4">
      <c r="A1610" s="3">
        <v>6330</v>
      </c>
      <c r="B1610" s="3" t="str">
        <f t="shared" si="50"/>
        <v>6</v>
      </c>
      <c r="C1610" s="4" t="s">
        <v>497</v>
      </c>
      <c r="D1610" s="8" t="s">
        <v>2371</v>
      </c>
      <c r="E1610" s="4" t="s">
        <v>106</v>
      </c>
      <c r="F1610" s="2" t="str">
        <f t="shared" si="51"/>
        <v>Non-routine manual</v>
      </c>
    </row>
    <row r="1611" spans="1:6" ht="28.5" x14ac:dyDescent="0.4">
      <c r="A1611" s="3">
        <v>6330</v>
      </c>
      <c r="B1611" s="3" t="str">
        <f t="shared" si="50"/>
        <v>6</v>
      </c>
      <c r="C1611" s="4" t="s">
        <v>497</v>
      </c>
      <c r="D1611" s="6" t="s">
        <v>502</v>
      </c>
      <c r="E1611" s="4" t="s">
        <v>106</v>
      </c>
      <c r="F1611" s="2" t="str">
        <f t="shared" si="51"/>
        <v>Non-routine manual</v>
      </c>
    </row>
    <row r="1612" spans="1:6" ht="28.5" x14ac:dyDescent="0.4">
      <c r="A1612" s="3">
        <v>6330</v>
      </c>
      <c r="B1612" s="3" t="str">
        <f t="shared" si="50"/>
        <v>6</v>
      </c>
      <c r="C1612" s="4" t="s">
        <v>497</v>
      </c>
      <c r="D1612" s="8" t="s">
        <v>2372</v>
      </c>
      <c r="E1612" s="4" t="s">
        <v>106</v>
      </c>
      <c r="F1612" s="2" t="str">
        <f t="shared" si="51"/>
        <v>Non-routine manual</v>
      </c>
    </row>
    <row r="1613" spans="1:6" ht="28.5" x14ac:dyDescent="0.4">
      <c r="A1613" s="3">
        <v>6330</v>
      </c>
      <c r="B1613" s="3" t="str">
        <f t="shared" si="50"/>
        <v>6</v>
      </c>
      <c r="C1613" s="4" t="s">
        <v>497</v>
      </c>
      <c r="D1613" s="6" t="s">
        <v>503</v>
      </c>
      <c r="E1613" s="4" t="s">
        <v>50</v>
      </c>
      <c r="F1613" s="2" t="str">
        <f t="shared" si="51"/>
        <v>Routine cognitive</v>
      </c>
    </row>
    <row r="1614" spans="1:6" ht="57" x14ac:dyDescent="0.4">
      <c r="A1614" s="3">
        <v>7112</v>
      </c>
      <c r="B1614" s="3" t="str">
        <f t="shared" si="50"/>
        <v>7</v>
      </c>
      <c r="C1614" s="4" t="s">
        <v>504</v>
      </c>
      <c r="D1614" s="5" t="s">
        <v>2373</v>
      </c>
      <c r="E1614" s="4" t="s">
        <v>106</v>
      </c>
      <c r="F1614" s="2" t="str">
        <f t="shared" si="51"/>
        <v>Non-routine manual</v>
      </c>
    </row>
    <row r="1615" spans="1:6" x14ac:dyDescent="0.4">
      <c r="A1615" s="3">
        <v>7112</v>
      </c>
      <c r="B1615" s="3" t="str">
        <f t="shared" si="50"/>
        <v>7</v>
      </c>
      <c r="C1615" s="4" t="s">
        <v>504</v>
      </c>
      <c r="D1615" s="7" t="s">
        <v>505</v>
      </c>
      <c r="E1615" s="4" t="s">
        <v>182</v>
      </c>
      <c r="F1615" s="2" t="str">
        <f t="shared" si="51"/>
        <v>Routine manual</v>
      </c>
    </row>
    <row r="1616" spans="1:6" ht="28.5" x14ac:dyDescent="0.4">
      <c r="A1616" s="3">
        <v>7112</v>
      </c>
      <c r="B1616" s="3" t="str">
        <f t="shared" si="50"/>
        <v>7</v>
      </c>
      <c r="C1616" s="4" t="s">
        <v>504</v>
      </c>
      <c r="D1616" s="10" t="s">
        <v>2374</v>
      </c>
      <c r="E1616" s="4" t="s">
        <v>182</v>
      </c>
      <c r="F1616" s="2" t="str">
        <f t="shared" si="51"/>
        <v>Routine manual</v>
      </c>
    </row>
    <row r="1617" spans="1:6" ht="28.5" x14ac:dyDescent="0.4">
      <c r="A1617" s="3">
        <v>7113</v>
      </c>
      <c r="B1617" s="3" t="str">
        <f t="shared" si="50"/>
        <v>7</v>
      </c>
      <c r="C1617" s="4" t="s">
        <v>506</v>
      </c>
      <c r="D1617" s="4" t="s">
        <v>507</v>
      </c>
      <c r="E1617" s="4" t="s">
        <v>106</v>
      </c>
      <c r="F1617" s="2" t="str">
        <f t="shared" si="51"/>
        <v>Non-routine manual</v>
      </c>
    </row>
    <row r="1618" spans="1:6" ht="28.5" x14ac:dyDescent="0.4">
      <c r="A1618" s="3">
        <v>7113</v>
      </c>
      <c r="B1618" s="3" t="str">
        <f t="shared" si="50"/>
        <v>7</v>
      </c>
      <c r="C1618" s="4" t="s">
        <v>506</v>
      </c>
      <c r="D1618" s="4" t="s">
        <v>508</v>
      </c>
      <c r="E1618" s="4" t="s">
        <v>50</v>
      </c>
      <c r="F1618" s="2" t="str">
        <f t="shared" si="51"/>
        <v>Routine cognitive</v>
      </c>
    </row>
    <row r="1619" spans="1:6" ht="42.75" x14ac:dyDescent="0.4">
      <c r="A1619" s="3">
        <v>7113</v>
      </c>
      <c r="B1619" s="3" t="str">
        <f t="shared" si="50"/>
        <v>7</v>
      </c>
      <c r="C1619" s="4" t="s">
        <v>506</v>
      </c>
      <c r="D1619" s="5" t="s">
        <v>2375</v>
      </c>
      <c r="E1619" s="4" t="s">
        <v>106</v>
      </c>
      <c r="F1619" s="2" t="str">
        <f t="shared" si="51"/>
        <v>Non-routine manual</v>
      </c>
    </row>
    <row r="1620" spans="1:6" ht="42.75" x14ac:dyDescent="0.4">
      <c r="A1620" s="3">
        <v>7113</v>
      </c>
      <c r="B1620" s="3" t="str">
        <f t="shared" si="50"/>
        <v>7</v>
      </c>
      <c r="C1620" s="4" t="s">
        <v>506</v>
      </c>
      <c r="D1620" s="5" t="s">
        <v>2376</v>
      </c>
      <c r="E1620" s="4" t="s">
        <v>106</v>
      </c>
      <c r="F1620" s="2" t="str">
        <f t="shared" si="51"/>
        <v>Non-routine manual</v>
      </c>
    </row>
    <row r="1621" spans="1:6" ht="28.5" x14ac:dyDescent="0.4">
      <c r="A1621" s="3">
        <v>7113</v>
      </c>
      <c r="B1621" s="3" t="str">
        <f t="shared" si="50"/>
        <v>7</v>
      </c>
      <c r="C1621" s="4" t="s">
        <v>506</v>
      </c>
      <c r="D1621" s="4" t="s">
        <v>509</v>
      </c>
      <c r="E1621" s="4" t="s">
        <v>106</v>
      </c>
      <c r="F1621" s="2" t="str">
        <f t="shared" si="51"/>
        <v>Non-routine manual</v>
      </c>
    </row>
    <row r="1622" spans="1:6" ht="28.5" x14ac:dyDescent="0.4">
      <c r="A1622" s="3">
        <v>7113</v>
      </c>
      <c r="B1622" s="3" t="str">
        <f t="shared" si="50"/>
        <v>7</v>
      </c>
      <c r="C1622" s="4" t="s">
        <v>506</v>
      </c>
      <c r="D1622" s="6" t="s">
        <v>510</v>
      </c>
      <c r="E1622" s="4" t="s">
        <v>106</v>
      </c>
      <c r="F1622" s="2" t="str">
        <f t="shared" si="51"/>
        <v>Non-routine manual</v>
      </c>
    </row>
    <row r="1623" spans="1:6" ht="28.5" x14ac:dyDescent="0.4">
      <c r="A1623" s="3">
        <v>7113</v>
      </c>
      <c r="B1623" s="3" t="str">
        <f t="shared" si="50"/>
        <v>7</v>
      </c>
      <c r="C1623" s="4" t="s">
        <v>506</v>
      </c>
      <c r="D1623" s="4" t="s">
        <v>511</v>
      </c>
      <c r="E1623" s="4" t="s">
        <v>106</v>
      </c>
      <c r="F1623" s="2" t="str">
        <f t="shared" si="51"/>
        <v>Non-routine manual</v>
      </c>
    </row>
    <row r="1624" spans="1:6" ht="42.75" x14ac:dyDescent="0.4">
      <c r="A1624" s="3">
        <v>7115</v>
      </c>
      <c r="B1624" s="3" t="str">
        <f t="shared" si="50"/>
        <v>7</v>
      </c>
      <c r="C1624" s="4" t="s">
        <v>512</v>
      </c>
      <c r="D1624" s="5" t="s">
        <v>2377</v>
      </c>
      <c r="E1624" s="4" t="s">
        <v>106</v>
      </c>
      <c r="F1624" s="2" t="str">
        <f t="shared" si="51"/>
        <v>Non-routine manual</v>
      </c>
    </row>
    <row r="1625" spans="1:6" ht="42.75" x14ac:dyDescent="0.4">
      <c r="A1625" s="3">
        <v>7115</v>
      </c>
      <c r="B1625" s="3" t="str">
        <f t="shared" si="50"/>
        <v>7</v>
      </c>
      <c r="C1625" s="4" t="s">
        <v>512</v>
      </c>
      <c r="D1625" s="5" t="s">
        <v>2378</v>
      </c>
      <c r="E1625" s="4" t="s">
        <v>106</v>
      </c>
      <c r="F1625" s="2" t="str">
        <f t="shared" si="51"/>
        <v>Non-routine manual</v>
      </c>
    </row>
    <row r="1626" spans="1:6" ht="42.75" x14ac:dyDescent="0.4">
      <c r="A1626" s="3">
        <v>7115</v>
      </c>
      <c r="B1626" s="3" t="str">
        <f t="shared" si="50"/>
        <v>7</v>
      </c>
      <c r="C1626" s="4" t="s">
        <v>512</v>
      </c>
      <c r="D1626" s="5" t="s">
        <v>2379</v>
      </c>
      <c r="E1626" s="4" t="s">
        <v>106</v>
      </c>
      <c r="F1626" s="2" t="str">
        <f t="shared" si="51"/>
        <v>Non-routine manual</v>
      </c>
    </row>
    <row r="1627" spans="1:6" ht="42.75" x14ac:dyDescent="0.4">
      <c r="A1627" s="3">
        <v>7115</v>
      </c>
      <c r="B1627" s="3" t="str">
        <f t="shared" si="50"/>
        <v>7</v>
      </c>
      <c r="C1627" s="4" t="s">
        <v>512</v>
      </c>
      <c r="D1627" s="5" t="s">
        <v>2380</v>
      </c>
      <c r="E1627" s="4" t="s">
        <v>106</v>
      </c>
      <c r="F1627" s="2" t="str">
        <f t="shared" si="51"/>
        <v>Non-routine manual</v>
      </c>
    </row>
    <row r="1628" spans="1:6" ht="42.75" x14ac:dyDescent="0.4">
      <c r="A1628" s="3">
        <v>7115</v>
      </c>
      <c r="B1628" s="3" t="str">
        <f t="shared" si="50"/>
        <v>7</v>
      </c>
      <c r="C1628" s="4" t="s">
        <v>512</v>
      </c>
      <c r="D1628" s="5" t="s">
        <v>2381</v>
      </c>
      <c r="E1628" s="4" t="s">
        <v>106</v>
      </c>
      <c r="F1628" s="2" t="str">
        <f t="shared" si="51"/>
        <v>Non-routine manual</v>
      </c>
    </row>
    <row r="1629" spans="1:6" ht="42.75" x14ac:dyDescent="0.4">
      <c r="A1629" s="3">
        <v>7119</v>
      </c>
      <c r="B1629" s="3" t="str">
        <f t="shared" si="50"/>
        <v>7</v>
      </c>
      <c r="C1629" s="4" t="s">
        <v>513</v>
      </c>
      <c r="D1629" s="8" t="s">
        <v>2382</v>
      </c>
      <c r="E1629" s="4" t="s">
        <v>106</v>
      </c>
      <c r="F1629" s="2" t="str">
        <f t="shared" si="51"/>
        <v>Non-routine manual</v>
      </c>
    </row>
    <row r="1630" spans="1:6" ht="28.5" x14ac:dyDescent="0.4">
      <c r="A1630" s="3">
        <v>7119</v>
      </c>
      <c r="B1630" s="3" t="str">
        <f t="shared" si="50"/>
        <v>7</v>
      </c>
      <c r="C1630" s="4" t="s">
        <v>513</v>
      </c>
      <c r="D1630" s="8" t="s">
        <v>2383</v>
      </c>
      <c r="E1630" s="4" t="s">
        <v>106</v>
      </c>
      <c r="F1630" s="2" t="str">
        <f t="shared" si="51"/>
        <v>Non-routine manual</v>
      </c>
    </row>
    <row r="1631" spans="1:6" ht="28.5" x14ac:dyDescent="0.4">
      <c r="A1631" s="3">
        <v>7119</v>
      </c>
      <c r="B1631" s="3" t="str">
        <f t="shared" si="50"/>
        <v>7</v>
      </c>
      <c r="C1631" s="4" t="s">
        <v>513</v>
      </c>
      <c r="D1631" s="6" t="s">
        <v>514</v>
      </c>
      <c r="E1631" s="4" t="s">
        <v>182</v>
      </c>
      <c r="F1631" s="2" t="str">
        <f t="shared" si="51"/>
        <v>Routine manual</v>
      </c>
    </row>
    <row r="1632" spans="1:6" ht="28.5" x14ac:dyDescent="0.4">
      <c r="A1632" s="3">
        <v>7121</v>
      </c>
      <c r="B1632" s="3" t="str">
        <f t="shared" si="50"/>
        <v>7</v>
      </c>
      <c r="C1632" s="4" t="s">
        <v>515</v>
      </c>
      <c r="D1632" s="4" t="s">
        <v>3666</v>
      </c>
      <c r="E1632" s="4" t="s">
        <v>4</v>
      </c>
      <c r="F1632" s="2" t="str">
        <f t="shared" si="51"/>
        <v>Non-routine cognitive</v>
      </c>
    </row>
    <row r="1633" spans="1:6" ht="28.5" x14ac:dyDescent="0.4">
      <c r="A1633" s="3">
        <v>7121</v>
      </c>
      <c r="B1633" s="3" t="str">
        <f t="shared" si="50"/>
        <v>7</v>
      </c>
      <c r="C1633" s="4" t="s">
        <v>515</v>
      </c>
      <c r="D1633" s="8" t="s">
        <v>2384</v>
      </c>
      <c r="E1633" s="4" t="s">
        <v>106</v>
      </c>
      <c r="F1633" s="2" t="str">
        <f t="shared" si="51"/>
        <v>Non-routine manual</v>
      </c>
    </row>
    <row r="1634" spans="1:6" ht="28.5" x14ac:dyDescent="0.4">
      <c r="A1634" s="3">
        <v>7121</v>
      </c>
      <c r="B1634" s="3" t="str">
        <f t="shared" si="50"/>
        <v>7</v>
      </c>
      <c r="C1634" s="4" t="s">
        <v>515</v>
      </c>
      <c r="D1634" s="8" t="s">
        <v>2385</v>
      </c>
      <c r="E1634" s="4" t="s">
        <v>106</v>
      </c>
      <c r="F1634" s="2" t="str">
        <f t="shared" si="51"/>
        <v>Non-routine manual</v>
      </c>
    </row>
    <row r="1635" spans="1:6" ht="42.75" x14ac:dyDescent="0.4">
      <c r="A1635" s="3">
        <v>7121</v>
      </c>
      <c r="B1635" s="3" t="str">
        <f t="shared" si="50"/>
        <v>7</v>
      </c>
      <c r="C1635" s="4" t="s">
        <v>515</v>
      </c>
      <c r="D1635" s="5" t="s">
        <v>2386</v>
      </c>
      <c r="E1635" s="4" t="s">
        <v>106</v>
      </c>
      <c r="F1635" s="2" t="str">
        <f t="shared" si="51"/>
        <v>Non-routine manual</v>
      </c>
    </row>
    <row r="1636" spans="1:6" ht="28.5" x14ac:dyDescent="0.4">
      <c r="A1636" s="3">
        <v>7121</v>
      </c>
      <c r="B1636" s="3" t="str">
        <f t="shared" si="50"/>
        <v>7</v>
      </c>
      <c r="C1636" s="4" t="s">
        <v>515</v>
      </c>
      <c r="D1636" s="8" t="s">
        <v>2387</v>
      </c>
      <c r="E1636" s="4" t="s">
        <v>106</v>
      </c>
      <c r="F1636" s="2" t="str">
        <f t="shared" si="51"/>
        <v>Non-routine manual</v>
      </c>
    </row>
    <row r="1637" spans="1:6" ht="28.5" x14ac:dyDescent="0.4">
      <c r="A1637" s="3">
        <v>7121</v>
      </c>
      <c r="B1637" s="3" t="str">
        <f t="shared" si="50"/>
        <v>7</v>
      </c>
      <c r="C1637" s="4" t="s">
        <v>515</v>
      </c>
      <c r="D1637" s="8" t="s">
        <v>2388</v>
      </c>
      <c r="E1637" s="4" t="s">
        <v>106</v>
      </c>
      <c r="F1637" s="2" t="str">
        <f t="shared" si="51"/>
        <v>Non-routine manual</v>
      </c>
    </row>
    <row r="1638" spans="1:6" ht="28.5" x14ac:dyDescent="0.4">
      <c r="A1638" s="3">
        <v>7122</v>
      </c>
      <c r="B1638" s="3" t="str">
        <f t="shared" si="50"/>
        <v>7</v>
      </c>
      <c r="C1638" s="4" t="s">
        <v>516</v>
      </c>
      <c r="D1638" s="5" t="s">
        <v>2389</v>
      </c>
      <c r="E1638" s="4" t="s">
        <v>106</v>
      </c>
      <c r="F1638" s="2" t="str">
        <f t="shared" si="51"/>
        <v>Non-routine manual</v>
      </c>
    </row>
    <row r="1639" spans="1:6" ht="42.75" x14ac:dyDescent="0.4">
      <c r="A1639" s="3">
        <v>7122</v>
      </c>
      <c r="B1639" s="3" t="str">
        <f t="shared" si="50"/>
        <v>7</v>
      </c>
      <c r="C1639" s="4" t="s">
        <v>516</v>
      </c>
      <c r="D1639" s="5" t="s">
        <v>2390</v>
      </c>
      <c r="E1639" s="4" t="s">
        <v>182</v>
      </c>
      <c r="F1639" s="2" t="str">
        <f t="shared" si="51"/>
        <v>Routine manual</v>
      </c>
    </row>
    <row r="1640" spans="1:6" ht="42.75" x14ac:dyDescent="0.4">
      <c r="A1640" s="3">
        <v>7122</v>
      </c>
      <c r="B1640" s="3" t="str">
        <f t="shared" si="50"/>
        <v>7</v>
      </c>
      <c r="C1640" s="4" t="s">
        <v>516</v>
      </c>
      <c r="D1640" s="5" t="s">
        <v>2391</v>
      </c>
      <c r="E1640" s="4" t="s">
        <v>106</v>
      </c>
      <c r="F1640" s="2" t="str">
        <f t="shared" si="51"/>
        <v>Non-routine manual</v>
      </c>
    </row>
    <row r="1641" spans="1:6" ht="28.5" x14ac:dyDescent="0.4">
      <c r="A1641" s="3">
        <v>7122</v>
      </c>
      <c r="B1641" s="3" t="str">
        <f t="shared" si="50"/>
        <v>7</v>
      </c>
      <c r="C1641" s="4" t="s">
        <v>516</v>
      </c>
      <c r="D1641" s="5" t="s">
        <v>2392</v>
      </c>
      <c r="E1641" s="4" t="s">
        <v>182</v>
      </c>
      <c r="F1641" s="2" t="str">
        <f t="shared" si="51"/>
        <v>Routine manual</v>
      </c>
    </row>
    <row r="1642" spans="1:6" ht="28.5" x14ac:dyDescent="0.4">
      <c r="A1642" s="3">
        <v>7124</v>
      </c>
      <c r="B1642" s="3" t="str">
        <f t="shared" si="50"/>
        <v>7</v>
      </c>
      <c r="C1642" s="4" t="s">
        <v>517</v>
      </c>
      <c r="D1642" s="6" t="s">
        <v>518</v>
      </c>
      <c r="E1642" s="4" t="s">
        <v>106</v>
      </c>
      <c r="F1642" s="2" t="str">
        <f t="shared" si="51"/>
        <v>Non-routine manual</v>
      </c>
    </row>
    <row r="1643" spans="1:6" ht="42.75" x14ac:dyDescent="0.4">
      <c r="A1643" s="3">
        <v>7124</v>
      </c>
      <c r="B1643" s="3" t="str">
        <f t="shared" si="50"/>
        <v>7</v>
      </c>
      <c r="C1643" s="4" t="s">
        <v>517</v>
      </c>
      <c r="D1643" s="5" t="s">
        <v>2393</v>
      </c>
      <c r="E1643" s="4" t="s">
        <v>182</v>
      </c>
      <c r="F1643" s="2" t="str">
        <f t="shared" si="51"/>
        <v>Routine manual</v>
      </c>
    </row>
    <row r="1644" spans="1:6" ht="42.75" x14ac:dyDescent="0.4">
      <c r="A1644" s="3">
        <v>7124</v>
      </c>
      <c r="B1644" s="3" t="str">
        <f t="shared" si="50"/>
        <v>7</v>
      </c>
      <c r="C1644" s="4" t="s">
        <v>517</v>
      </c>
      <c r="D1644" s="5" t="s">
        <v>2394</v>
      </c>
      <c r="E1644" s="4" t="s">
        <v>182</v>
      </c>
      <c r="F1644" s="2" t="str">
        <f t="shared" si="51"/>
        <v>Routine manual</v>
      </c>
    </row>
    <row r="1645" spans="1:6" ht="28.5" x14ac:dyDescent="0.4">
      <c r="A1645" s="3">
        <v>7124</v>
      </c>
      <c r="B1645" s="3" t="str">
        <f t="shared" si="50"/>
        <v>7</v>
      </c>
      <c r="C1645" s="4" t="s">
        <v>517</v>
      </c>
      <c r="D1645" s="5" t="s">
        <v>2395</v>
      </c>
      <c r="E1645" s="4" t="s">
        <v>50</v>
      </c>
      <c r="F1645" s="2" t="str">
        <f t="shared" si="51"/>
        <v>Routine cognitive</v>
      </c>
    </row>
    <row r="1646" spans="1:6" ht="28.5" x14ac:dyDescent="0.4">
      <c r="A1646" s="3">
        <v>7124</v>
      </c>
      <c r="B1646" s="3" t="str">
        <f t="shared" si="50"/>
        <v>7</v>
      </c>
      <c r="C1646" s="4" t="s">
        <v>517</v>
      </c>
      <c r="D1646" s="5" t="s">
        <v>2396</v>
      </c>
      <c r="E1646" s="4" t="s">
        <v>106</v>
      </c>
      <c r="F1646" s="2" t="str">
        <f t="shared" si="51"/>
        <v>Non-routine manual</v>
      </c>
    </row>
    <row r="1647" spans="1:6" ht="28.5" x14ac:dyDescent="0.4">
      <c r="A1647" s="3">
        <v>7124</v>
      </c>
      <c r="B1647" s="3" t="str">
        <f t="shared" si="50"/>
        <v>7</v>
      </c>
      <c r="C1647" s="4" t="s">
        <v>517</v>
      </c>
      <c r="D1647" s="6" t="s">
        <v>519</v>
      </c>
      <c r="E1647" s="4" t="s">
        <v>106</v>
      </c>
      <c r="F1647" s="2" t="str">
        <f t="shared" si="51"/>
        <v>Non-routine manual</v>
      </c>
    </row>
    <row r="1648" spans="1:6" ht="42.75" x14ac:dyDescent="0.4">
      <c r="A1648" s="3">
        <v>7125</v>
      </c>
      <c r="B1648" s="3" t="str">
        <f t="shared" si="50"/>
        <v>7</v>
      </c>
      <c r="C1648" s="4" t="s">
        <v>520</v>
      </c>
      <c r="D1648" s="5" t="s">
        <v>2397</v>
      </c>
      <c r="E1648" s="4" t="s">
        <v>4</v>
      </c>
      <c r="F1648" s="2" t="str">
        <f t="shared" si="51"/>
        <v>Non-routine cognitive</v>
      </c>
    </row>
    <row r="1649" spans="1:6" ht="42.75" x14ac:dyDescent="0.4">
      <c r="A1649" s="3">
        <v>7125</v>
      </c>
      <c r="B1649" s="3" t="str">
        <f t="shared" si="50"/>
        <v>7</v>
      </c>
      <c r="C1649" s="4" t="s">
        <v>520</v>
      </c>
      <c r="D1649" s="5" t="s">
        <v>2398</v>
      </c>
      <c r="E1649" s="4" t="s">
        <v>106</v>
      </c>
      <c r="F1649" s="2" t="str">
        <f t="shared" si="51"/>
        <v>Non-routine manual</v>
      </c>
    </row>
    <row r="1650" spans="1:6" ht="28.5" x14ac:dyDescent="0.4">
      <c r="A1650" s="3">
        <v>7125</v>
      </c>
      <c r="B1650" s="3" t="str">
        <f t="shared" si="50"/>
        <v>7</v>
      </c>
      <c r="C1650" s="4" t="s">
        <v>520</v>
      </c>
      <c r="D1650" s="10" t="s">
        <v>2399</v>
      </c>
      <c r="E1650" s="4" t="s">
        <v>106</v>
      </c>
      <c r="F1650" s="2" t="str">
        <f t="shared" si="51"/>
        <v>Non-routine manual</v>
      </c>
    </row>
    <row r="1651" spans="1:6" ht="42.75" x14ac:dyDescent="0.4">
      <c r="A1651" s="3">
        <v>7125</v>
      </c>
      <c r="B1651" s="3" t="str">
        <f t="shared" si="50"/>
        <v>7</v>
      </c>
      <c r="C1651" s="4" t="s">
        <v>520</v>
      </c>
      <c r="D1651" s="8" t="s">
        <v>2400</v>
      </c>
      <c r="E1651" s="4" t="s">
        <v>106</v>
      </c>
      <c r="F1651" s="2" t="str">
        <f t="shared" si="51"/>
        <v>Non-routine manual</v>
      </c>
    </row>
    <row r="1652" spans="1:6" ht="42.75" x14ac:dyDescent="0.4">
      <c r="A1652" s="3">
        <v>7126</v>
      </c>
      <c r="B1652" s="3" t="str">
        <f t="shared" si="50"/>
        <v>7</v>
      </c>
      <c r="C1652" s="4" t="s">
        <v>521</v>
      </c>
      <c r="D1652" s="5" t="s">
        <v>2401</v>
      </c>
      <c r="E1652" s="4" t="s">
        <v>4</v>
      </c>
      <c r="F1652" s="2" t="str">
        <f t="shared" si="51"/>
        <v>Non-routine cognitive</v>
      </c>
    </row>
    <row r="1653" spans="1:6" ht="42.75" x14ac:dyDescent="0.4">
      <c r="A1653" s="3">
        <v>7126</v>
      </c>
      <c r="B1653" s="3" t="str">
        <f t="shared" si="50"/>
        <v>7</v>
      </c>
      <c r="C1653" s="4" t="s">
        <v>521</v>
      </c>
      <c r="D1653" s="5" t="s">
        <v>2402</v>
      </c>
      <c r="E1653" s="4" t="s">
        <v>106</v>
      </c>
      <c r="F1653" s="2" t="str">
        <f t="shared" si="51"/>
        <v>Non-routine manual</v>
      </c>
    </row>
    <row r="1654" spans="1:6" ht="42.75" x14ac:dyDescent="0.4">
      <c r="A1654" s="3">
        <v>7126</v>
      </c>
      <c r="B1654" s="3" t="str">
        <f t="shared" si="50"/>
        <v>7</v>
      </c>
      <c r="C1654" s="4" t="s">
        <v>521</v>
      </c>
      <c r="D1654" s="5" t="s">
        <v>2403</v>
      </c>
      <c r="E1654" s="4" t="s">
        <v>106</v>
      </c>
      <c r="F1654" s="2" t="str">
        <f t="shared" si="51"/>
        <v>Non-routine manual</v>
      </c>
    </row>
    <row r="1655" spans="1:6" ht="42.75" x14ac:dyDescent="0.4">
      <c r="A1655" s="3">
        <v>7126</v>
      </c>
      <c r="B1655" s="3" t="str">
        <f t="shared" si="50"/>
        <v>7</v>
      </c>
      <c r="C1655" s="4" t="s">
        <v>521</v>
      </c>
      <c r="D1655" s="8" t="s">
        <v>2404</v>
      </c>
      <c r="E1655" s="4" t="s">
        <v>106</v>
      </c>
      <c r="F1655" s="2" t="str">
        <f t="shared" si="51"/>
        <v>Non-routine manual</v>
      </c>
    </row>
    <row r="1656" spans="1:6" ht="42.75" x14ac:dyDescent="0.4">
      <c r="A1656" s="3">
        <v>7126</v>
      </c>
      <c r="B1656" s="3" t="str">
        <f t="shared" si="50"/>
        <v>7</v>
      </c>
      <c r="C1656" s="4" t="s">
        <v>521</v>
      </c>
      <c r="D1656" s="5" t="s">
        <v>2405</v>
      </c>
      <c r="E1656" s="4" t="s">
        <v>50</v>
      </c>
      <c r="F1656" s="2" t="str">
        <f t="shared" si="51"/>
        <v>Routine cognitive</v>
      </c>
    </row>
    <row r="1657" spans="1:6" ht="28.5" x14ac:dyDescent="0.4">
      <c r="A1657" s="3">
        <v>7127</v>
      </c>
      <c r="B1657" s="3" t="str">
        <f t="shared" si="50"/>
        <v>7</v>
      </c>
      <c r="C1657" s="4" t="s">
        <v>522</v>
      </c>
      <c r="D1657" s="4" t="s">
        <v>523</v>
      </c>
      <c r="E1657" s="4" t="s">
        <v>4</v>
      </c>
      <c r="F1657" s="2" t="str">
        <f t="shared" si="51"/>
        <v>Non-routine cognitive</v>
      </c>
    </row>
    <row r="1658" spans="1:6" ht="57" x14ac:dyDescent="0.4">
      <c r="A1658" s="3">
        <v>7127</v>
      </c>
      <c r="B1658" s="3" t="str">
        <f t="shared" si="50"/>
        <v>7</v>
      </c>
      <c r="C1658" s="4" t="s">
        <v>522</v>
      </c>
      <c r="D1658" s="5" t="s">
        <v>2406</v>
      </c>
      <c r="E1658" s="4" t="s">
        <v>106</v>
      </c>
      <c r="F1658" s="2" t="str">
        <f t="shared" si="51"/>
        <v>Non-routine manual</v>
      </c>
    </row>
    <row r="1659" spans="1:6" ht="28.5" x14ac:dyDescent="0.4">
      <c r="A1659" s="3">
        <v>7127</v>
      </c>
      <c r="B1659" s="3" t="str">
        <f t="shared" si="50"/>
        <v>7</v>
      </c>
      <c r="C1659" s="4" t="s">
        <v>522</v>
      </c>
      <c r="D1659" s="4" t="s">
        <v>524</v>
      </c>
      <c r="E1659" s="4" t="s">
        <v>106</v>
      </c>
      <c r="F1659" s="2" t="str">
        <f t="shared" si="51"/>
        <v>Non-routine manual</v>
      </c>
    </row>
    <row r="1660" spans="1:6" ht="28.5" x14ac:dyDescent="0.4">
      <c r="A1660" s="3">
        <v>7127</v>
      </c>
      <c r="B1660" s="3" t="str">
        <f t="shared" si="50"/>
        <v>7</v>
      </c>
      <c r="C1660" s="4" t="s">
        <v>522</v>
      </c>
      <c r="D1660" s="4" t="s">
        <v>525</v>
      </c>
      <c r="E1660" s="4" t="s">
        <v>50</v>
      </c>
      <c r="F1660" s="2" t="str">
        <f t="shared" si="51"/>
        <v>Routine cognitive</v>
      </c>
    </row>
    <row r="1661" spans="1:6" ht="28.5" x14ac:dyDescent="0.4">
      <c r="A1661" s="3">
        <v>7131</v>
      </c>
      <c r="B1661" s="3" t="str">
        <f t="shared" si="50"/>
        <v>7</v>
      </c>
      <c r="C1661" s="4" t="s">
        <v>526</v>
      </c>
      <c r="D1661" s="4" t="s">
        <v>527</v>
      </c>
      <c r="E1661" s="4" t="s">
        <v>106</v>
      </c>
      <c r="F1661" s="2" t="str">
        <f t="shared" si="51"/>
        <v>Non-routine manual</v>
      </c>
    </row>
    <row r="1662" spans="1:6" ht="28.5" x14ac:dyDescent="0.4">
      <c r="A1662" s="3">
        <v>7131</v>
      </c>
      <c r="B1662" s="3" t="str">
        <f t="shared" si="50"/>
        <v>7</v>
      </c>
      <c r="C1662" s="4" t="s">
        <v>526</v>
      </c>
      <c r="D1662" s="4" t="s">
        <v>528</v>
      </c>
      <c r="E1662" s="4" t="s">
        <v>50</v>
      </c>
      <c r="F1662" s="2" t="str">
        <f t="shared" si="51"/>
        <v>Routine cognitive</v>
      </c>
    </row>
    <row r="1663" spans="1:6" ht="28.5" x14ac:dyDescent="0.4">
      <c r="A1663" s="3">
        <v>7131</v>
      </c>
      <c r="B1663" s="3" t="str">
        <f t="shared" si="50"/>
        <v>7</v>
      </c>
      <c r="C1663" s="4" t="s">
        <v>526</v>
      </c>
      <c r="D1663" s="5" t="s">
        <v>2407</v>
      </c>
      <c r="E1663" s="4" t="s">
        <v>106</v>
      </c>
      <c r="F1663" s="2" t="str">
        <f t="shared" si="51"/>
        <v>Non-routine manual</v>
      </c>
    </row>
    <row r="1664" spans="1:6" ht="28.5" x14ac:dyDescent="0.4">
      <c r="A1664" s="3">
        <v>7131</v>
      </c>
      <c r="B1664" s="3" t="str">
        <f t="shared" si="50"/>
        <v>7</v>
      </c>
      <c r="C1664" s="4" t="s">
        <v>526</v>
      </c>
      <c r="D1664" s="8" t="s">
        <v>2408</v>
      </c>
      <c r="E1664" s="4" t="s">
        <v>50</v>
      </c>
      <c r="F1664" s="2" t="str">
        <f t="shared" si="51"/>
        <v>Routine cognitive</v>
      </c>
    </row>
    <row r="1665" spans="1:6" ht="28.5" x14ac:dyDescent="0.4">
      <c r="A1665" s="3">
        <v>7131</v>
      </c>
      <c r="B1665" s="3" t="str">
        <f t="shared" si="50"/>
        <v>7</v>
      </c>
      <c r="C1665" s="4" t="s">
        <v>526</v>
      </c>
      <c r="D1665" s="5" t="s">
        <v>2409</v>
      </c>
      <c r="E1665" s="4" t="s">
        <v>106</v>
      </c>
      <c r="F1665" s="2" t="str">
        <f t="shared" si="51"/>
        <v>Non-routine manual</v>
      </c>
    </row>
    <row r="1666" spans="1:6" ht="42.75" x14ac:dyDescent="0.4">
      <c r="A1666" s="3">
        <v>7132</v>
      </c>
      <c r="B1666" s="3" t="str">
        <f t="shared" si="50"/>
        <v>7</v>
      </c>
      <c r="C1666" s="4" t="s">
        <v>529</v>
      </c>
      <c r="D1666" s="5" t="s">
        <v>2410</v>
      </c>
      <c r="E1666" s="4" t="s">
        <v>106</v>
      </c>
      <c r="F1666" s="2" t="str">
        <f t="shared" si="51"/>
        <v>Non-routine manual</v>
      </c>
    </row>
    <row r="1667" spans="1:6" ht="28.5" x14ac:dyDescent="0.4">
      <c r="A1667" s="3">
        <v>7132</v>
      </c>
      <c r="B1667" s="3" t="str">
        <f t="shared" ref="B1667:B1730" si="52">LEFT(A1667,1)</f>
        <v>7</v>
      </c>
      <c r="C1667" s="4" t="s">
        <v>529</v>
      </c>
      <c r="D1667" s="5" t="s">
        <v>2411</v>
      </c>
      <c r="E1667" s="4" t="s">
        <v>106</v>
      </c>
      <c r="F1667" s="2" t="str">
        <f t="shared" ref="F1667:F1730" si="53">IF(E1667="Non-routine interpersonal","Non-routine cognitive",IF(E1667="Non-routine analytical","Non-routine cognitive",IF(E1667="Non-routine manual physical","Non-routine manual",E1667)))</f>
        <v>Non-routine manual</v>
      </c>
    </row>
    <row r="1668" spans="1:6" ht="42.75" x14ac:dyDescent="0.4">
      <c r="A1668" s="3">
        <v>7132</v>
      </c>
      <c r="B1668" s="3" t="str">
        <f t="shared" si="52"/>
        <v>7</v>
      </c>
      <c r="C1668" s="4" t="s">
        <v>529</v>
      </c>
      <c r="D1668" s="5" t="s">
        <v>2412</v>
      </c>
      <c r="E1668" s="4" t="s">
        <v>106</v>
      </c>
      <c r="F1668" s="2" t="str">
        <f t="shared" si="53"/>
        <v>Non-routine manual</v>
      </c>
    </row>
    <row r="1669" spans="1:6" ht="42.75" x14ac:dyDescent="0.4">
      <c r="A1669" s="3">
        <v>7211</v>
      </c>
      <c r="B1669" s="3" t="str">
        <f t="shared" si="52"/>
        <v>7</v>
      </c>
      <c r="C1669" s="4" t="s">
        <v>530</v>
      </c>
      <c r="D1669" s="5" t="s">
        <v>2413</v>
      </c>
      <c r="E1669" s="4" t="s">
        <v>106</v>
      </c>
      <c r="F1669" s="2" t="str">
        <f t="shared" si="53"/>
        <v>Non-routine manual</v>
      </c>
    </row>
    <row r="1670" spans="1:6" ht="28.5" x14ac:dyDescent="0.4">
      <c r="A1670" s="3">
        <v>7211</v>
      </c>
      <c r="B1670" s="3" t="str">
        <f t="shared" si="52"/>
        <v>7</v>
      </c>
      <c r="C1670" s="4" t="s">
        <v>530</v>
      </c>
      <c r="D1670" s="6" t="s">
        <v>531</v>
      </c>
      <c r="E1670" s="4" t="s">
        <v>106</v>
      </c>
      <c r="F1670" s="2" t="str">
        <f t="shared" si="53"/>
        <v>Non-routine manual</v>
      </c>
    </row>
    <row r="1671" spans="1:6" ht="28.5" x14ac:dyDescent="0.4">
      <c r="A1671" s="3">
        <v>7211</v>
      </c>
      <c r="B1671" s="3" t="str">
        <f t="shared" si="52"/>
        <v>7</v>
      </c>
      <c r="C1671" s="4" t="s">
        <v>530</v>
      </c>
      <c r="D1671" s="5" t="s">
        <v>2414</v>
      </c>
      <c r="E1671" s="4" t="s">
        <v>106</v>
      </c>
      <c r="F1671" s="2" t="str">
        <f t="shared" si="53"/>
        <v>Non-routine manual</v>
      </c>
    </row>
    <row r="1672" spans="1:6" ht="42.75" x14ac:dyDescent="0.4">
      <c r="A1672" s="3">
        <v>7211</v>
      </c>
      <c r="B1672" s="3" t="str">
        <f t="shared" si="52"/>
        <v>7</v>
      </c>
      <c r="C1672" s="4" t="s">
        <v>530</v>
      </c>
      <c r="D1672" s="5" t="s">
        <v>2415</v>
      </c>
      <c r="E1672" s="4" t="s">
        <v>106</v>
      </c>
      <c r="F1672" s="2" t="str">
        <f t="shared" si="53"/>
        <v>Non-routine manual</v>
      </c>
    </row>
    <row r="1673" spans="1:6" ht="28.5" x14ac:dyDescent="0.4">
      <c r="A1673" s="3">
        <v>7211</v>
      </c>
      <c r="B1673" s="3" t="str">
        <f t="shared" si="52"/>
        <v>7</v>
      </c>
      <c r="C1673" s="4" t="s">
        <v>530</v>
      </c>
      <c r="D1673" s="4" t="s">
        <v>532</v>
      </c>
      <c r="E1673" s="4" t="s">
        <v>106</v>
      </c>
      <c r="F1673" s="2" t="str">
        <f t="shared" si="53"/>
        <v>Non-routine manual</v>
      </c>
    </row>
    <row r="1674" spans="1:6" ht="28.5" x14ac:dyDescent="0.4">
      <c r="A1674" s="3">
        <v>7211</v>
      </c>
      <c r="B1674" s="3" t="str">
        <f t="shared" si="52"/>
        <v>7</v>
      </c>
      <c r="C1674" s="4" t="s">
        <v>530</v>
      </c>
      <c r="D1674" s="6" t="s">
        <v>533</v>
      </c>
      <c r="E1674" s="4" t="s">
        <v>106</v>
      </c>
      <c r="F1674" s="2" t="str">
        <f t="shared" si="53"/>
        <v>Non-routine manual</v>
      </c>
    </row>
    <row r="1675" spans="1:6" ht="28.5" x14ac:dyDescent="0.4">
      <c r="A1675" s="3">
        <v>7211</v>
      </c>
      <c r="B1675" s="3" t="str">
        <f t="shared" si="52"/>
        <v>7</v>
      </c>
      <c r="C1675" s="4" t="s">
        <v>530</v>
      </c>
      <c r="D1675" s="8" t="s">
        <v>2416</v>
      </c>
      <c r="E1675" s="4" t="s">
        <v>106</v>
      </c>
      <c r="F1675" s="2" t="str">
        <f t="shared" si="53"/>
        <v>Non-routine manual</v>
      </c>
    </row>
    <row r="1676" spans="1:6" ht="42.75" x14ac:dyDescent="0.4">
      <c r="A1676" s="3">
        <v>7212</v>
      </c>
      <c r="B1676" s="3" t="str">
        <f t="shared" si="52"/>
        <v>7</v>
      </c>
      <c r="C1676" s="4" t="s">
        <v>534</v>
      </c>
      <c r="D1676" s="5" t="s">
        <v>2417</v>
      </c>
      <c r="E1676" s="4" t="s">
        <v>106</v>
      </c>
      <c r="F1676" s="2" t="str">
        <f t="shared" si="53"/>
        <v>Non-routine manual</v>
      </c>
    </row>
    <row r="1677" spans="1:6" x14ac:dyDescent="0.4">
      <c r="A1677" s="3">
        <v>7212</v>
      </c>
      <c r="B1677" s="3" t="str">
        <f t="shared" si="52"/>
        <v>7</v>
      </c>
      <c r="C1677" s="4" t="s">
        <v>534</v>
      </c>
      <c r="D1677" s="6" t="s">
        <v>535</v>
      </c>
      <c r="E1677" s="4" t="s">
        <v>182</v>
      </c>
      <c r="F1677" s="2" t="str">
        <f t="shared" si="53"/>
        <v>Routine manual</v>
      </c>
    </row>
    <row r="1678" spans="1:6" ht="28.5" x14ac:dyDescent="0.4">
      <c r="A1678" s="3">
        <v>7212</v>
      </c>
      <c r="B1678" s="3" t="str">
        <f t="shared" si="52"/>
        <v>7</v>
      </c>
      <c r="C1678" s="4" t="s">
        <v>534</v>
      </c>
      <c r="D1678" s="8" t="s">
        <v>2418</v>
      </c>
      <c r="E1678" s="4" t="s">
        <v>106</v>
      </c>
      <c r="F1678" s="2" t="str">
        <f t="shared" si="53"/>
        <v>Non-routine manual</v>
      </c>
    </row>
    <row r="1679" spans="1:6" ht="28.5" x14ac:dyDescent="0.4">
      <c r="A1679" s="3">
        <v>7212</v>
      </c>
      <c r="B1679" s="3" t="str">
        <f t="shared" si="52"/>
        <v>7</v>
      </c>
      <c r="C1679" s="4" t="s">
        <v>534</v>
      </c>
      <c r="D1679" s="6" t="s">
        <v>536</v>
      </c>
      <c r="E1679" s="4" t="s">
        <v>106</v>
      </c>
      <c r="F1679" s="2" t="str">
        <f t="shared" si="53"/>
        <v>Non-routine manual</v>
      </c>
    </row>
    <row r="1680" spans="1:6" ht="28.5" x14ac:dyDescent="0.4">
      <c r="A1680" s="3">
        <v>7212</v>
      </c>
      <c r="B1680" s="3" t="str">
        <f t="shared" si="52"/>
        <v>7</v>
      </c>
      <c r="C1680" s="4" t="s">
        <v>534</v>
      </c>
      <c r="D1680" s="6" t="s">
        <v>537</v>
      </c>
      <c r="E1680" s="4" t="s">
        <v>106</v>
      </c>
      <c r="F1680" s="2" t="str">
        <f t="shared" si="53"/>
        <v>Non-routine manual</v>
      </c>
    </row>
    <row r="1681" spans="1:6" ht="28.5" x14ac:dyDescent="0.4">
      <c r="A1681" s="3">
        <v>7212</v>
      </c>
      <c r="B1681" s="3" t="str">
        <f t="shared" si="52"/>
        <v>7</v>
      </c>
      <c r="C1681" s="4" t="s">
        <v>534</v>
      </c>
      <c r="D1681" s="7" t="s">
        <v>538</v>
      </c>
      <c r="E1681" s="4" t="s">
        <v>106</v>
      </c>
      <c r="F1681" s="2" t="str">
        <f t="shared" si="53"/>
        <v>Non-routine manual</v>
      </c>
    </row>
    <row r="1682" spans="1:6" ht="42.75" x14ac:dyDescent="0.4">
      <c r="A1682" s="3">
        <v>7212</v>
      </c>
      <c r="B1682" s="3" t="str">
        <f t="shared" si="52"/>
        <v>7</v>
      </c>
      <c r="C1682" s="4" t="s">
        <v>534</v>
      </c>
      <c r="D1682" s="5" t="s">
        <v>2419</v>
      </c>
      <c r="E1682" s="4" t="s">
        <v>182</v>
      </c>
      <c r="F1682" s="2" t="str">
        <f t="shared" si="53"/>
        <v>Routine manual</v>
      </c>
    </row>
    <row r="1683" spans="1:6" ht="42.75" x14ac:dyDescent="0.4">
      <c r="A1683" s="3">
        <v>7212</v>
      </c>
      <c r="B1683" s="3" t="str">
        <f t="shared" si="52"/>
        <v>7</v>
      </c>
      <c r="C1683" s="4" t="s">
        <v>534</v>
      </c>
      <c r="D1683" s="5" t="s">
        <v>2420</v>
      </c>
      <c r="E1683" s="4" t="s">
        <v>50</v>
      </c>
      <c r="F1683" s="2" t="str">
        <f t="shared" si="53"/>
        <v>Routine cognitive</v>
      </c>
    </row>
    <row r="1684" spans="1:6" ht="28.5" x14ac:dyDescent="0.4">
      <c r="A1684" s="3">
        <v>7213</v>
      </c>
      <c r="B1684" s="3" t="str">
        <f t="shared" si="52"/>
        <v>7</v>
      </c>
      <c r="C1684" s="4" t="s">
        <v>539</v>
      </c>
      <c r="D1684" s="14" t="s">
        <v>540</v>
      </c>
      <c r="E1684" s="4" t="s">
        <v>106</v>
      </c>
      <c r="F1684" s="2" t="str">
        <f t="shared" si="53"/>
        <v>Non-routine manual</v>
      </c>
    </row>
    <row r="1685" spans="1:6" ht="42.75" x14ac:dyDescent="0.4">
      <c r="A1685" s="3">
        <v>7213</v>
      </c>
      <c r="B1685" s="3" t="str">
        <f t="shared" si="52"/>
        <v>7</v>
      </c>
      <c r="C1685" s="4" t="s">
        <v>539</v>
      </c>
      <c r="D1685" s="5" t="s">
        <v>2421</v>
      </c>
      <c r="E1685" s="4" t="s">
        <v>106</v>
      </c>
      <c r="F1685" s="2" t="str">
        <f t="shared" si="53"/>
        <v>Non-routine manual</v>
      </c>
    </row>
    <row r="1686" spans="1:6" ht="28.5" x14ac:dyDescent="0.4">
      <c r="A1686" s="3">
        <v>7213</v>
      </c>
      <c r="B1686" s="3" t="str">
        <f t="shared" si="52"/>
        <v>7</v>
      </c>
      <c r="C1686" s="4" t="s">
        <v>539</v>
      </c>
      <c r="D1686" s="5" t="s">
        <v>2422</v>
      </c>
      <c r="E1686" s="4" t="s">
        <v>106</v>
      </c>
      <c r="F1686" s="2" t="str">
        <f t="shared" si="53"/>
        <v>Non-routine manual</v>
      </c>
    </row>
    <row r="1687" spans="1:6" ht="28.5" x14ac:dyDescent="0.4">
      <c r="A1687" s="3">
        <v>7213</v>
      </c>
      <c r="B1687" s="3" t="str">
        <f t="shared" si="52"/>
        <v>7</v>
      </c>
      <c r="C1687" s="4" t="s">
        <v>539</v>
      </c>
      <c r="D1687" s="5" t="s">
        <v>2423</v>
      </c>
      <c r="E1687" s="4" t="s">
        <v>106</v>
      </c>
      <c r="F1687" s="2" t="str">
        <f t="shared" si="53"/>
        <v>Non-routine manual</v>
      </c>
    </row>
    <row r="1688" spans="1:6" ht="28.5" x14ac:dyDescent="0.4">
      <c r="A1688" s="3">
        <v>7213</v>
      </c>
      <c r="B1688" s="3" t="str">
        <f t="shared" si="52"/>
        <v>7</v>
      </c>
      <c r="C1688" s="4" t="s">
        <v>539</v>
      </c>
      <c r="D1688" s="5" t="s">
        <v>2424</v>
      </c>
      <c r="E1688" s="4" t="s">
        <v>4</v>
      </c>
      <c r="F1688" s="2" t="str">
        <f t="shared" si="53"/>
        <v>Non-routine cognitive</v>
      </c>
    </row>
    <row r="1689" spans="1:6" ht="42.75" x14ac:dyDescent="0.4">
      <c r="A1689" s="3">
        <v>7213</v>
      </c>
      <c r="B1689" s="3" t="str">
        <f t="shared" si="52"/>
        <v>7</v>
      </c>
      <c r="C1689" s="4" t="s">
        <v>539</v>
      </c>
      <c r="D1689" s="5" t="s">
        <v>2425</v>
      </c>
      <c r="E1689" s="4" t="s">
        <v>4</v>
      </c>
      <c r="F1689" s="2" t="str">
        <f t="shared" si="53"/>
        <v>Non-routine cognitive</v>
      </c>
    </row>
    <row r="1690" spans="1:6" ht="28.5" x14ac:dyDescent="0.4">
      <c r="A1690" s="3">
        <v>7213</v>
      </c>
      <c r="B1690" s="3" t="str">
        <f t="shared" si="52"/>
        <v>7</v>
      </c>
      <c r="C1690" s="4" t="s">
        <v>539</v>
      </c>
      <c r="D1690" s="5" t="s">
        <v>2426</v>
      </c>
      <c r="E1690" s="4" t="s">
        <v>50</v>
      </c>
      <c r="F1690" s="2" t="str">
        <f t="shared" si="53"/>
        <v>Routine cognitive</v>
      </c>
    </row>
    <row r="1691" spans="1:6" ht="42.75" x14ac:dyDescent="0.4">
      <c r="A1691" s="3">
        <v>7214</v>
      </c>
      <c r="B1691" s="3" t="str">
        <f t="shared" si="52"/>
        <v>7</v>
      </c>
      <c r="C1691" s="4" t="s">
        <v>541</v>
      </c>
      <c r="D1691" s="5" t="s">
        <v>2427</v>
      </c>
      <c r="E1691" s="4" t="s">
        <v>50</v>
      </c>
      <c r="F1691" s="2" t="str">
        <f t="shared" si="53"/>
        <v>Routine cognitive</v>
      </c>
    </row>
    <row r="1692" spans="1:6" ht="28.5" x14ac:dyDescent="0.4">
      <c r="A1692" s="3">
        <v>7214</v>
      </c>
      <c r="B1692" s="3" t="str">
        <f t="shared" si="52"/>
        <v>7</v>
      </c>
      <c r="C1692" s="5" t="s">
        <v>2428</v>
      </c>
      <c r="D1692" s="6" t="s">
        <v>542</v>
      </c>
      <c r="E1692" s="4" t="s">
        <v>106</v>
      </c>
      <c r="F1692" s="2" t="str">
        <f t="shared" si="53"/>
        <v>Non-routine manual</v>
      </c>
    </row>
    <row r="1693" spans="1:6" ht="28.5" x14ac:dyDescent="0.4">
      <c r="A1693" s="3">
        <v>7214</v>
      </c>
      <c r="B1693" s="3" t="str">
        <f t="shared" si="52"/>
        <v>7</v>
      </c>
      <c r="C1693" s="4" t="s">
        <v>541</v>
      </c>
      <c r="D1693" s="4" t="s">
        <v>543</v>
      </c>
      <c r="E1693" s="4" t="s">
        <v>106</v>
      </c>
      <c r="F1693" s="2" t="str">
        <f t="shared" si="53"/>
        <v>Non-routine manual</v>
      </c>
    </row>
    <row r="1694" spans="1:6" ht="28.5" x14ac:dyDescent="0.4">
      <c r="A1694" s="3">
        <v>7214</v>
      </c>
      <c r="B1694" s="3" t="str">
        <f t="shared" si="52"/>
        <v>7</v>
      </c>
      <c r="C1694" s="5" t="s">
        <v>2428</v>
      </c>
      <c r="D1694" s="10" t="s">
        <v>2429</v>
      </c>
      <c r="E1694" s="4" t="s">
        <v>106</v>
      </c>
      <c r="F1694" s="2" t="str">
        <f t="shared" si="53"/>
        <v>Non-routine manual</v>
      </c>
    </row>
    <row r="1695" spans="1:6" ht="28.5" x14ac:dyDescent="0.4">
      <c r="A1695" s="3">
        <v>7214</v>
      </c>
      <c r="B1695" s="3" t="str">
        <f t="shared" si="52"/>
        <v>7</v>
      </c>
      <c r="C1695" s="4" t="s">
        <v>541</v>
      </c>
      <c r="D1695" s="4" t="s">
        <v>544</v>
      </c>
      <c r="E1695" s="4" t="s">
        <v>106</v>
      </c>
      <c r="F1695" s="2" t="str">
        <f t="shared" si="53"/>
        <v>Non-routine manual</v>
      </c>
    </row>
    <row r="1696" spans="1:6" ht="28.5" x14ac:dyDescent="0.4">
      <c r="A1696" s="3">
        <v>7214</v>
      </c>
      <c r="B1696" s="3" t="str">
        <f t="shared" si="52"/>
        <v>7</v>
      </c>
      <c r="C1696" s="4" t="s">
        <v>541</v>
      </c>
      <c r="D1696" s="4" t="s">
        <v>545</v>
      </c>
      <c r="E1696" s="4" t="s">
        <v>106</v>
      </c>
      <c r="F1696" s="2" t="str">
        <f t="shared" si="53"/>
        <v>Non-routine manual</v>
      </c>
    </row>
    <row r="1697" spans="1:6" ht="42.75" x14ac:dyDescent="0.4">
      <c r="A1697" s="3">
        <v>7215</v>
      </c>
      <c r="B1697" s="3" t="str">
        <f t="shared" si="52"/>
        <v>7</v>
      </c>
      <c r="C1697" s="4" t="s">
        <v>546</v>
      </c>
      <c r="D1697" s="5" t="s">
        <v>2430</v>
      </c>
      <c r="E1697" s="4" t="s">
        <v>50</v>
      </c>
      <c r="F1697" s="2" t="str">
        <f t="shared" si="53"/>
        <v>Routine cognitive</v>
      </c>
    </row>
    <row r="1698" spans="1:6" ht="28.5" x14ac:dyDescent="0.4">
      <c r="A1698" s="3">
        <v>7215</v>
      </c>
      <c r="B1698" s="3" t="str">
        <f t="shared" si="52"/>
        <v>7</v>
      </c>
      <c r="C1698" s="4" t="s">
        <v>546</v>
      </c>
      <c r="D1698" s="5" t="s">
        <v>2431</v>
      </c>
      <c r="E1698" s="4" t="s">
        <v>106</v>
      </c>
      <c r="F1698" s="2" t="str">
        <f t="shared" si="53"/>
        <v>Non-routine manual</v>
      </c>
    </row>
    <row r="1699" spans="1:6" ht="28.5" x14ac:dyDescent="0.4">
      <c r="A1699" s="3">
        <v>7215</v>
      </c>
      <c r="B1699" s="3" t="str">
        <f t="shared" si="52"/>
        <v>7</v>
      </c>
      <c r="C1699" s="4" t="s">
        <v>546</v>
      </c>
      <c r="D1699" s="8" t="s">
        <v>2432</v>
      </c>
      <c r="E1699" s="4" t="s">
        <v>106</v>
      </c>
      <c r="F1699" s="2" t="str">
        <f t="shared" si="53"/>
        <v>Non-routine manual</v>
      </c>
    </row>
    <row r="1700" spans="1:6" ht="42.75" x14ac:dyDescent="0.4">
      <c r="A1700" s="3">
        <v>7215</v>
      </c>
      <c r="B1700" s="3" t="str">
        <f t="shared" si="52"/>
        <v>7</v>
      </c>
      <c r="C1700" s="4" t="s">
        <v>546</v>
      </c>
      <c r="D1700" s="5" t="s">
        <v>2433</v>
      </c>
      <c r="E1700" s="4" t="s">
        <v>106</v>
      </c>
      <c r="F1700" s="2" t="str">
        <f t="shared" si="53"/>
        <v>Non-routine manual</v>
      </c>
    </row>
    <row r="1701" spans="1:6" ht="28.5" x14ac:dyDescent="0.4">
      <c r="A1701" s="3">
        <v>7215</v>
      </c>
      <c r="B1701" s="3" t="str">
        <f t="shared" si="52"/>
        <v>7</v>
      </c>
      <c r="C1701" s="4" t="s">
        <v>546</v>
      </c>
      <c r="D1701" s="8" t="s">
        <v>2434</v>
      </c>
      <c r="E1701" s="4" t="s">
        <v>106</v>
      </c>
      <c r="F1701" s="2" t="str">
        <f t="shared" si="53"/>
        <v>Non-routine manual</v>
      </c>
    </row>
    <row r="1702" spans="1:6" ht="42.75" x14ac:dyDescent="0.4">
      <c r="A1702" s="3">
        <v>7215</v>
      </c>
      <c r="B1702" s="3" t="str">
        <f t="shared" si="52"/>
        <v>7</v>
      </c>
      <c r="C1702" s="4" t="s">
        <v>546</v>
      </c>
      <c r="D1702" s="5" t="s">
        <v>2435</v>
      </c>
      <c r="E1702" s="4" t="s">
        <v>106</v>
      </c>
      <c r="F1702" s="2" t="str">
        <f t="shared" si="53"/>
        <v>Non-routine manual</v>
      </c>
    </row>
    <row r="1703" spans="1:6" ht="57" x14ac:dyDescent="0.4">
      <c r="A1703" s="3">
        <v>7221</v>
      </c>
      <c r="B1703" s="3" t="str">
        <f t="shared" si="52"/>
        <v>7</v>
      </c>
      <c r="C1703" s="4" t="s">
        <v>547</v>
      </c>
      <c r="D1703" s="5" t="s">
        <v>2436</v>
      </c>
      <c r="E1703" s="4" t="s">
        <v>106</v>
      </c>
      <c r="F1703" s="2" t="str">
        <f t="shared" si="53"/>
        <v>Non-routine manual</v>
      </c>
    </row>
    <row r="1704" spans="1:6" ht="28.5" x14ac:dyDescent="0.4">
      <c r="A1704" s="3">
        <v>7221</v>
      </c>
      <c r="B1704" s="3" t="str">
        <f t="shared" si="52"/>
        <v>7</v>
      </c>
      <c r="C1704" s="4" t="s">
        <v>547</v>
      </c>
      <c r="D1704" s="4" t="s">
        <v>548</v>
      </c>
      <c r="E1704" s="4" t="s">
        <v>106</v>
      </c>
      <c r="F1704" s="2" t="str">
        <f t="shared" si="53"/>
        <v>Non-routine manual</v>
      </c>
    </row>
    <row r="1705" spans="1:6" ht="28.5" x14ac:dyDescent="0.4">
      <c r="A1705" s="3">
        <v>7221</v>
      </c>
      <c r="B1705" s="3" t="str">
        <f t="shared" si="52"/>
        <v>7</v>
      </c>
      <c r="C1705" s="4" t="s">
        <v>547</v>
      </c>
      <c r="D1705" s="4" t="s">
        <v>549</v>
      </c>
      <c r="E1705" s="4" t="s">
        <v>182</v>
      </c>
      <c r="F1705" s="2" t="str">
        <f t="shared" si="53"/>
        <v>Routine manual</v>
      </c>
    </row>
    <row r="1706" spans="1:6" ht="28.5" x14ac:dyDescent="0.4">
      <c r="A1706" s="3">
        <v>7221</v>
      </c>
      <c r="B1706" s="3" t="str">
        <f t="shared" si="52"/>
        <v>7</v>
      </c>
      <c r="C1706" s="4" t="s">
        <v>547</v>
      </c>
      <c r="D1706" s="4" t="s">
        <v>550</v>
      </c>
      <c r="E1706" s="4" t="s">
        <v>182</v>
      </c>
      <c r="F1706" s="2" t="str">
        <f t="shared" si="53"/>
        <v>Routine manual</v>
      </c>
    </row>
    <row r="1707" spans="1:6" ht="28.5" x14ac:dyDescent="0.4">
      <c r="A1707" s="3">
        <v>7221</v>
      </c>
      <c r="B1707" s="3" t="str">
        <f t="shared" si="52"/>
        <v>7</v>
      </c>
      <c r="C1707" s="4" t="s">
        <v>547</v>
      </c>
      <c r="D1707" s="20" t="s">
        <v>551</v>
      </c>
      <c r="E1707" s="4" t="s">
        <v>106</v>
      </c>
      <c r="F1707" s="2" t="str">
        <f t="shared" si="53"/>
        <v>Non-routine manual</v>
      </c>
    </row>
    <row r="1708" spans="1:6" ht="42.75" x14ac:dyDescent="0.4">
      <c r="A1708" s="3">
        <v>7221</v>
      </c>
      <c r="B1708" s="3" t="str">
        <f t="shared" si="52"/>
        <v>7</v>
      </c>
      <c r="C1708" s="4" t="s">
        <v>547</v>
      </c>
      <c r="D1708" s="5" t="s">
        <v>2437</v>
      </c>
      <c r="E1708" s="4" t="s">
        <v>50</v>
      </c>
      <c r="F1708" s="2" t="str">
        <f t="shared" si="53"/>
        <v>Routine cognitive</v>
      </c>
    </row>
    <row r="1709" spans="1:6" ht="28.5" x14ac:dyDescent="0.4">
      <c r="A1709" s="3">
        <v>7221</v>
      </c>
      <c r="B1709" s="3" t="str">
        <f t="shared" si="52"/>
        <v>7</v>
      </c>
      <c r="C1709" s="4" t="s">
        <v>547</v>
      </c>
      <c r="D1709" s="4" t="s">
        <v>552</v>
      </c>
      <c r="E1709" s="4" t="s">
        <v>50</v>
      </c>
      <c r="F1709" s="2" t="str">
        <f t="shared" si="53"/>
        <v>Routine cognitive</v>
      </c>
    </row>
    <row r="1710" spans="1:6" ht="28.5" x14ac:dyDescent="0.4">
      <c r="A1710" s="3">
        <v>7222</v>
      </c>
      <c r="B1710" s="3" t="str">
        <f t="shared" si="52"/>
        <v>7</v>
      </c>
      <c r="C1710" s="4" t="s">
        <v>553</v>
      </c>
      <c r="D1710" s="5" t="s">
        <v>2438</v>
      </c>
      <c r="E1710" s="4" t="s">
        <v>4</v>
      </c>
      <c r="F1710" s="2" t="str">
        <f t="shared" si="53"/>
        <v>Non-routine cognitive</v>
      </c>
    </row>
    <row r="1711" spans="1:6" ht="28.5" x14ac:dyDescent="0.4">
      <c r="A1711" s="3">
        <v>7222</v>
      </c>
      <c r="B1711" s="3" t="str">
        <f t="shared" si="52"/>
        <v>7</v>
      </c>
      <c r="C1711" s="4" t="s">
        <v>553</v>
      </c>
      <c r="D1711" s="5" t="s">
        <v>2439</v>
      </c>
      <c r="E1711" s="4" t="s">
        <v>4</v>
      </c>
      <c r="F1711" s="2" t="str">
        <f t="shared" si="53"/>
        <v>Non-routine cognitive</v>
      </c>
    </row>
    <row r="1712" spans="1:6" ht="42.75" x14ac:dyDescent="0.4">
      <c r="A1712" s="3">
        <v>7222</v>
      </c>
      <c r="B1712" s="3" t="str">
        <f t="shared" si="52"/>
        <v>7</v>
      </c>
      <c r="C1712" s="4" t="s">
        <v>553</v>
      </c>
      <c r="D1712" s="5" t="s">
        <v>2440</v>
      </c>
      <c r="E1712" s="4" t="s">
        <v>4</v>
      </c>
      <c r="F1712" s="2" t="str">
        <f t="shared" si="53"/>
        <v>Non-routine cognitive</v>
      </c>
    </row>
    <row r="1713" spans="1:6" ht="28.5" x14ac:dyDescent="0.4">
      <c r="A1713" s="3">
        <v>7222</v>
      </c>
      <c r="B1713" s="3" t="str">
        <f t="shared" si="52"/>
        <v>7</v>
      </c>
      <c r="C1713" s="4" t="s">
        <v>553</v>
      </c>
      <c r="D1713" s="5" t="s">
        <v>2441</v>
      </c>
      <c r="E1713" s="4" t="s">
        <v>50</v>
      </c>
      <c r="F1713" s="2" t="str">
        <f t="shared" si="53"/>
        <v>Routine cognitive</v>
      </c>
    </row>
    <row r="1714" spans="1:6" ht="57" x14ac:dyDescent="0.4">
      <c r="A1714" s="3">
        <v>7222</v>
      </c>
      <c r="B1714" s="3" t="str">
        <f t="shared" si="52"/>
        <v>7</v>
      </c>
      <c r="C1714" s="4" t="s">
        <v>553</v>
      </c>
      <c r="D1714" s="5" t="s">
        <v>2442</v>
      </c>
      <c r="E1714" s="4" t="s">
        <v>182</v>
      </c>
      <c r="F1714" s="2" t="str">
        <f t="shared" si="53"/>
        <v>Routine manual</v>
      </c>
    </row>
    <row r="1715" spans="1:6" ht="28.5" x14ac:dyDescent="0.4">
      <c r="A1715" s="3">
        <v>7222</v>
      </c>
      <c r="B1715" s="3" t="str">
        <f t="shared" si="52"/>
        <v>7</v>
      </c>
      <c r="C1715" s="4" t="s">
        <v>553</v>
      </c>
      <c r="D1715" s="4" t="s">
        <v>554</v>
      </c>
      <c r="E1715" s="4" t="s">
        <v>106</v>
      </c>
      <c r="F1715" s="2" t="str">
        <f t="shared" si="53"/>
        <v>Non-routine manual</v>
      </c>
    </row>
    <row r="1716" spans="1:6" ht="28.5" x14ac:dyDescent="0.4">
      <c r="A1716" s="3">
        <v>7222</v>
      </c>
      <c r="B1716" s="3" t="str">
        <f t="shared" si="52"/>
        <v>7</v>
      </c>
      <c r="C1716" s="4" t="s">
        <v>553</v>
      </c>
      <c r="D1716" s="6" t="s">
        <v>555</v>
      </c>
      <c r="E1716" s="4" t="s">
        <v>106</v>
      </c>
      <c r="F1716" s="2" t="str">
        <f t="shared" si="53"/>
        <v>Non-routine manual</v>
      </c>
    </row>
    <row r="1717" spans="1:6" ht="28.5" x14ac:dyDescent="0.4">
      <c r="A1717" s="3">
        <v>7222</v>
      </c>
      <c r="B1717" s="3" t="str">
        <f t="shared" si="52"/>
        <v>7</v>
      </c>
      <c r="C1717" s="4" t="s">
        <v>553</v>
      </c>
      <c r="D1717" s="4" t="s">
        <v>556</v>
      </c>
      <c r="E1717" s="4" t="s">
        <v>106</v>
      </c>
      <c r="F1717" s="2" t="str">
        <f t="shared" si="53"/>
        <v>Non-routine manual</v>
      </c>
    </row>
    <row r="1718" spans="1:6" ht="28.5" x14ac:dyDescent="0.4">
      <c r="A1718" s="3">
        <v>7222</v>
      </c>
      <c r="B1718" s="3" t="str">
        <f t="shared" si="52"/>
        <v>7</v>
      </c>
      <c r="C1718" s="4" t="s">
        <v>553</v>
      </c>
      <c r="D1718" s="4" t="s">
        <v>557</v>
      </c>
      <c r="E1718" s="4" t="s">
        <v>106</v>
      </c>
      <c r="F1718" s="2" t="str">
        <f t="shared" si="53"/>
        <v>Non-routine manual</v>
      </c>
    </row>
    <row r="1719" spans="1:6" ht="42.75" x14ac:dyDescent="0.4">
      <c r="A1719" s="3">
        <v>7222</v>
      </c>
      <c r="B1719" s="3" t="str">
        <f t="shared" si="52"/>
        <v>7</v>
      </c>
      <c r="C1719" s="4" t="s">
        <v>553</v>
      </c>
      <c r="D1719" s="5" t="s">
        <v>2443</v>
      </c>
      <c r="E1719" s="4" t="s">
        <v>50</v>
      </c>
      <c r="F1719" s="2" t="str">
        <f t="shared" si="53"/>
        <v>Routine cognitive</v>
      </c>
    </row>
    <row r="1720" spans="1:6" ht="42.75" x14ac:dyDescent="0.4">
      <c r="A1720" s="3">
        <v>7222</v>
      </c>
      <c r="B1720" s="3" t="str">
        <f t="shared" si="52"/>
        <v>7</v>
      </c>
      <c r="C1720" s="4" t="s">
        <v>553</v>
      </c>
      <c r="D1720" s="5" t="s">
        <v>2444</v>
      </c>
      <c r="E1720" s="4" t="s">
        <v>50</v>
      </c>
      <c r="F1720" s="2" t="str">
        <f t="shared" si="53"/>
        <v>Routine cognitive</v>
      </c>
    </row>
    <row r="1721" spans="1:6" ht="28.5" x14ac:dyDescent="0.4">
      <c r="A1721" s="3">
        <v>7223</v>
      </c>
      <c r="B1721" s="3" t="str">
        <f t="shared" si="52"/>
        <v>7</v>
      </c>
      <c r="C1721" s="4" t="s">
        <v>558</v>
      </c>
      <c r="D1721" s="4" t="s">
        <v>559</v>
      </c>
      <c r="E1721" s="4" t="s">
        <v>182</v>
      </c>
      <c r="F1721" s="2" t="str">
        <f t="shared" si="53"/>
        <v>Routine manual</v>
      </c>
    </row>
    <row r="1722" spans="1:6" ht="57" x14ac:dyDescent="0.4">
      <c r="A1722" s="3">
        <v>7223</v>
      </c>
      <c r="B1722" s="3" t="str">
        <f t="shared" si="52"/>
        <v>7</v>
      </c>
      <c r="C1722" s="4" t="s">
        <v>558</v>
      </c>
      <c r="D1722" s="5" t="s">
        <v>2445</v>
      </c>
      <c r="E1722" s="4" t="s">
        <v>182</v>
      </c>
      <c r="F1722" s="2" t="str">
        <f t="shared" si="53"/>
        <v>Routine manual</v>
      </c>
    </row>
    <row r="1723" spans="1:6" ht="28.5" x14ac:dyDescent="0.4">
      <c r="A1723" s="3">
        <v>7223</v>
      </c>
      <c r="B1723" s="3" t="str">
        <f t="shared" si="52"/>
        <v>7</v>
      </c>
      <c r="C1723" s="4" t="s">
        <v>558</v>
      </c>
      <c r="D1723" s="4" t="s">
        <v>560</v>
      </c>
      <c r="E1723" s="4" t="s">
        <v>106</v>
      </c>
      <c r="F1723" s="2" t="str">
        <f t="shared" si="53"/>
        <v>Non-routine manual</v>
      </c>
    </row>
    <row r="1724" spans="1:6" ht="42.75" x14ac:dyDescent="0.4">
      <c r="A1724" s="3">
        <v>7223</v>
      </c>
      <c r="B1724" s="3" t="str">
        <f t="shared" si="52"/>
        <v>7</v>
      </c>
      <c r="C1724" s="4" t="s">
        <v>558</v>
      </c>
      <c r="D1724" s="5" t="s">
        <v>2446</v>
      </c>
      <c r="E1724" s="4" t="s">
        <v>50</v>
      </c>
      <c r="F1724" s="2" t="str">
        <f t="shared" si="53"/>
        <v>Routine cognitive</v>
      </c>
    </row>
    <row r="1725" spans="1:6" ht="42.75" x14ac:dyDescent="0.4">
      <c r="A1725" s="3">
        <v>7223</v>
      </c>
      <c r="B1725" s="3" t="str">
        <f t="shared" si="52"/>
        <v>7</v>
      </c>
      <c r="C1725" s="4" t="s">
        <v>558</v>
      </c>
      <c r="D1725" s="5" t="s">
        <v>2447</v>
      </c>
      <c r="E1725" s="4" t="s">
        <v>50</v>
      </c>
      <c r="F1725" s="2" t="str">
        <f t="shared" si="53"/>
        <v>Routine cognitive</v>
      </c>
    </row>
    <row r="1726" spans="1:6" ht="28.5" x14ac:dyDescent="0.4">
      <c r="A1726" s="3">
        <v>7223</v>
      </c>
      <c r="B1726" s="3" t="str">
        <f t="shared" si="52"/>
        <v>7</v>
      </c>
      <c r="C1726" s="4" t="s">
        <v>558</v>
      </c>
      <c r="D1726" s="4" t="s">
        <v>561</v>
      </c>
      <c r="E1726" s="4" t="s">
        <v>106</v>
      </c>
      <c r="F1726" s="2" t="str">
        <f t="shared" si="53"/>
        <v>Non-routine manual</v>
      </c>
    </row>
    <row r="1727" spans="1:6" ht="28.5" x14ac:dyDescent="0.4">
      <c r="A1727" s="3">
        <v>7224</v>
      </c>
      <c r="B1727" s="3" t="str">
        <f t="shared" si="52"/>
        <v>7</v>
      </c>
      <c r="C1727" s="4" t="s">
        <v>562</v>
      </c>
      <c r="D1727" s="8" t="s">
        <v>2448</v>
      </c>
      <c r="E1727" s="4" t="s">
        <v>182</v>
      </c>
      <c r="F1727" s="2" t="str">
        <f t="shared" si="53"/>
        <v>Routine manual</v>
      </c>
    </row>
    <row r="1728" spans="1:6" ht="28.5" x14ac:dyDescent="0.4">
      <c r="A1728" s="3">
        <v>7224</v>
      </c>
      <c r="B1728" s="3" t="str">
        <f t="shared" si="52"/>
        <v>7</v>
      </c>
      <c r="C1728" s="4" t="s">
        <v>562</v>
      </c>
      <c r="D1728" s="5" t="s">
        <v>2449</v>
      </c>
      <c r="E1728" s="4" t="s">
        <v>106</v>
      </c>
      <c r="F1728" s="2" t="str">
        <f t="shared" si="53"/>
        <v>Non-routine manual</v>
      </c>
    </row>
    <row r="1729" spans="1:6" ht="28.5" x14ac:dyDescent="0.4">
      <c r="A1729" s="3">
        <v>7224</v>
      </c>
      <c r="B1729" s="3" t="str">
        <f t="shared" si="52"/>
        <v>7</v>
      </c>
      <c r="C1729" s="4" t="s">
        <v>562</v>
      </c>
      <c r="D1729" s="7" t="s">
        <v>563</v>
      </c>
      <c r="E1729" s="4" t="s">
        <v>106</v>
      </c>
      <c r="F1729" s="2" t="str">
        <f t="shared" si="53"/>
        <v>Non-routine manual</v>
      </c>
    </row>
    <row r="1730" spans="1:6" ht="28.5" x14ac:dyDescent="0.4">
      <c r="A1730" s="3">
        <v>7224</v>
      </c>
      <c r="B1730" s="3" t="str">
        <f t="shared" si="52"/>
        <v>7</v>
      </c>
      <c r="C1730" s="4" t="s">
        <v>562</v>
      </c>
      <c r="D1730" s="6" t="s">
        <v>564</v>
      </c>
      <c r="E1730" s="4" t="s">
        <v>50</v>
      </c>
      <c r="F1730" s="2" t="str">
        <f t="shared" si="53"/>
        <v>Routine cognitive</v>
      </c>
    </row>
    <row r="1731" spans="1:6" ht="42.75" x14ac:dyDescent="0.4">
      <c r="A1731" s="3">
        <v>7224</v>
      </c>
      <c r="B1731" s="3" t="str">
        <f t="shared" ref="B1731:B1794" si="54">LEFT(A1731,1)</f>
        <v>7</v>
      </c>
      <c r="C1731" s="4" t="s">
        <v>562</v>
      </c>
      <c r="D1731" s="5" t="s">
        <v>2450</v>
      </c>
      <c r="E1731" s="4" t="s">
        <v>50</v>
      </c>
      <c r="F1731" s="2" t="str">
        <f t="shared" ref="F1731:F1794" si="55">IF(E1731="Non-routine interpersonal","Non-routine cognitive",IF(E1731="Non-routine analytical","Non-routine cognitive",IF(E1731="Non-routine manual physical","Non-routine manual",E1731)))</f>
        <v>Routine cognitive</v>
      </c>
    </row>
    <row r="1732" spans="1:6" ht="42.75" x14ac:dyDescent="0.4">
      <c r="A1732" s="3">
        <v>7224</v>
      </c>
      <c r="B1732" s="3" t="str">
        <f t="shared" si="54"/>
        <v>7</v>
      </c>
      <c r="C1732" s="4" t="s">
        <v>562</v>
      </c>
      <c r="D1732" s="10" t="s">
        <v>2451</v>
      </c>
      <c r="E1732" s="4" t="s">
        <v>50</v>
      </c>
      <c r="F1732" s="2" t="str">
        <f t="shared" si="55"/>
        <v>Routine cognitive</v>
      </c>
    </row>
    <row r="1733" spans="1:6" ht="42.75" x14ac:dyDescent="0.4">
      <c r="A1733" s="3">
        <v>7224</v>
      </c>
      <c r="B1733" s="3" t="str">
        <f t="shared" si="54"/>
        <v>7</v>
      </c>
      <c r="C1733" s="4" t="s">
        <v>562</v>
      </c>
      <c r="D1733" s="8" t="s">
        <v>2452</v>
      </c>
      <c r="E1733" s="4" t="s">
        <v>50</v>
      </c>
      <c r="F1733" s="2" t="str">
        <f t="shared" si="55"/>
        <v>Routine cognitive</v>
      </c>
    </row>
    <row r="1734" spans="1:6" ht="28.5" x14ac:dyDescent="0.4">
      <c r="A1734" s="3">
        <v>7231</v>
      </c>
      <c r="B1734" s="3" t="str">
        <f t="shared" si="54"/>
        <v>7</v>
      </c>
      <c r="C1734" s="5" t="s">
        <v>2453</v>
      </c>
      <c r="D1734" s="7" t="s">
        <v>565</v>
      </c>
      <c r="E1734" s="4" t="s">
        <v>50</v>
      </c>
      <c r="F1734" s="2" t="str">
        <f t="shared" si="55"/>
        <v>Routine cognitive</v>
      </c>
    </row>
    <row r="1735" spans="1:6" ht="28.5" x14ac:dyDescent="0.4">
      <c r="A1735" s="3">
        <v>7231</v>
      </c>
      <c r="B1735" s="3" t="str">
        <f t="shared" si="54"/>
        <v>7</v>
      </c>
      <c r="C1735" s="5" t="s">
        <v>2453</v>
      </c>
      <c r="D1735" s="5" t="s">
        <v>2454</v>
      </c>
      <c r="E1735" s="4" t="s">
        <v>50</v>
      </c>
      <c r="F1735" s="2" t="str">
        <f t="shared" si="55"/>
        <v>Routine cognitive</v>
      </c>
    </row>
    <row r="1736" spans="1:6" ht="28.5" x14ac:dyDescent="0.4">
      <c r="A1736" s="3">
        <v>7231</v>
      </c>
      <c r="B1736" s="3" t="str">
        <f t="shared" si="54"/>
        <v>7</v>
      </c>
      <c r="C1736" s="5" t="s">
        <v>2453</v>
      </c>
      <c r="D1736" s="6" t="s">
        <v>566</v>
      </c>
      <c r="E1736" s="4" t="s">
        <v>106</v>
      </c>
      <c r="F1736" s="2" t="str">
        <f t="shared" si="55"/>
        <v>Non-routine manual</v>
      </c>
    </row>
    <row r="1737" spans="1:6" ht="42.75" x14ac:dyDescent="0.4">
      <c r="A1737" s="3">
        <v>7231</v>
      </c>
      <c r="B1737" s="3" t="str">
        <f t="shared" si="54"/>
        <v>7</v>
      </c>
      <c r="C1737" s="4" t="s">
        <v>567</v>
      </c>
      <c r="D1737" s="8" t="s">
        <v>2455</v>
      </c>
      <c r="E1737" s="4" t="s">
        <v>106</v>
      </c>
      <c r="F1737" s="2" t="str">
        <f t="shared" si="55"/>
        <v>Non-routine manual</v>
      </c>
    </row>
    <row r="1738" spans="1:6" ht="42.75" x14ac:dyDescent="0.4">
      <c r="A1738" s="3">
        <v>7231</v>
      </c>
      <c r="B1738" s="3" t="str">
        <f t="shared" si="54"/>
        <v>7</v>
      </c>
      <c r="C1738" s="4" t="s">
        <v>567</v>
      </c>
      <c r="D1738" s="5" t="s">
        <v>2456</v>
      </c>
      <c r="E1738" s="4" t="s">
        <v>106</v>
      </c>
      <c r="F1738" s="2" t="str">
        <f t="shared" si="55"/>
        <v>Non-routine manual</v>
      </c>
    </row>
    <row r="1739" spans="1:6" ht="28.5" x14ac:dyDescent="0.4">
      <c r="A1739" s="3">
        <v>7231</v>
      </c>
      <c r="B1739" s="3" t="str">
        <f t="shared" si="54"/>
        <v>7</v>
      </c>
      <c r="C1739" s="4" t="s">
        <v>567</v>
      </c>
      <c r="D1739" s="4" t="s">
        <v>568</v>
      </c>
      <c r="E1739" s="4" t="s">
        <v>106</v>
      </c>
      <c r="F1739" s="2" t="str">
        <f t="shared" si="55"/>
        <v>Non-routine manual</v>
      </c>
    </row>
    <row r="1740" spans="1:6" ht="42.75" x14ac:dyDescent="0.4">
      <c r="A1740" s="3">
        <v>7231</v>
      </c>
      <c r="B1740" s="3" t="str">
        <f t="shared" si="54"/>
        <v>7</v>
      </c>
      <c r="C1740" s="4" t="s">
        <v>567</v>
      </c>
      <c r="D1740" s="5" t="s">
        <v>2457</v>
      </c>
      <c r="E1740" s="4" t="s">
        <v>106</v>
      </c>
      <c r="F1740" s="2" t="str">
        <f t="shared" si="55"/>
        <v>Non-routine manual</v>
      </c>
    </row>
    <row r="1741" spans="1:6" ht="28.5" x14ac:dyDescent="0.4">
      <c r="A1741" s="3">
        <v>7231</v>
      </c>
      <c r="B1741" s="3" t="str">
        <f t="shared" si="54"/>
        <v>7</v>
      </c>
      <c r="C1741" s="4" t="s">
        <v>567</v>
      </c>
      <c r="D1741" s="7" t="s">
        <v>569</v>
      </c>
      <c r="E1741" s="4" t="s">
        <v>106</v>
      </c>
      <c r="F1741" s="2" t="str">
        <f t="shared" si="55"/>
        <v>Non-routine manual</v>
      </c>
    </row>
    <row r="1742" spans="1:6" ht="28.5" x14ac:dyDescent="0.4">
      <c r="A1742" s="3">
        <v>7232</v>
      </c>
      <c r="B1742" s="3" t="str">
        <f t="shared" si="54"/>
        <v>7</v>
      </c>
      <c r="C1742" s="4" t="s">
        <v>570</v>
      </c>
      <c r="D1742" s="6" t="s">
        <v>571</v>
      </c>
      <c r="E1742" s="4" t="s">
        <v>106</v>
      </c>
      <c r="F1742" s="2" t="str">
        <f t="shared" si="55"/>
        <v>Non-routine manual</v>
      </c>
    </row>
    <row r="1743" spans="1:6" ht="28.5" x14ac:dyDescent="0.4">
      <c r="A1743" s="3">
        <v>7232</v>
      </c>
      <c r="B1743" s="3" t="str">
        <f t="shared" si="54"/>
        <v>7</v>
      </c>
      <c r="C1743" s="4" t="s">
        <v>570</v>
      </c>
      <c r="D1743" s="6" t="s">
        <v>566</v>
      </c>
      <c r="E1743" s="4" t="s">
        <v>106</v>
      </c>
      <c r="F1743" s="2" t="str">
        <f t="shared" si="55"/>
        <v>Non-routine manual</v>
      </c>
    </row>
    <row r="1744" spans="1:6" ht="57" x14ac:dyDescent="0.4">
      <c r="A1744" s="3">
        <v>7232</v>
      </c>
      <c r="B1744" s="3" t="str">
        <f t="shared" si="54"/>
        <v>7</v>
      </c>
      <c r="C1744" s="4" t="s">
        <v>570</v>
      </c>
      <c r="D1744" s="5" t="s">
        <v>2458</v>
      </c>
      <c r="E1744" s="4" t="s">
        <v>50</v>
      </c>
      <c r="F1744" s="2" t="str">
        <f t="shared" si="55"/>
        <v>Routine cognitive</v>
      </c>
    </row>
    <row r="1745" spans="1:6" ht="28.5" x14ac:dyDescent="0.4">
      <c r="A1745" s="3">
        <v>7232</v>
      </c>
      <c r="B1745" s="3" t="str">
        <f t="shared" si="54"/>
        <v>7</v>
      </c>
      <c r="C1745" s="4" t="s">
        <v>570</v>
      </c>
      <c r="D1745" s="5" t="s">
        <v>2459</v>
      </c>
      <c r="E1745" s="4" t="s">
        <v>106</v>
      </c>
      <c r="F1745" s="2" t="str">
        <f t="shared" si="55"/>
        <v>Non-routine manual</v>
      </c>
    </row>
    <row r="1746" spans="1:6" ht="42.75" x14ac:dyDescent="0.4">
      <c r="A1746" s="3">
        <v>7232</v>
      </c>
      <c r="B1746" s="3" t="str">
        <f t="shared" si="54"/>
        <v>7</v>
      </c>
      <c r="C1746" s="4" t="s">
        <v>570</v>
      </c>
      <c r="D1746" s="5" t="s">
        <v>2460</v>
      </c>
      <c r="E1746" s="4" t="s">
        <v>4</v>
      </c>
      <c r="F1746" s="2" t="str">
        <f t="shared" si="55"/>
        <v>Non-routine cognitive</v>
      </c>
    </row>
    <row r="1747" spans="1:6" ht="57" x14ac:dyDescent="0.4">
      <c r="A1747" s="3">
        <v>7232</v>
      </c>
      <c r="B1747" s="3" t="str">
        <f t="shared" si="54"/>
        <v>7</v>
      </c>
      <c r="C1747" s="4" t="s">
        <v>570</v>
      </c>
      <c r="D1747" s="5" t="s">
        <v>2461</v>
      </c>
      <c r="E1747" s="4" t="s">
        <v>106</v>
      </c>
      <c r="F1747" s="2" t="str">
        <f t="shared" si="55"/>
        <v>Non-routine manual</v>
      </c>
    </row>
    <row r="1748" spans="1:6" ht="28.5" x14ac:dyDescent="0.4">
      <c r="A1748" s="3">
        <v>7232</v>
      </c>
      <c r="B1748" s="3" t="str">
        <f t="shared" si="54"/>
        <v>7</v>
      </c>
      <c r="C1748" s="4" t="s">
        <v>570</v>
      </c>
      <c r="D1748" s="6" t="s">
        <v>3667</v>
      </c>
      <c r="E1748" s="4" t="s">
        <v>50</v>
      </c>
      <c r="F1748" s="2" t="str">
        <f t="shared" si="55"/>
        <v>Routine cognitive</v>
      </c>
    </row>
    <row r="1749" spans="1:6" ht="28.5" x14ac:dyDescent="0.4">
      <c r="A1749" s="3">
        <v>7232</v>
      </c>
      <c r="B1749" s="3" t="str">
        <f t="shared" si="54"/>
        <v>7</v>
      </c>
      <c r="C1749" s="4" t="s">
        <v>570</v>
      </c>
      <c r="D1749" s="5" t="s">
        <v>2462</v>
      </c>
      <c r="E1749" s="4" t="s">
        <v>106</v>
      </c>
      <c r="F1749" s="2" t="str">
        <f t="shared" si="55"/>
        <v>Non-routine manual</v>
      </c>
    </row>
    <row r="1750" spans="1:6" ht="42.75" x14ac:dyDescent="0.4">
      <c r="A1750" s="3">
        <v>7232</v>
      </c>
      <c r="B1750" s="3" t="str">
        <f t="shared" si="54"/>
        <v>7</v>
      </c>
      <c r="C1750" s="4" t="s">
        <v>570</v>
      </c>
      <c r="D1750" s="5" t="s">
        <v>2463</v>
      </c>
      <c r="E1750" s="4" t="s">
        <v>106</v>
      </c>
      <c r="F1750" s="2" t="str">
        <f t="shared" si="55"/>
        <v>Non-routine manual</v>
      </c>
    </row>
    <row r="1751" spans="1:6" ht="28.5" x14ac:dyDescent="0.4">
      <c r="A1751" s="3">
        <v>7232</v>
      </c>
      <c r="B1751" s="3" t="str">
        <f t="shared" si="54"/>
        <v>7</v>
      </c>
      <c r="C1751" s="4" t="s">
        <v>570</v>
      </c>
      <c r="D1751" s="5" t="s">
        <v>2464</v>
      </c>
      <c r="E1751" s="4" t="s">
        <v>106</v>
      </c>
      <c r="F1751" s="2" t="str">
        <f t="shared" si="55"/>
        <v>Non-routine manual</v>
      </c>
    </row>
    <row r="1752" spans="1:6" ht="28.5" x14ac:dyDescent="0.4">
      <c r="A1752" s="3">
        <v>7233</v>
      </c>
      <c r="B1752" s="3" t="str">
        <f t="shared" si="54"/>
        <v>7</v>
      </c>
      <c r="C1752" s="4" t="s">
        <v>572</v>
      </c>
      <c r="D1752" s="8" t="s">
        <v>2465</v>
      </c>
      <c r="E1752" s="4" t="s">
        <v>106</v>
      </c>
      <c r="F1752" s="2" t="str">
        <f t="shared" si="55"/>
        <v>Non-routine manual</v>
      </c>
    </row>
    <row r="1753" spans="1:6" ht="28.5" x14ac:dyDescent="0.4">
      <c r="A1753" s="3">
        <v>7233</v>
      </c>
      <c r="B1753" s="3" t="str">
        <f t="shared" si="54"/>
        <v>7</v>
      </c>
      <c r="C1753" s="4" t="s">
        <v>572</v>
      </c>
      <c r="D1753" s="11" t="s">
        <v>2466</v>
      </c>
      <c r="E1753" s="4" t="s">
        <v>106</v>
      </c>
      <c r="F1753" s="2" t="str">
        <f t="shared" si="55"/>
        <v>Non-routine manual</v>
      </c>
    </row>
    <row r="1754" spans="1:6" ht="28.5" x14ac:dyDescent="0.4">
      <c r="A1754" s="3">
        <v>7233</v>
      </c>
      <c r="B1754" s="3" t="str">
        <f t="shared" si="54"/>
        <v>7</v>
      </c>
      <c r="C1754" s="4" t="s">
        <v>572</v>
      </c>
      <c r="D1754" s="5" t="s">
        <v>2467</v>
      </c>
      <c r="E1754" s="4" t="s">
        <v>50</v>
      </c>
      <c r="F1754" s="2" t="str">
        <f t="shared" si="55"/>
        <v>Routine cognitive</v>
      </c>
    </row>
    <row r="1755" spans="1:6" ht="28.5" x14ac:dyDescent="0.4">
      <c r="A1755" s="3">
        <v>7233</v>
      </c>
      <c r="B1755" s="3" t="str">
        <f t="shared" si="54"/>
        <v>7</v>
      </c>
      <c r="C1755" s="4" t="s">
        <v>572</v>
      </c>
      <c r="D1755" s="5" t="s">
        <v>2468</v>
      </c>
      <c r="E1755" s="4" t="s">
        <v>106</v>
      </c>
      <c r="F1755" s="2" t="str">
        <f t="shared" si="55"/>
        <v>Non-routine manual</v>
      </c>
    </row>
    <row r="1756" spans="1:6" ht="28.5" x14ac:dyDescent="0.4">
      <c r="A1756" s="3">
        <v>7233</v>
      </c>
      <c r="B1756" s="3" t="str">
        <f t="shared" si="54"/>
        <v>7</v>
      </c>
      <c r="C1756" s="4" t="s">
        <v>572</v>
      </c>
      <c r="D1756" s="8" t="s">
        <v>2469</v>
      </c>
      <c r="E1756" s="4" t="s">
        <v>50</v>
      </c>
      <c r="F1756" s="2" t="str">
        <f t="shared" si="55"/>
        <v>Routine cognitive</v>
      </c>
    </row>
    <row r="1757" spans="1:6" ht="28.5" x14ac:dyDescent="0.4">
      <c r="A1757" s="3">
        <v>7233</v>
      </c>
      <c r="B1757" s="3" t="str">
        <f t="shared" si="54"/>
        <v>7</v>
      </c>
      <c r="C1757" s="4" t="s">
        <v>572</v>
      </c>
      <c r="D1757" s="6" t="s">
        <v>573</v>
      </c>
      <c r="E1757" s="4" t="s">
        <v>182</v>
      </c>
      <c r="F1757" s="2" t="str">
        <f t="shared" si="55"/>
        <v>Routine manual</v>
      </c>
    </row>
    <row r="1758" spans="1:6" ht="28.5" x14ac:dyDescent="0.4">
      <c r="A1758" s="3">
        <v>7233</v>
      </c>
      <c r="B1758" s="3" t="str">
        <f t="shared" si="54"/>
        <v>7</v>
      </c>
      <c r="C1758" s="4" t="s">
        <v>572</v>
      </c>
      <c r="D1758" s="7" t="s">
        <v>574</v>
      </c>
      <c r="E1758" s="4" t="s">
        <v>50</v>
      </c>
      <c r="F1758" s="2" t="str">
        <f t="shared" si="55"/>
        <v>Routine cognitive</v>
      </c>
    </row>
    <row r="1759" spans="1:6" ht="42.75" x14ac:dyDescent="0.4">
      <c r="A1759" s="3">
        <v>7311</v>
      </c>
      <c r="B1759" s="3" t="str">
        <f t="shared" si="54"/>
        <v>7</v>
      </c>
      <c r="C1759" s="4" t="s">
        <v>575</v>
      </c>
      <c r="D1759" s="10" t="s">
        <v>2470</v>
      </c>
      <c r="E1759" s="4" t="s">
        <v>106</v>
      </c>
      <c r="F1759" s="2" t="str">
        <f t="shared" si="55"/>
        <v>Non-routine manual</v>
      </c>
    </row>
    <row r="1760" spans="1:6" ht="28.5" x14ac:dyDescent="0.4">
      <c r="A1760" s="3">
        <v>7311</v>
      </c>
      <c r="B1760" s="3" t="str">
        <f t="shared" si="54"/>
        <v>7</v>
      </c>
      <c r="C1760" s="4" t="s">
        <v>575</v>
      </c>
      <c r="D1760" s="10" t="s">
        <v>2471</v>
      </c>
      <c r="E1760" s="4" t="s">
        <v>106</v>
      </c>
      <c r="F1760" s="2" t="str">
        <f t="shared" si="55"/>
        <v>Non-routine manual</v>
      </c>
    </row>
    <row r="1761" spans="1:6" ht="42.75" x14ac:dyDescent="0.4">
      <c r="A1761" s="3">
        <v>7311</v>
      </c>
      <c r="B1761" s="3" t="str">
        <f t="shared" si="54"/>
        <v>7</v>
      </c>
      <c r="C1761" s="4" t="s">
        <v>575</v>
      </c>
      <c r="D1761" s="8" t="s">
        <v>2472</v>
      </c>
      <c r="E1761" s="4" t="s">
        <v>106</v>
      </c>
      <c r="F1761" s="2" t="str">
        <f t="shared" si="55"/>
        <v>Non-routine manual</v>
      </c>
    </row>
    <row r="1762" spans="1:6" ht="28.5" x14ac:dyDescent="0.4">
      <c r="A1762" s="3">
        <v>7311</v>
      </c>
      <c r="B1762" s="3" t="str">
        <f t="shared" si="54"/>
        <v>7</v>
      </c>
      <c r="C1762" s="4" t="s">
        <v>575</v>
      </c>
      <c r="D1762" s="5" t="s">
        <v>2473</v>
      </c>
      <c r="E1762" s="4" t="s">
        <v>50</v>
      </c>
      <c r="F1762" s="2" t="str">
        <f t="shared" si="55"/>
        <v>Routine cognitive</v>
      </c>
    </row>
    <row r="1763" spans="1:6" ht="42.75" x14ac:dyDescent="0.4">
      <c r="A1763" s="3">
        <v>7311</v>
      </c>
      <c r="B1763" s="3" t="str">
        <f t="shared" si="54"/>
        <v>7</v>
      </c>
      <c r="C1763" s="4" t="s">
        <v>575</v>
      </c>
      <c r="D1763" s="5" t="s">
        <v>2474</v>
      </c>
      <c r="E1763" s="4" t="s">
        <v>50</v>
      </c>
      <c r="F1763" s="2" t="str">
        <f t="shared" si="55"/>
        <v>Routine cognitive</v>
      </c>
    </row>
    <row r="1764" spans="1:6" ht="28.5" x14ac:dyDescent="0.4">
      <c r="A1764" s="3">
        <v>7311</v>
      </c>
      <c r="B1764" s="3" t="str">
        <f t="shared" si="54"/>
        <v>7</v>
      </c>
      <c r="C1764" s="4" t="s">
        <v>575</v>
      </c>
      <c r="D1764" s="8" t="s">
        <v>2475</v>
      </c>
      <c r="E1764" s="4" t="s">
        <v>50</v>
      </c>
      <c r="F1764" s="2" t="str">
        <f t="shared" si="55"/>
        <v>Routine cognitive</v>
      </c>
    </row>
    <row r="1765" spans="1:6" ht="28.5" x14ac:dyDescent="0.4">
      <c r="A1765" s="3">
        <v>7311</v>
      </c>
      <c r="B1765" s="3" t="str">
        <f t="shared" si="54"/>
        <v>7</v>
      </c>
      <c r="C1765" s="4" t="s">
        <v>575</v>
      </c>
      <c r="D1765" s="8" t="s">
        <v>2476</v>
      </c>
      <c r="E1765" s="4" t="s">
        <v>50</v>
      </c>
      <c r="F1765" s="2" t="str">
        <f t="shared" si="55"/>
        <v>Routine cognitive</v>
      </c>
    </row>
    <row r="1766" spans="1:6" ht="57" x14ac:dyDescent="0.4">
      <c r="A1766" s="3">
        <v>7311</v>
      </c>
      <c r="B1766" s="3" t="str">
        <f t="shared" si="54"/>
        <v>7</v>
      </c>
      <c r="C1766" s="4" t="s">
        <v>575</v>
      </c>
      <c r="D1766" s="10" t="s">
        <v>2477</v>
      </c>
      <c r="E1766" s="4" t="s">
        <v>106</v>
      </c>
      <c r="F1766" s="2" t="str">
        <f t="shared" si="55"/>
        <v>Non-routine manual</v>
      </c>
    </row>
    <row r="1767" spans="1:6" ht="71.25" x14ac:dyDescent="0.4">
      <c r="A1767" s="3">
        <v>7311</v>
      </c>
      <c r="B1767" s="3" t="str">
        <f t="shared" si="54"/>
        <v>7</v>
      </c>
      <c r="C1767" s="4" t="s">
        <v>575</v>
      </c>
      <c r="D1767" s="5" t="s">
        <v>2478</v>
      </c>
      <c r="E1767" s="4" t="s">
        <v>50</v>
      </c>
      <c r="F1767" s="2" t="str">
        <f t="shared" si="55"/>
        <v>Routine cognitive</v>
      </c>
    </row>
    <row r="1768" spans="1:6" ht="42.75" x14ac:dyDescent="0.4">
      <c r="A1768" s="3">
        <v>7311</v>
      </c>
      <c r="B1768" s="3" t="str">
        <f t="shared" si="54"/>
        <v>7</v>
      </c>
      <c r="C1768" s="4" t="s">
        <v>575</v>
      </c>
      <c r="D1768" s="8" t="s">
        <v>2479</v>
      </c>
      <c r="E1768" s="4" t="s">
        <v>106</v>
      </c>
      <c r="F1768" s="2" t="str">
        <f t="shared" si="55"/>
        <v>Non-routine manual</v>
      </c>
    </row>
    <row r="1769" spans="1:6" ht="28.5" x14ac:dyDescent="0.4">
      <c r="A1769" s="3">
        <v>7311</v>
      </c>
      <c r="B1769" s="3" t="str">
        <f t="shared" si="54"/>
        <v>7</v>
      </c>
      <c r="C1769" s="4" t="s">
        <v>575</v>
      </c>
      <c r="D1769" s="7" t="s">
        <v>576</v>
      </c>
      <c r="E1769" s="4" t="s">
        <v>106</v>
      </c>
      <c r="F1769" s="2" t="str">
        <f t="shared" si="55"/>
        <v>Non-routine manual</v>
      </c>
    </row>
    <row r="1770" spans="1:6" ht="28.5" x14ac:dyDescent="0.4">
      <c r="A1770" s="3">
        <v>7311</v>
      </c>
      <c r="B1770" s="3" t="str">
        <f t="shared" si="54"/>
        <v>7</v>
      </c>
      <c r="C1770" s="4" t="s">
        <v>575</v>
      </c>
      <c r="D1770" s="8" t="s">
        <v>2480</v>
      </c>
      <c r="E1770" s="4" t="s">
        <v>50</v>
      </c>
      <c r="F1770" s="2" t="str">
        <f t="shared" si="55"/>
        <v>Routine cognitive</v>
      </c>
    </row>
    <row r="1771" spans="1:6" ht="42.75" x14ac:dyDescent="0.4">
      <c r="A1771" s="3">
        <v>7312</v>
      </c>
      <c r="B1771" s="3" t="str">
        <f t="shared" si="54"/>
        <v>7</v>
      </c>
      <c r="C1771" s="4" t="s">
        <v>577</v>
      </c>
      <c r="D1771" s="8" t="s">
        <v>2481</v>
      </c>
      <c r="E1771" s="4" t="s">
        <v>106</v>
      </c>
      <c r="F1771" s="2" t="str">
        <f t="shared" si="55"/>
        <v>Non-routine manual</v>
      </c>
    </row>
    <row r="1772" spans="1:6" ht="42.75" x14ac:dyDescent="0.4">
      <c r="A1772" s="3">
        <v>7312</v>
      </c>
      <c r="B1772" s="3" t="str">
        <f t="shared" si="54"/>
        <v>7</v>
      </c>
      <c r="C1772" s="4" t="s">
        <v>577</v>
      </c>
      <c r="D1772" s="8" t="s">
        <v>2482</v>
      </c>
      <c r="E1772" s="4" t="s">
        <v>106</v>
      </c>
      <c r="F1772" s="2" t="str">
        <f t="shared" si="55"/>
        <v>Non-routine manual</v>
      </c>
    </row>
    <row r="1773" spans="1:6" ht="42.75" x14ac:dyDescent="0.4">
      <c r="A1773" s="3">
        <v>7312</v>
      </c>
      <c r="B1773" s="3" t="str">
        <f t="shared" si="54"/>
        <v>7</v>
      </c>
      <c r="C1773" s="4" t="s">
        <v>577</v>
      </c>
      <c r="D1773" s="8" t="s">
        <v>2483</v>
      </c>
      <c r="E1773" s="4" t="s">
        <v>50</v>
      </c>
      <c r="F1773" s="2" t="str">
        <f t="shared" si="55"/>
        <v>Routine cognitive</v>
      </c>
    </row>
    <row r="1774" spans="1:6" ht="28.5" x14ac:dyDescent="0.4">
      <c r="A1774" s="3">
        <v>7312</v>
      </c>
      <c r="B1774" s="3" t="str">
        <f t="shared" si="54"/>
        <v>7</v>
      </c>
      <c r="C1774" s="4" t="s">
        <v>577</v>
      </c>
      <c r="D1774" s="5" t="s">
        <v>2484</v>
      </c>
      <c r="E1774" s="4" t="s">
        <v>50</v>
      </c>
      <c r="F1774" s="2" t="str">
        <f t="shared" si="55"/>
        <v>Routine cognitive</v>
      </c>
    </row>
    <row r="1775" spans="1:6" ht="28.5" x14ac:dyDescent="0.4">
      <c r="A1775" s="3">
        <v>7312</v>
      </c>
      <c r="B1775" s="3" t="str">
        <f t="shared" si="54"/>
        <v>7</v>
      </c>
      <c r="C1775" s="4" t="s">
        <v>577</v>
      </c>
      <c r="D1775" s="8" t="s">
        <v>2485</v>
      </c>
      <c r="E1775" s="4" t="s">
        <v>106</v>
      </c>
      <c r="F1775" s="2" t="str">
        <f t="shared" si="55"/>
        <v>Non-routine manual</v>
      </c>
    </row>
    <row r="1776" spans="1:6" ht="57" x14ac:dyDescent="0.4">
      <c r="A1776" s="3">
        <v>7312</v>
      </c>
      <c r="B1776" s="3" t="str">
        <f t="shared" si="54"/>
        <v>7</v>
      </c>
      <c r="C1776" s="4" t="s">
        <v>577</v>
      </c>
      <c r="D1776" s="5" t="s">
        <v>2486</v>
      </c>
      <c r="E1776" s="4" t="s">
        <v>106</v>
      </c>
      <c r="F1776" s="2" t="str">
        <f t="shared" si="55"/>
        <v>Non-routine manual</v>
      </c>
    </row>
    <row r="1777" spans="1:6" ht="28.5" x14ac:dyDescent="0.4">
      <c r="A1777" s="3">
        <v>7312</v>
      </c>
      <c r="B1777" s="3" t="str">
        <f t="shared" si="54"/>
        <v>7</v>
      </c>
      <c r="C1777" s="4" t="s">
        <v>577</v>
      </c>
      <c r="D1777" s="6" t="s">
        <v>578</v>
      </c>
      <c r="E1777" s="4" t="s">
        <v>106</v>
      </c>
      <c r="F1777" s="2" t="str">
        <f t="shared" si="55"/>
        <v>Non-routine manual</v>
      </c>
    </row>
    <row r="1778" spans="1:6" ht="42.75" x14ac:dyDescent="0.4">
      <c r="A1778" s="3">
        <v>7312</v>
      </c>
      <c r="B1778" s="3" t="str">
        <f t="shared" si="54"/>
        <v>7</v>
      </c>
      <c r="C1778" s="4" t="s">
        <v>577</v>
      </c>
      <c r="D1778" s="5" t="s">
        <v>2487</v>
      </c>
      <c r="E1778" s="4" t="s">
        <v>50</v>
      </c>
      <c r="F1778" s="2" t="str">
        <f t="shared" si="55"/>
        <v>Routine cognitive</v>
      </c>
    </row>
    <row r="1779" spans="1:6" ht="28.5" x14ac:dyDescent="0.4">
      <c r="A1779" s="3">
        <v>7312</v>
      </c>
      <c r="B1779" s="3" t="str">
        <f t="shared" si="54"/>
        <v>7</v>
      </c>
      <c r="C1779" s="4" t="s">
        <v>577</v>
      </c>
      <c r="D1779" s="6" t="s">
        <v>579</v>
      </c>
      <c r="E1779" s="4" t="s">
        <v>106</v>
      </c>
      <c r="F1779" s="2" t="str">
        <f t="shared" si="55"/>
        <v>Non-routine manual</v>
      </c>
    </row>
    <row r="1780" spans="1:6" ht="42.75" x14ac:dyDescent="0.4">
      <c r="A1780" s="3">
        <v>7312</v>
      </c>
      <c r="B1780" s="3" t="str">
        <f t="shared" si="54"/>
        <v>7</v>
      </c>
      <c r="C1780" s="4" t="s">
        <v>577</v>
      </c>
      <c r="D1780" s="8" t="s">
        <v>2488</v>
      </c>
      <c r="E1780" s="4" t="s">
        <v>50</v>
      </c>
      <c r="F1780" s="2" t="str">
        <f t="shared" si="55"/>
        <v>Routine cognitive</v>
      </c>
    </row>
    <row r="1781" spans="1:6" ht="28.5" x14ac:dyDescent="0.4">
      <c r="A1781" s="3">
        <v>7312</v>
      </c>
      <c r="B1781" s="3" t="str">
        <f t="shared" si="54"/>
        <v>7</v>
      </c>
      <c r="C1781" s="4" t="s">
        <v>577</v>
      </c>
      <c r="D1781" s="8" t="s">
        <v>2489</v>
      </c>
      <c r="E1781" s="4" t="s">
        <v>106</v>
      </c>
      <c r="F1781" s="2" t="str">
        <f t="shared" si="55"/>
        <v>Non-routine manual</v>
      </c>
    </row>
    <row r="1782" spans="1:6" ht="28.5" x14ac:dyDescent="0.4">
      <c r="A1782" s="3">
        <v>7313</v>
      </c>
      <c r="B1782" s="3" t="str">
        <f t="shared" si="54"/>
        <v>7</v>
      </c>
      <c r="C1782" s="4" t="s">
        <v>580</v>
      </c>
      <c r="D1782" s="4" t="s">
        <v>581</v>
      </c>
      <c r="E1782" s="4" t="s">
        <v>106</v>
      </c>
      <c r="F1782" s="2" t="str">
        <f t="shared" si="55"/>
        <v>Non-routine manual</v>
      </c>
    </row>
    <row r="1783" spans="1:6" ht="42.75" x14ac:dyDescent="0.4">
      <c r="A1783" s="3">
        <v>7313</v>
      </c>
      <c r="B1783" s="3" t="str">
        <f t="shared" si="54"/>
        <v>7</v>
      </c>
      <c r="C1783" s="4" t="s">
        <v>580</v>
      </c>
      <c r="D1783" s="5" t="s">
        <v>2490</v>
      </c>
      <c r="E1783" s="4" t="s">
        <v>4</v>
      </c>
      <c r="F1783" s="2" t="str">
        <f t="shared" si="55"/>
        <v>Non-routine cognitive</v>
      </c>
    </row>
    <row r="1784" spans="1:6" ht="28.5" x14ac:dyDescent="0.4">
      <c r="A1784" s="3">
        <v>7313</v>
      </c>
      <c r="B1784" s="3" t="str">
        <f t="shared" si="54"/>
        <v>7</v>
      </c>
      <c r="C1784" s="4" t="s">
        <v>580</v>
      </c>
      <c r="D1784" s="6" t="s">
        <v>582</v>
      </c>
      <c r="E1784" s="4" t="s">
        <v>106</v>
      </c>
      <c r="F1784" s="2" t="str">
        <f t="shared" si="55"/>
        <v>Non-routine manual</v>
      </c>
    </row>
    <row r="1785" spans="1:6" ht="28.5" x14ac:dyDescent="0.4">
      <c r="A1785" s="3">
        <v>7313</v>
      </c>
      <c r="B1785" s="3" t="str">
        <f t="shared" si="54"/>
        <v>7</v>
      </c>
      <c r="C1785" s="4" t="s">
        <v>580</v>
      </c>
      <c r="D1785" s="5" t="s">
        <v>2491</v>
      </c>
      <c r="E1785" s="4" t="s">
        <v>106</v>
      </c>
      <c r="F1785" s="2" t="str">
        <f t="shared" si="55"/>
        <v>Non-routine manual</v>
      </c>
    </row>
    <row r="1786" spans="1:6" ht="28.5" x14ac:dyDescent="0.4">
      <c r="A1786" s="3">
        <v>7313</v>
      </c>
      <c r="B1786" s="3" t="str">
        <f t="shared" si="54"/>
        <v>7</v>
      </c>
      <c r="C1786" s="4" t="s">
        <v>580</v>
      </c>
      <c r="D1786" s="5" t="s">
        <v>2492</v>
      </c>
      <c r="E1786" s="4" t="s">
        <v>106</v>
      </c>
      <c r="F1786" s="2" t="str">
        <f t="shared" si="55"/>
        <v>Non-routine manual</v>
      </c>
    </row>
    <row r="1787" spans="1:6" ht="42.75" x14ac:dyDescent="0.4">
      <c r="A1787" s="3">
        <v>7313</v>
      </c>
      <c r="B1787" s="3" t="str">
        <f t="shared" si="54"/>
        <v>7</v>
      </c>
      <c r="C1787" s="4" t="s">
        <v>580</v>
      </c>
      <c r="D1787" s="5" t="s">
        <v>2493</v>
      </c>
      <c r="E1787" s="4" t="s">
        <v>106</v>
      </c>
      <c r="F1787" s="2" t="str">
        <f t="shared" si="55"/>
        <v>Non-routine manual</v>
      </c>
    </row>
    <row r="1788" spans="1:6" ht="71.25" x14ac:dyDescent="0.4">
      <c r="A1788" s="3">
        <v>7313</v>
      </c>
      <c r="B1788" s="3" t="str">
        <f t="shared" si="54"/>
        <v>7</v>
      </c>
      <c r="C1788" s="4" t="s">
        <v>580</v>
      </c>
      <c r="D1788" s="5" t="s">
        <v>2494</v>
      </c>
      <c r="E1788" s="4" t="s">
        <v>50</v>
      </c>
      <c r="F1788" s="2" t="str">
        <f t="shared" si="55"/>
        <v>Routine cognitive</v>
      </c>
    </row>
    <row r="1789" spans="1:6" ht="28.5" x14ac:dyDescent="0.4">
      <c r="A1789" s="3">
        <v>7313</v>
      </c>
      <c r="B1789" s="3" t="str">
        <f t="shared" si="54"/>
        <v>7</v>
      </c>
      <c r="C1789" s="5" t="s">
        <v>2495</v>
      </c>
      <c r="D1789" s="8" t="s">
        <v>2496</v>
      </c>
      <c r="E1789" s="4" t="s">
        <v>106</v>
      </c>
      <c r="F1789" s="2" t="str">
        <f t="shared" si="55"/>
        <v>Non-routine manual</v>
      </c>
    </row>
    <row r="1790" spans="1:6" ht="28.5" x14ac:dyDescent="0.4">
      <c r="A1790" s="3">
        <v>7313</v>
      </c>
      <c r="B1790" s="3" t="str">
        <f t="shared" si="54"/>
        <v>7</v>
      </c>
      <c r="C1790" s="4" t="s">
        <v>580</v>
      </c>
      <c r="D1790" s="5" t="s">
        <v>2497</v>
      </c>
      <c r="E1790" s="4" t="s">
        <v>106</v>
      </c>
      <c r="F1790" s="2" t="str">
        <f t="shared" si="55"/>
        <v>Non-routine manual</v>
      </c>
    </row>
    <row r="1791" spans="1:6" ht="28.5" x14ac:dyDescent="0.4">
      <c r="A1791" s="3">
        <v>7313</v>
      </c>
      <c r="B1791" s="3" t="str">
        <f t="shared" si="54"/>
        <v>7</v>
      </c>
      <c r="C1791" s="4" t="s">
        <v>580</v>
      </c>
      <c r="D1791" s="4" t="s">
        <v>583</v>
      </c>
      <c r="E1791" s="4" t="s">
        <v>106</v>
      </c>
      <c r="F1791" s="2" t="str">
        <f t="shared" si="55"/>
        <v>Non-routine manual</v>
      </c>
    </row>
    <row r="1792" spans="1:6" ht="42.75" x14ac:dyDescent="0.4">
      <c r="A1792" s="3">
        <v>7313</v>
      </c>
      <c r="B1792" s="3" t="str">
        <f t="shared" si="54"/>
        <v>7</v>
      </c>
      <c r="C1792" s="4" t="s">
        <v>580</v>
      </c>
      <c r="D1792" s="5" t="s">
        <v>2498</v>
      </c>
      <c r="E1792" s="4" t="s">
        <v>50</v>
      </c>
      <c r="F1792" s="2" t="str">
        <f t="shared" si="55"/>
        <v>Routine cognitive</v>
      </c>
    </row>
    <row r="1793" spans="1:6" ht="42.75" x14ac:dyDescent="0.4">
      <c r="A1793" s="3">
        <v>7315</v>
      </c>
      <c r="B1793" s="3" t="str">
        <f t="shared" si="54"/>
        <v>7</v>
      </c>
      <c r="C1793" s="4" t="s">
        <v>584</v>
      </c>
      <c r="D1793" s="10" t="s">
        <v>2499</v>
      </c>
      <c r="E1793" s="4" t="s">
        <v>106</v>
      </c>
      <c r="F1793" s="2" t="str">
        <f t="shared" si="55"/>
        <v>Non-routine manual</v>
      </c>
    </row>
    <row r="1794" spans="1:6" ht="28.5" x14ac:dyDescent="0.4">
      <c r="A1794" s="3">
        <v>7315</v>
      </c>
      <c r="B1794" s="3" t="str">
        <f t="shared" si="54"/>
        <v>7</v>
      </c>
      <c r="C1794" s="4" t="s">
        <v>584</v>
      </c>
      <c r="D1794" s="4" t="s">
        <v>585</v>
      </c>
      <c r="E1794" s="4" t="s">
        <v>106</v>
      </c>
      <c r="F1794" s="2" t="str">
        <f t="shared" si="55"/>
        <v>Non-routine manual</v>
      </c>
    </row>
    <row r="1795" spans="1:6" ht="57" x14ac:dyDescent="0.4">
      <c r="A1795" s="3">
        <v>7315</v>
      </c>
      <c r="B1795" s="3" t="str">
        <f t="shared" ref="B1795:B1858" si="56">LEFT(A1795,1)</f>
        <v>7</v>
      </c>
      <c r="C1795" s="4" t="s">
        <v>584</v>
      </c>
      <c r="D1795" s="5" t="s">
        <v>2500</v>
      </c>
      <c r="E1795" s="4" t="s">
        <v>106</v>
      </c>
      <c r="F1795" s="2" t="str">
        <f t="shared" ref="F1795:F1858" si="57">IF(E1795="Non-routine interpersonal","Non-routine cognitive",IF(E1795="Non-routine analytical","Non-routine cognitive",IF(E1795="Non-routine manual physical","Non-routine manual",E1795)))</f>
        <v>Non-routine manual</v>
      </c>
    </row>
    <row r="1796" spans="1:6" ht="57" x14ac:dyDescent="0.4">
      <c r="A1796" s="3">
        <v>7315</v>
      </c>
      <c r="B1796" s="3" t="str">
        <f t="shared" si="56"/>
        <v>7</v>
      </c>
      <c r="C1796" s="4" t="s">
        <v>584</v>
      </c>
      <c r="D1796" s="5" t="s">
        <v>2501</v>
      </c>
      <c r="E1796" s="4" t="s">
        <v>50</v>
      </c>
      <c r="F1796" s="2" t="str">
        <f t="shared" si="57"/>
        <v>Routine cognitive</v>
      </c>
    </row>
    <row r="1797" spans="1:6" ht="28.5" x14ac:dyDescent="0.4">
      <c r="A1797" s="3">
        <v>7315</v>
      </c>
      <c r="B1797" s="3" t="str">
        <f t="shared" si="56"/>
        <v>7</v>
      </c>
      <c r="C1797" s="4" t="s">
        <v>584</v>
      </c>
      <c r="D1797" s="6" t="s">
        <v>586</v>
      </c>
      <c r="E1797" s="4" t="s">
        <v>50</v>
      </c>
      <c r="F1797" s="2" t="str">
        <f t="shared" si="57"/>
        <v>Routine cognitive</v>
      </c>
    </row>
    <row r="1798" spans="1:6" ht="42.75" x14ac:dyDescent="0.4">
      <c r="A1798" s="3">
        <v>7315</v>
      </c>
      <c r="B1798" s="3" t="str">
        <f t="shared" si="56"/>
        <v>7</v>
      </c>
      <c r="C1798" s="4" t="s">
        <v>584</v>
      </c>
      <c r="D1798" s="5" t="s">
        <v>2502</v>
      </c>
      <c r="E1798" s="4" t="s">
        <v>50</v>
      </c>
      <c r="F1798" s="2" t="str">
        <f t="shared" si="57"/>
        <v>Routine cognitive</v>
      </c>
    </row>
    <row r="1799" spans="1:6" ht="42.75" x14ac:dyDescent="0.4">
      <c r="A1799" s="3">
        <v>7315</v>
      </c>
      <c r="B1799" s="3" t="str">
        <f t="shared" si="56"/>
        <v>7</v>
      </c>
      <c r="C1799" s="4" t="s">
        <v>584</v>
      </c>
      <c r="D1799" s="5" t="s">
        <v>2503</v>
      </c>
      <c r="E1799" s="4" t="s">
        <v>50</v>
      </c>
      <c r="F1799" s="2" t="str">
        <f t="shared" si="57"/>
        <v>Routine cognitive</v>
      </c>
    </row>
    <row r="1800" spans="1:6" ht="28.5" x14ac:dyDescent="0.4">
      <c r="A1800" s="3">
        <v>7315</v>
      </c>
      <c r="B1800" s="3" t="str">
        <f t="shared" si="56"/>
        <v>7</v>
      </c>
      <c r="C1800" s="4" t="s">
        <v>584</v>
      </c>
      <c r="D1800" s="8" t="s">
        <v>2504</v>
      </c>
      <c r="E1800" s="4" t="s">
        <v>182</v>
      </c>
      <c r="F1800" s="2" t="str">
        <f t="shared" si="57"/>
        <v>Routine manual</v>
      </c>
    </row>
    <row r="1801" spans="1:6" ht="42.75" x14ac:dyDescent="0.4">
      <c r="A1801" s="3">
        <v>7315</v>
      </c>
      <c r="B1801" s="3" t="str">
        <f t="shared" si="56"/>
        <v>7</v>
      </c>
      <c r="C1801" s="4" t="s">
        <v>584</v>
      </c>
      <c r="D1801" s="5" t="s">
        <v>2505</v>
      </c>
      <c r="E1801" s="4" t="s">
        <v>50</v>
      </c>
      <c r="F1801" s="2" t="str">
        <f t="shared" si="57"/>
        <v>Routine cognitive</v>
      </c>
    </row>
    <row r="1802" spans="1:6" ht="28.5" x14ac:dyDescent="0.4">
      <c r="A1802" s="3">
        <v>7315</v>
      </c>
      <c r="B1802" s="3" t="str">
        <f t="shared" si="56"/>
        <v>7</v>
      </c>
      <c r="C1802" s="4" t="s">
        <v>584</v>
      </c>
      <c r="D1802" s="7" t="s">
        <v>587</v>
      </c>
      <c r="E1802" s="4" t="s">
        <v>50</v>
      </c>
      <c r="F1802" s="2" t="str">
        <f t="shared" si="57"/>
        <v>Routine cognitive</v>
      </c>
    </row>
    <row r="1803" spans="1:6" ht="42.75" x14ac:dyDescent="0.4">
      <c r="A1803" s="3">
        <v>7315</v>
      </c>
      <c r="B1803" s="3" t="str">
        <f t="shared" si="56"/>
        <v>7</v>
      </c>
      <c r="C1803" s="4" t="s">
        <v>584</v>
      </c>
      <c r="D1803" s="5" t="s">
        <v>2506</v>
      </c>
      <c r="E1803" s="4" t="s">
        <v>50</v>
      </c>
      <c r="F1803" s="2" t="str">
        <f t="shared" si="57"/>
        <v>Routine cognitive</v>
      </c>
    </row>
    <row r="1804" spans="1:6" ht="28.5" x14ac:dyDescent="0.4">
      <c r="A1804" s="3">
        <v>7315</v>
      </c>
      <c r="B1804" s="3" t="str">
        <f t="shared" si="56"/>
        <v>7</v>
      </c>
      <c r="C1804" s="4" t="s">
        <v>584</v>
      </c>
      <c r="D1804" s="6" t="s">
        <v>588</v>
      </c>
      <c r="E1804" s="4" t="s">
        <v>106</v>
      </c>
      <c r="F1804" s="2" t="str">
        <f t="shared" si="57"/>
        <v>Non-routine manual</v>
      </c>
    </row>
    <row r="1805" spans="1:6" ht="57" x14ac:dyDescent="0.4">
      <c r="A1805" s="3">
        <v>7315</v>
      </c>
      <c r="B1805" s="3" t="str">
        <f t="shared" si="56"/>
        <v>7</v>
      </c>
      <c r="C1805" s="4" t="s">
        <v>584</v>
      </c>
      <c r="D1805" s="5" t="s">
        <v>2507</v>
      </c>
      <c r="E1805" s="4" t="s">
        <v>106</v>
      </c>
      <c r="F1805" s="2" t="str">
        <f t="shared" si="57"/>
        <v>Non-routine manual</v>
      </c>
    </row>
    <row r="1806" spans="1:6" ht="28.5" x14ac:dyDescent="0.4">
      <c r="A1806" s="3">
        <v>7317</v>
      </c>
      <c r="B1806" s="3" t="str">
        <f t="shared" si="56"/>
        <v>7</v>
      </c>
      <c r="C1806" s="4" t="s">
        <v>589</v>
      </c>
      <c r="D1806" s="4" t="s">
        <v>590</v>
      </c>
      <c r="E1806" s="4" t="s">
        <v>106</v>
      </c>
      <c r="F1806" s="2" t="str">
        <f t="shared" si="57"/>
        <v>Non-routine manual</v>
      </c>
    </row>
    <row r="1807" spans="1:6" ht="28.5" x14ac:dyDescent="0.4">
      <c r="A1807" s="3">
        <v>7317</v>
      </c>
      <c r="B1807" s="3" t="str">
        <f t="shared" si="56"/>
        <v>7</v>
      </c>
      <c r="C1807" s="4" t="s">
        <v>589</v>
      </c>
      <c r="D1807" s="4" t="s">
        <v>591</v>
      </c>
      <c r="E1807" s="4" t="s">
        <v>106</v>
      </c>
      <c r="F1807" s="2" t="str">
        <f t="shared" si="57"/>
        <v>Non-routine manual</v>
      </c>
    </row>
    <row r="1808" spans="1:6" ht="28.5" x14ac:dyDescent="0.4">
      <c r="A1808" s="3">
        <v>7317</v>
      </c>
      <c r="B1808" s="3" t="str">
        <f t="shared" si="56"/>
        <v>7</v>
      </c>
      <c r="C1808" s="4" t="s">
        <v>589</v>
      </c>
      <c r="D1808" s="4" t="s">
        <v>592</v>
      </c>
      <c r="E1808" s="4" t="s">
        <v>106</v>
      </c>
      <c r="F1808" s="2" t="str">
        <f t="shared" si="57"/>
        <v>Non-routine manual</v>
      </c>
    </row>
    <row r="1809" spans="1:6" ht="57" x14ac:dyDescent="0.4">
      <c r="A1809" s="3">
        <v>7317</v>
      </c>
      <c r="B1809" s="3" t="str">
        <f t="shared" si="56"/>
        <v>7</v>
      </c>
      <c r="C1809" s="4" t="s">
        <v>589</v>
      </c>
      <c r="D1809" s="5" t="s">
        <v>2508</v>
      </c>
      <c r="E1809" s="4" t="s">
        <v>106</v>
      </c>
      <c r="F1809" s="2" t="str">
        <f t="shared" si="57"/>
        <v>Non-routine manual</v>
      </c>
    </row>
    <row r="1810" spans="1:6" ht="42.75" x14ac:dyDescent="0.4">
      <c r="A1810" s="3">
        <v>7317</v>
      </c>
      <c r="B1810" s="3" t="str">
        <f t="shared" si="56"/>
        <v>7</v>
      </c>
      <c r="C1810" s="4" t="s">
        <v>589</v>
      </c>
      <c r="D1810" s="5" t="s">
        <v>2509</v>
      </c>
      <c r="E1810" s="4" t="s">
        <v>106</v>
      </c>
      <c r="F1810" s="2" t="str">
        <f t="shared" si="57"/>
        <v>Non-routine manual</v>
      </c>
    </row>
    <row r="1811" spans="1:6" ht="28.5" x14ac:dyDescent="0.4">
      <c r="A1811" s="3">
        <v>7317</v>
      </c>
      <c r="B1811" s="3" t="str">
        <f t="shared" si="56"/>
        <v>7</v>
      </c>
      <c r="C1811" s="4" t="s">
        <v>589</v>
      </c>
      <c r="D1811" s="4" t="s">
        <v>593</v>
      </c>
      <c r="E1811" s="4" t="s">
        <v>106</v>
      </c>
      <c r="F1811" s="2" t="str">
        <f t="shared" si="57"/>
        <v>Non-routine manual</v>
      </c>
    </row>
    <row r="1812" spans="1:6" ht="28.5" x14ac:dyDescent="0.4">
      <c r="A1812" s="3">
        <v>7317</v>
      </c>
      <c r="B1812" s="3" t="str">
        <f t="shared" si="56"/>
        <v>7</v>
      </c>
      <c r="C1812" s="4" t="s">
        <v>589</v>
      </c>
      <c r="D1812" s="4" t="s">
        <v>594</v>
      </c>
      <c r="E1812" s="4" t="s">
        <v>106</v>
      </c>
      <c r="F1812" s="2" t="str">
        <f t="shared" si="57"/>
        <v>Non-routine manual</v>
      </c>
    </row>
    <row r="1813" spans="1:6" ht="42.75" x14ac:dyDescent="0.4">
      <c r="A1813" s="3">
        <v>7317</v>
      </c>
      <c r="B1813" s="3" t="str">
        <f t="shared" si="56"/>
        <v>7</v>
      </c>
      <c r="C1813" s="4" t="s">
        <v>589</v>
      </c>
      <c r="D1813" s="5" t="s">
        <v>2510</v>
      </c>
      <c r="E1813" s="4" t="s">
        <v>106</v>
      </c>
      <c r="F1813" s="2" t="str">
        <f t="shared" si="57"/>
        <v>Non-routine manual</v>
      </c>
    </row>
    <row r="1814" spans="1:6" ht="28.5" x14ac:dyDescent="0.4">
      <c r="A1814" s="3">
        <v>7317</v>
      </c>
      <c r="B1814" s="3" t="str">
        <f t="shared" si="56"/>
        <v>7</v>
      </c>
      <c r="C1814" s="4" t="s">
        <v>589</v>
      </c>
      <c r="D1814" s="4" t="s">
        <v>595</v>
      </c>
      <c r="E1814" s="4" t="s">
        <v>106</v>
      </c>
      <c r="F1814" s="2" t="str">
        <f t="shared" si="57"/>
        <v>Non-routine manual</v>
      </c>
    </row>
    <row r="1815" spans="1:6" ht="28.5" x14ac:dyDescent="0.4">
      <c r="A1815" s="3">
        <v>7317</v>
      </c>
      <c r="B1815" s="3" t="str">
        <f t="shared" si="56"/>
        <v>7</v>
      </c>
      <c r="C1815" s="4" t="s">
        <v>589</v>
      </c>
      <c r="D1815" s="4" t="s">
        <v>596</v>
      </c>
      <c r="E1815" s="4" t="s">
        <v>106</v>
      </c>
      <c r="F1815" s="2" t="str">
        <f t="shared" si="57"/>
        <v>Non-routine manual</v>
      </c>
    </row>
    <row r="1816" spans="1:6" ht="28.5" x14ac:dyDescent="0.4">
      <c r="A1816" s="3">
        <v>7317</v>
      </c>
      <c r="B1816" s="3" t="str">
        <f t="shared" si="56"/>
        <v>7</v>
      </c>
      <c r="C1816" s="4" t="s">
        <v>589</v>
      </c>
      <c r="D1816" s="4" t="s">
        <v>597</v>
      </c>
      <c r="E1816" s="4" t="s">
        <v>106</v>
      </c>
      <c r="F1816" s="2" t="str">
        <f t="shared" si="57"/>
        <v>Non-routine manual</v>
      </c>
    </row>
    <row r="1817" spans="1:6" ht="28.5" x14ac:dyDescent="0.4">
      <c r="A1817" s="3">
        <v>7318</v>
      </c>
      <c r="B1817" s="3" t="str">
        <f t="shared" si="56"/>
        <v>7</v>
      </c>
      <c r="C1817" s="4" t="s">
        <v>598</v>
      </c>
      <c r="D1817" s="8" t="s">
        <v>2511</v>
      </c>
      <c r="E1817" s="4" t="s">
        <v>106</v>
      </c>
      <c r="F1817" s="2" t="str">
        <f t="shared" si="57"/>
        <v>Non-routine manual</v>
      </c>
    </row>
    <row r="1818" spans="1:6" ht="28.5" x14ac:dyDescent="0.4">
      <c r="A1818" s="3">
        <v>7318</v>
      </c>
      <c r="B1818" s="3" t="str">
        <f t="shared" si="56"/>
        <v>7</v>
      </c>
      <c r="C1818" s="4" t="s">
        <v>598</v>
      </c>
      <c r="D1818" s="10" t="s">
        <v>2512</v>
      </c>
      <c r="E1818" s="4" t="s">
        <v>106</v>
      </c>
      <c r="F1818" s="2" t="str">
        <f t="shared" si="57"/>
        <v>Non-routine manual</v>
      </c>
    </row>
    <row r="1819" spans="1:6" ht="28.5" x14ac:dyDescent="0.4">
      <c r="A1819" s="3">
        <v>7318</v>
      </c>
      <c r="B1819" s="3" t="str">
        <f t="shared" si="56"/>
        <v>7</v>
      </c>
      <c r="C1819" s="4" t="s">
        <v>598</v>
      </c>
      <c r="D1819" s="5" t="s">
        <v>2513</v>
      </c>
      <c r="E1819" s="4" t="s">
        <v>106</v>
      </c>
      <c r="F1819" s="2" t="str">
        <f t="shared" si="57"/>
        <v>Non-routine manual</v>
      </c>
    </row>
    <row r="1820" spans="1:6" ht="28.5" x14ac:dyDescent="0.4">
      <c r="A1820" s="3">
        <v>7318</v>
      </c>
      <c r="B1820" s="3" t="str">
        <f t="shared" si="56"/>
        <v>7</v>
      </c>
      <c r="C1820" s="4" t="s">
        <v>598</v>
      </c>
      <c r="D1820" s="4" t="s">
        <v>599</v>
      </c>
      <c r="E1820" s="4" t="s">
        <v>106</v>
      </c>
      <c r="F1820" s="2" t="str">
        <f t="shared" si="57"/>
        <v>Non-routine manual</v>
      </c>
    </row>
    <row r="1821" spans="1:6" ht="28.5" x14ac:dyDescent="0.4">
      <c r="A1821" s="3">
        <v>7318</v>
      </c>
      <c r="B1821" s="3" t="str">
        <f t="shared" si="56"/>
        <v>7</v>
      </c>
      <c r="C1821" s="4" t="s">
        <v>598</v>
      </c>
      <c r="D1821" s="6" t="s">
        <v>600</v>
      </c>
      <c r="E1821" s="4" t="s">
        <v>106</v>
      </c>
      <c r="F1821" s="2" t="str">
        <f t="shared" si="57"/>
        <v>Non-routine manual</v>
      </c>
    </row>
    <row r="1822" spans="1:6" ht="28.5" x14ac:dyDescent="0.4">
      <c r="A1822" s="3">
        <v>7318</v>
      </c>
      <c r="B1822" s="3" t="str">
        <f t="shared" si="56"/>
        <v>7</v>
      </c>
      <c r="C1822" s="4" t="s">
        <v>598</v>
      </c>
      <c r="D1822" s="6" t="s">
        <v>601</v>
      </c>
      <c r="E1822" s="4" t="s">
        <v>106</v>
      </c>
      <c r="F1822" s="2" t="str">
        <f t="shared" si="57"/>
        <v>Non-routine manual</v>
      </c>
    </row>
    <row r="1823" spans="1:6" ht="28.5" x14ac:dyDescent="0.4">
      <c r="A1823" s="3">
        <v>7318</v>
      </c>
      <c r="B1823" s="3" t="str">
        <f t="shared" si="56"/>
        <v>7</v>
      </c>
      <c r="C1823" s="4" t="s">
        <v>598</v>
      </c>
      <c r="D1823" s="6" t="s">
        <v>602</v>
      </c>
      <c r="E1823" s="4" t="s">
        <v>106</v>
      </c>
      <c r="F1823" s="2" t="str">
        <f t="shared" si="57"/>
        <v>Non-routine manual</v>
      </c>
    </row>
    <row r="1824" spans="1:6" ht="28.5" x14ac:dyDescent="0.4">
      <c r="A1824" s="3">
        <v>7318</v>
      </c>
      <c r="B1824" s="3" t="str">
        <f t="shared" si="56"/>
        <v>7</v>
      </c>
      <c r="C1824" s="4" t="s">
        <v>598</v>
      </c>
      <c r="D1824" s="5" t="s">
        <v>2514</v>
      </c>
      <c r="E1824" s="4" t="s">
        <v>106</v>
      </c>
      <c r="F1824" s="2" t="str">
        <f t="shared" si="57"/>
        <v>Non-routine manual</v>
      </c>
    </row>
    <row r="1825" spans="1:6" ht="28.5" x14ac:dyDescent="0.4">
      <c r="A1825" s="3">
        <v>7318</v>
      </c>
      <c r="B1825" s="3" t="str">
        <f t="shared" si="56"/>
        <v>7</v>
      </c>
      <c r="C1825" s="4" t="s">
        <v>598</v>
      </c>
      <c r="D1825" s="6" t="s">
        <v>603</v>
      </c>
      <c r="E1825" s="4" t="s">
        <v>106</v>
      </c>
      <c r="F1825" s="2" t="str">
        <f t="shared" si="57"/>
        <v>Non-routine manual</v>
      </c>
    </row>
    <row r="1826" spans="1:6" ht="28.5" x14ac:dyDescent="0.4">
      <c r="A1826" s="3">
        <v>7318</v>
      </c>
      <c r="B1826" s="3" t="str">
        <f t="shared" si="56"/>
        <v>7</v>
      </c>
      <c r="C1826" s="4" t="s">
        <v>598</v>
      </c>
      <c r="D1826" s="9" t="s">
        <v>604</v>
      </c>
      <c r="E1826" s="4" t="s">
        <v>106</v>
      </c>
      <c r="F1826" s="2" t="str">
        <f t="shared" si="57"/>
        <v>Non-routine manual</v>
      </c>
    </row>
    <row r="1827" spans="1:6" ht="28.5" x14ac:dyDescent="0.4">
      <c r="A1827" s="3">
        <v>7318</v>
      </c>
      <c r="B1827" s="3" t="str">
        <f t="shared" si="56"/>
        <v>7</v>
      </c>
      <c r="C1827" s="4" t="s">
        <v>598</v>
      </c>
      <c r="D1827" s="7" t="s">
        <v>605</v>
      </c>
      <c r="E1827" s="4" t="s">
        <v>50</v>
      </c>
      <c r="F1827" s="2" t="str">
        <f t="shared" si="57"/>
        <v>Routine cognitive</v>
      </c>
    </row>
    <row r="1828" spans="1:6" ht="28.5" x14ac:dyDescent="0.4">
      <c r="A1828" s="3">
        <v>7318</v>
      </c>
      <c r="B1828" s="3" t="str">
        <f t="shared" si="56"/>
        <v>7</v>
      </c>
      <c r="C1828" s="4" t="s">
        <v>598</v>
      </c>
      <c r="D1828" s="9" t="s">
        <v>606</v>
      </c>
      <c r="E1828" s="4" t="s">
        <v>106</v>
      </c>
      <c r="F1828" s="2" t="str">
        <f t="shared" si="57"/>
        <v>Non-routine manual</v>
      </c>
    </row>
    <row r="1829" spans="1:6" ht="28.5" x14ac:dyDescent="0.4">
      <c r="A1829" s="3">
        <v>7318</v>
      </c>
      <c r="B1829" s="3" t="str">
        <f t="shared" si="56"/>
        <v>7</v>
      </c>
      <c r="C1829" s="4" t="s">
        <v>598</v>
      </c>
      <c r="D1829" s="7" t="s">
        <v>607</v>
      </c>
      <c r="E1829" s="4" t="s">
        <v>106</v>
      </c>
      <c r="F1829" s="2" t="str">
        <f t="shared" si="57"/>
        <v>Non-routine manual</v>
      </c>
    </row>
    <row r="1830" spans="1:6" ht="28.5" x14ac:dyDescent="0.4">
      <c r="A1830" s="3">
        <v>7318</v>
      </c>
      <c r="B1830" s="3" t="str">
        <f t="shared" si="56"/>
        <v>7</v>
      </c>
      <c r="C1830" s="4" t="s">
        <v>598</v>
      </c>
      <c r="D1830" s="6" t="s">
        <v>608</v>
      </c>
      <c r="E1830" s="4" t="s">
        <v>106</v>
      </c>
      <c r="F1830" s="2" t="str">
        <f t="shared" si="57"/>
        <v>Non-routine manual</v>
      </c>
    </row>
    <row r="1831" spans="1:6" ht="28.5" x14ac:dyDescent="0.4">
      <c r="A1831" s="3">
        <v>7319</v>
      </c>
      <c r="B1831" s="3" t="str">
        <f t="shared" si="56"/>
        <v>7</v>
      </c>
      <c r="C1831" s="4" t="s">
        <v>609</v>
      </c>
      <c r="D1831" s="4" t="s">
        <v>82</v>
      </c>
      <c r="E1831" s="4" t="s">
        <v>3652</v>
      </c>
      <c r="F1831" s="2" t="str">
        <f t="shared" si="57"/>
        <v>NA</v>
      </c>
    </row>
    <row r="1832" spans="1:6" ht="42.75" x14ac:dyDescent="0.4">
      <c r="A1832" s="3">
        <v>7322</v>
      </c>
      <c r="B1832" s="3" t="str">
        <f t="shared" si="56"/>
        <v>7</v>
      </c>
      <c r="C1832" s="4" t="s">
        <v>610</v>
      </c>
      <c r="D1832" s="5" t="s">
        <v>2515</v>
      </c>
      <c r="E1832" s="4" t="s">
        <v>50</v>
      </c>
      <c r="F1832" s="2" t="str">
        <f t="shared" si="57"/>
        <v>Routine cognitive</v>
      </c>
    </row>
    <row r="1833" spans="1:6" ht="28.5" x14ac:dyDescent="0.4">
      <c r="A1833" s="3">
        <v>7322</v>
      </c>
      <c r="B1833" s="3" t="str">
        <f t="shared" si="56"/>
        <v>7</v>
      </c>
      <c r="C1833" s="4" t="s">
        <v>610</v>
      </c>
      <c r="D1833" s="5" t="s">
        <v>2516</v>
      </c>
      <c r="E1833" s="4" t="s">
        <v>50</v>
      </c>
      <c r="F1833" s="2" t="str">
        <f t="shared" si="57"/>
        <v>Routine cognitive</v>
      </c>
    </row>
    <row r="1834" spans="1:6" ht="42.75" x14ac:dyDescent="0.4">
      <c r="A1834" s="3">
        <v>7322</v>
      </c>
      <c r="B1834" s="3" t="str">
        <f t="shared" si="56"/>
        <v>7</v>
      </c>
      <c r="C1834" s="4" t="s">
        <v>610</v>
      </c>
      <c r="D1834" s="5" t="s">
        <v>2517</v>
      </c>
      <c r="E1834" s="4" t="s">
        <v>50</v>
      </c>
      <c r="F1834" s="2" t="str">
        <f t="shared" si="57"/>
        <v>Routine cognitive</v>
      </c>
    </row>
    <row r="1835" spans="1:6" ht="42.75" x14ac:dyDescent="0.4">
      <c r="A1835" s="3">
        <v>7322</v>
      </c>
      <c r="B1835" s="3" t="str">
        <f t="shared" si="56"/>
        <v>7</v>
      </c>
      <c r="C1835" s="4" t="s">
        <v>610</v>
      </c>
      <c r="D1835" s="5" t="s">
        <v>2518</v>
      </c>
      <c r="E1835" s="4" t="s">
        <v>50</v>
      </c>
      <c r="F1835" s="2" t="str">
        <f t="shared" si="57"/>
        <v>Routine cognitive</v>
      </c>
    </row>
    <row r="1836" spans="1:6" ht="28.5" x14ac:dyDescent="0.4">
      <c r="A1836" s="3">
        <v>7322</v>
      </c>
      <c r="B1836" s="3" t="str">
        <f t="shared" si="56"/>
        <v>7</v>
      </c>
      <c r="C1836" s="4" t="s">
        <v>610</v>
      </c>
      <c r="D1836" s="8" t="s">
        <v>2519</v>
      </c>
      <c r="E1836" s="4" t="s">
        <v>182</v>
      </c>
      <c r="F1836" s="2" t="str">
        <f t="shared" si="57"/>
        <v>Routine manual</v>
      </c>
    </row>
    <row r="1837" spans="1:6" x14ac:dyDescent="0.4">
      <c r="A1837" s="3">
        <v>7322</v>
      </c>
      <c r="B1837" s="3" t="str">
        <f t="shared" si="56"/>
        <v>7</v>
      </c>
      <c r="C1837" s="4" t="s">
        <v>610</v>
      </c>
      <c r="D1837" s="6" t="s">
        <v>611</v>
      </c>
      <c r="E1837" s="4" t="s">
        <v>182</v>
      </c>
      <c r="F1837" s="2" t="str">
        <f t="shared" si="57"/>
        <v>Routine manual</v>
      </c>
    </row>
    <row r="1838" spans="1:6" ht="28.5" x14ac:dyDescent="0.4">
      <c r="A1838" s="3">
        <v>7322</v>
      </c>
      <c r="B1838" s="3" t="str">
        <f t="shared" si="56"/>
        <v>7</v>
      </c>
      <c r="C1838" s="4" t="s">
        <v>610</v>
      </c>
      <c r="D1838" s="10" t="s">
        <v>2520</v>
      </c>
      <c r="E1838" s="4" t="s">
        <v>50</v>
      </c>
      <c r="F1838" s="2" t="str">
        <f t="shared" si="57"/>
        <v>Routine cognitive</v>
      </c>
    </row>
    <row r="1839" spans="1:6" ht="28.5" x14ac:dyDescent="0.4">
      <c r="A1839" s="3">
        <v>7322</v>
      </c>
      <c r="B1839" s="3" t="str">
        <f t="shared" si="56"/>
        <v>7</v>
      </c>
      <c r="C1839" s="4" t="s">
        <v>610</v>
      </c>
      <c r="D1839" s="10" t="s">
        <v>2521</v>
      </c>
      <c r="E1839" s="4" t="s">
        <v>106</v>
      </c>
      <c r="F1839" s="2" t="str">
        <f t="shared" si="57"/>
        <v>Non-routine manual</v>
      </c>
    </row>
    <row r="1840" spans="1:6" ht="28.5" x14ac:dyDescent="0.4">
      <c r="A1840" s="3">
        <v>7322</v>
      </c>
      <c r="B1840" s="3" t="str">
        <f t="shared" si="56"/>
        <v>7</v>
      </c>
      <c r="C1840" s="4" t="s">
        <v>610</v>
      </c>
      <c r="D1840" s="8" t="s">
        <v>2522</v>
      </c>
      <c r="E1840" s="4" t="s">
        <v>50</v>
      </c>
      <c r="F1840" s="2" t="str">
        <f t="shared" si="57"/>
        <v>Routine cognitive</v>
      </c>
    </row>
    <row r="1841" spans="1:6" ht="28.5" x14ac:dyDescent="0.4">
      <c r="A1841" s="3">
        <v>7323</v>
      </c>
      <c r="B1841" s="3" t="str">
        <f t="shared" si="56"/>
        <v>7</v>
      </c>
      <c r="C1841" s="4" t="s">
        <v>612</v>
      </c>
      <c r="D1841" s="8" t="s">
        <v>2523</v>
      </c>
      <c r="E1841" s="4" t="s">
        <v>3</v>
      </c>
      <c r="F1841" s="2" t="str">
        <f t="shared" si="57"/>
        <v>Non-routine cognitive</v>
      </c>
    </row>
    <row r="1842" spans="1:6" ht="28.5" x14ac:dyDescent="0.4">
      <c r="A1842" s="3">
        <v>7323</v>
      </c>
      <c r="B1842" s="3" t="str">
        <f t="shared" si="56"/>
        <v>7</v>
      </c>
      <c r="C1842" s="4" t="s">
        <v>612</v>
      </c>
      <c r="D1842" s="10" t="s">
        <v>2524</v>
      </c>
      <c r="E1842" s="4" t="s">
        <v>106</v>
      </c>
      <c r="F1842" s="2" t="str">
        <f t="shared" si="57"/>
        <v>Non-routine manual</v>
      </c>
    </row>
    <row r="1843" spans="1:6" ht="28.5" x14ac:dyDescent="0.4">
      <c r="A1843" s="3">
        <v>7323</v>
      </c>
      <c r="B1843" s="3" t="str">
        <f t="shared" si="56"/>
        <v>7</v>
      </c>
      <c r="C1843" s="4" t="s">
        <v>612</v>
      </c>
      <c r="D1843" s="8" t="s">
        <v>2525</v>
      </c>
      <c r="E1843" s="4" t="s">
        <v>182</v>
      </c>
      <c r="F1843" s="2" t="str">
        <f t="shared" si="57"/>
        <v>Routine manual</v>
      </c>
    </row>
    <row r="1844" spans="1:6" ht="57" x14ac:dyDescent="0.4">
      <c r="A1844" s="3">
        <v>7323</v>
      </c>
      <c r="B1844" s="3" t="str">
        <f t="shared" si="56"/>
        <v>7</v>
      </c>
      <c r="C1844" s="4" t="s">
        <v>612</v>
      </c>
      <c r="D1844" s="5" t="s">
        <v>2526</v>
      </c>
      <c r="E1844" s="4" t="s">
        <v>182</v>
      </c>
      <c r="F1844" s="2" t="str">
        <f t="shared" si="57"/>
        <v>Routine manual</v>
      </c>
    </row>
    <row r="1845" spans="1:6" ht="42.75" x14ac:dyDescent="0.4">
      <c r="A1845" s="3">
        <v>7323</v>
      </c>
      <c r="B1845" s="3" t="str">
        <f t="shared" si="56"/>
        <v>7</v>
      </c>
      <c r="C1845" s="4" t="s">
        <v>612</v>
      </c>
      <c r="D1845" s="5" t="s">
        <v>2527</v>
      </c>
      <c r="E1845" s="4" t="s">
        <v>182</v>
      </c>
      <c r="F1845" s="2" t="str">
        <f t="shared" si="57"/>
        <v>Routine manual</v>
      </c>
    </row>
    <row r="1846" spans="1:6" ht="28.5" x14ac:dyDescent="0.4">
      <c r="A1846" s="3">
        <v>7323</v>
      </c>
      <c r="B1846" s="3" t="str">
        <f t="shared" si="56"/>
        <v>7</v>
      </c>
      <c r="C1846" s="4" t="s">
        <v>612</v>
      </c>
      <c r="D1846" s="10" t="s">
        <v>2528</v>
      </c>
      <c r="E1846" s="4" t="s">
        <v>182</v>
      </c>
      <c r="F1846" s="2" t="str">
        <f t="shared" si="57"/>
        <v>Routine manual</v>
      </c>
    </row>
    <row r="1847" spans="1:6" ht="28.5" x14ac:dyDescent="0.4">
      <c r="A1847" s="3">
        <v>7323</v>
      </c>
      <c r="B1847" s="3" t="str">
        <f t="shared" si="56"/>
        <v>7</v>
      </c>
      <c r="C1847" s="4" t="s">
        <v>612</v>
      </c>
      <c r="D1847" s="10" t="s">
        <v>2529</v>
      </c>
      <c r="E1847" s="4" t="s">
        <v>182</v>
      </c>
      <c r="F1847" s="2" t="str">
        <f t="shared" si="57"/>
        <v>Routine manual</v>
      </c>
    </row>
    <row r="1848" spans="1:6" ht="42.75" x14ac:dyDescent="0.4">
      <c r="A1848" s="3">
        <v>7411</v>
      </c>
      <c r="B1848" s="3" t="str">
        <f t="shared" si="56"/>
        <v>7</v>
      </c>
      <c r="C1848" s="4" t="s">
        <v>613</v>
      </c>
      <c r="D1848" s="5" t="s">
        <v>2530</v>
      </c>
      <c r="E1848" s="4" t="s">
        <v>106</v>
      </c>
      <c r="F1848" s="2" t="str">
        <f t="shared" si="57"/>
        <v>Non-routine manual</v>
      </c>
    </row>
    <row r="1849" spans="1:6" ht="42.75" x14ac:dyDescent="0.4">
      <c r="A1849" s="3">
        <v>7411</v>
      </c>
      <c r="B1849" s="3" t="str">
        <f t="shared" si="56"/>
        <v>7</v>
      </c>
      <c r="C1849" s="4" t="s">
        <v>613</v>
      </c>
      <c r="D1849" s="5" t="s">
        <v>2531</v>
      </c>
      <c r="E1849" s="4" t="s">
        <v>4</v>
      </c>
      <c r="F1849" s="2" t="str">
        <f t="shared" si="57"/>
        <v>Non-routine cognitive</v>
      </c>
    </row>
    <row r="1850" spans="1:6" ht="42.75" x14ac:dyDescent="0.4">
      <c r="A1850" s="3">
        <v>7411</v>
      </c>
      <c r="B1850" s="3" t="str">
        <f t="shared" si="56"/>
        <v>7</v>
      </c>
      <c r="C1850" s="4" t="s">
        <v>613</v>
      </c>
      <c r="D1850" s="5" t="s">
        <v>2532</v>
      </c>
      <c r="E1850" s="4" t="s">
        <v>4</v>
      </c>
      <c r="F1850" s="2" t="str">
        <f t="shared" si="57"/>
        <v>Non-routine cognitive</v>
      </c>
    </row>
    <row r="1851" spans="1:6" ht="42.75" x14ac:dyDescent="0.4">
      <c r="A1851" s="3">
        <v>7411</v>
      </c>
      <c r="B1851" s="3" t="str">
        <f t="shared" si="56"/>
        <v>7</v>
      </c>
      <c r="C1851" s="4" t="s">
        <v>613</v>
      </c>
      <c r="D1851" s="5" t="s">
        <v>2533</v>
      </c>
      <c r="E1851" s="4" t="s">
        <v>106</v>
      </c>
      <c r="F1851" s="2" t="str">
        <f t="shared" si="57"/>
        <v>Non-routine manual</v>
      </c>
    </row>
    <row r="1852" spans="1:6" ht="28.5" x14ac:dyDescent="0.4">
      <c r="A1852" s="3">
        <v>7411</v>
      </c>
      <c r="B1852" s="3" t="str">
        <f t="shared" si="56"/>
        <v>7</v>
      </c>
      <c r="C1852" s="4" t="s">
        <v>613</v>
      </c>
      <c r="D1852" s="5" t="s">
        <v>2534</v>
      </c>
      <c r="E1852" s="4" t="s">
        <v>106</v>
      </c>
      <c r="F1852" s="2" t="str">
        <f t="shared" si="57"/>
        <v>Non-routine manual</v>
      </c>
    </row>
    <row r="1853" spans="1:6" x14ac:dyDescent="0.4">
      <c r="A1853" s="3">
        <v>7411</v>
      </c>
      <c r="B1853" s="3" t="str">
        <f t="shared" si="56"/>
        <v>7</v>
      </c>
      <c r="C1853" s="4" t="s">
        <v>613</v>
      </c>
      <c r="D1853" s="6" t="s">
        <v>614</v>
      </c>
      <c r="E1853" s="4" t="s">
        <v>50</v>
      </c>
      <c r="F1853" s="2" t="str">
        <f t="shared" si="57"/>
        <v>Routine cognitive</v>
      </c>
    </row>
    <row r="1854" spans="1:6" ht="28.5" x14ac:dyDescent="0.4">
      <c r="A1854" s="3">
        <v>7411</v>
      </c>
      <c r="B1854" s="3" t="str">
        <f t="shared" si="56"/>
        <v>7</v>
      </c>
      <c r="C1854" s="4" t="s">
        <v>613</v>
      </c>
      <c r="D1854" s="7" t="s">
        <v>615</v>
      </c>
      <c r="E1854" s="4" t="s">
        <v>106</v>
      </c>
      <c r="F1854" s="2" t="str">
        <f t="shared" si="57"/>
        <v>Non-routine manual</v>
      </c>
    </row>
    <row r="1855" spans="1:6" x14ac:dyDescent="0.4">
      <c r="A1855" s="3">
        <v>7411</v>
      </c>
      <c r="B1855" s="3" t="str">
        <f t="shared" si="56"/>
        <v>7</v>
      </c>
      <c r="C1855" s="4" t="s">
        <v>613</v>
      </c>
      <c r="D1855" s="12" t="s">
        <v>616</v>
      </c>
      <c r="E1855" s="4" t="s">
        <v>50</v>
      </c>
      <c r="F1855" s="2" t="str">
        <f t="shared" si="57"/>
        <v>Routine cognitive</v>
      </c>
    </row>
    <row r="1856" spans="1:6" ht="42.75" x14ac:dyDescent="0.4">
      <c r="A1856" s="3">
        <v>7412</v>
      </c>
      <c r="B1856" s="3" t="str">
        <f t="shared" si="56"/>
        <v>7</v>
      </c>
      <c r="C1856" s="4" t="s">
        <v>617</v>
      </c>
      <c r="D1856" s="5" t="s">
        <v>2535</v>
      </c>
      <c r="E1856" s="4" t="s">
        <v>106</v>
      </c>
      <c r="F1856" s="2" t="str">
        <f t="shared" si="57"/>
        <v>Non-routine manual</v>
      </c>
    </row>
    <row r="1857" spans="1:6" ht="42.75" x14ac:dyDescent="0.4">
      <c r="A1857" s="3">
        <v>7412</v>
      </c>
      <c r="B1857" s="3" t="str">
        <f t="shared" si="56"/>
        <v>7</v>
      </c>
      <c r="C1857" s="4" t="s">
        <v>617</v>
      </c>
      <c r="D1857" s="5" t="s">
        <v>2536</v>
      </c>
      <c r="E1857" s="4" t="s">
        <v>106</v>
      </c>
      <c r="F1857" s="2" t="str">
        <f t="shared" si="57"/>
        <v>Non-routine manual</v>
      </c>
    </row>
    <row r="1858" spans="1:6" ht="28.5" x14ac:dyDescent="0.4">
      <c r="A1858" s="3">
        <v>7412</v>
      </c>
      <c r="B1858" s="3" t="str">
        <f t="shared" si="56"/>
        <v>7</v>
      </c>
      <c r="C1858" s="5" t="s">
        <v>2537</v>
      </c>
      <c r="D1858" s="5" t="s">
        <v>2538</v>
      </c>
      <c r="E1858" s="4" t="s">
        <v>50</v>
      </c>
      <c r="F1858" s="2" t="str">
        <f t="shared" si="57"/>
        <v>Routine cognitive</v>
      </c>
    </row>
    <row r="1859" spans="1:6" ht="42.75" x14ac:dyDescent="0.4">
      <c r="A1859" s="3">
        <v>7412</v>
      </c>
      <c r="B1859" s="3" t="str">
        <f t="shared" ref="B1859:B1922" si="58">LEFT(A1859,1)</f>
        <v>7</v>
      </c>
      <c r="C1859" s="4" t="s">
        <v>617</v>
      </c>
      <c r="D1859" s="5" t="s">
        <v>2539</v>
      </c>
      <c r="E1859" s="4" t="s">
        <v>106</v>
      </c>
      <c r="F1859" s="2" t="str">
        <f t="shared" ref="F1859:F1922" si="59">IF(E1859="Non-routine interpersonal","Non-routine cognitive",IF(E1859="Non-routine analytical","Non-routine cognitive",IF(E1859="Non-routine manual physical","Non-routine manual",E1859)))</f>
        <v>Non-routine manual</v>
      </c>
    </row>
    <row r="1860" spans="1:6" ht="42.75" x14ac:dyDescent="0.4">
      <c r="A1860" s="3">
        <v>7412</v>
      </c>
      <c r="B1860" s="3" t="str">
        <f t="shared" si="58"/>
        <v>7</v>
      </c>
      <c r="C1860" s="4" t="s">
        <v>617</v>
      </c>
      <c r="D1860" s="5" t="s">
        <v>2540</v>
      </c>
      <c r="E1860" s="4" t="s">
        <v>106</v>
      </c>
      <c r="F1860" s="2" t="str">
        <f t="shared" si="59"/>
        <v>Non-routine manual</v>
      </c>
    </row>
    <row r="1861" spans="1:6" x14ac:dyDescent="0.4">
      <c r="A1861" s="3">
        <v>7412</v>
      </c>
      <c r="B1861" s="3" t="str">
        <f t="shared" si="58"/>
        <v>7</v>
      </c>
      <c r="C1861" s="4" t="s">
        <v>617</v>
      </c>
      <c r="D1861" s="6" t="s">
        <v>618</v>
      </c>
      <c r="E1861" s="4" t="s">
        <v>50</v>
      </c>
      <c r="F1861" s="2" t="str">
        <f t="shared" si="59"/>
        <v>Routine cognitive</v>
      </c>
    </row>
    <row r="1862" spans="1:6" ht="28.5" x14ac:dyDescent="0.4">
      <c r="A1862" s="3">
        <v>7412</v>
      </c>
      <c r="B1862" s="3" t="str">
        <f t="shared" si="58"/>
        <v>7</v>
      </c>
      <c r="C1862" s="5" t="s">
        <v>2537</v>
      </c>
      <c r="D1862" s="14" t="s">
        <v>619</v>
      </c>
      <c r="E1862" s="4" t="s">
        <v>106</v>
      </c>
      <c r="F1862" s="2" t="str">
        <f t="shared" si="59"/>
        <v>Non-routine manual</v>
      </c>
    </row>
    <row r="1863" spans="1:6" ht="42.75" x14ac:dyDescent="0.4">
      <c r="A1863" s="3">
        <v>7413</v>
      </c>
      <c r="B1863" s="3" t="str">
        <f t="shared" si="58"/>
        <v>7</v>
      </c>
      <c r="C1863" s="4" t="s">
        <v>620</v>
      </c>
      <c r="D1863" s="5" t="s">
        <v>2541</v>
      </c>
      <c r="E1863" s="4" t="s">
        <v>106</v>
      </c>
      <c r="F1863" s="2" t="str">
        <f t="shared" si="59"/>
        <v>Non-routine manual</v>
      </c>
    </row>
    <row r="1864" spans="1:6" ht="28.5" x14ac:dyDescent="0.4">
      <c r="A1864" s="3">
        <v>7413</v>
      </c>
      <c r="B1864" s="3" t="str">
        <f t="shared" si="58"/>
        <v>7</v>
      </c>
      <c r="C1864" s="5" t="s">
        <v>2542</v>
      </c>
      <c r="D1864" s="6" t="s">
        <v>621</v>
      </c>
      <c r="E1864" s="4" t="s">
        <v>106</v>
      </c>
      <c r="F1864" s="2" t="str">
        <f t="shared" si="59"/>
        <v>Non-routine manual</v>
      </c>
    </row>
    <row r="1865" spans="1:6" ht="42.75" x14ac:dyDescent="0.4">
      <c r="A1865" s="3">
        <v>7413</v>
      </c>
      <c r="B1865" s="3" t="str">
        <f t="shared" si="58"/>
        <v>7</v>
      </c>
      <c r="C1865" s="4" t="s">
        <v>620</v>
      </c>
      <c r="D1865" s="5" t="s">
        <v>2543</v>
      </c>
      <c r="E1865" s="4" t="s">
        <v>50</v>
      </c>
      <c r="F1865" s="2" t="str">
        <f t="shared" si="59"/>
        <v>Routine cognitive</v>
      </c>
    </row>
    <row r="1866" spans="1:6" ht="42.75" x14ac:dyDescent="0.4">
      <c r="A1866" s="3">
        <v>7413</v>
      </c>
      <c r="B1866" s="3" t="str">
        <f t="shared" si="58"/>
        <v>7</v>
      </c>
      <c r="C1866" s="4" t="s">
        <v>620</v>
      </c>
      <c r="D1866" s="5" t="s">
        <v>2544</v>
      </c>
      <c r="E1866" s="4" t="s">
        <v>106</v>
      </c>
      <c r="F1866" s="2" t="str">
        <f t="shared" si="59"/>
        <v>Non-routine manual</v>
      </c>
    </row>
    <row r="1867" spans="1:6" ht="28.5" x14ac:dyDescent="0.4">
      <c r="A1867" s="3">
        <v>7413</v>
      </c>
      <c r="B1867" s="3" t="str">
        <f t="shared" si="58"/>
        <v>7</v>
      </c>
      <c r="C1867" s="4" t="s">
        <v>620</v>
      </c>
      <c r="D1867" s="4" t="s">
        <v>622</v>
      </c>
      <c r="E1867" s="4" t="s">
        <v>106</v>
      </c>
      <c r="F1867" s="2" t="str">
        <f t="shared" si="59"/>
        <v>Non-routine manual</v>
      </c>
    </row>
    <row r="1868" spans="1:6" ht="42.75" x14ac:dyDescent="0.4">
      <c r="A1868" s="3">
        <v>7413</v>
      </c>
      <c r="B1868" s="3" t="str">
        <f t="shared" si="58"/>
        <v>7</v>
      </c>
      <c r="C1868" s="4" t="s">
        <v>620</v>
      </c>
      <c r="D1868" s="5" t="s">
        <v>2545</v>
      </c>
      <c r="E1868" s="4" t="s">
        <v>4</v>
      </c>
      <c r="F1868" s="2" t="str">
        <f t="shared" si="59"/>
        <v>Non-routine cognitive</v>
      </c>
    </row>
    <row r="1869" spans="1:6" ht="28.5" x14ac:dyDescent="0.4">
      <c r="A1869" s="3">
        <v>7421</v>
      </c>
      <c r="B1869" s="3" t="str">
        <f t="shared" si="58"/>
        <v>7</v>
      </c>
      <c r="C1869" s="4" t="s">
        <v>623</v>
      </c>
      <c r="D1869" s="5" t="s">
        <v>2546</v>
      </c>
      <c r="E1869" s="4" t="s">
        <v>4</v>
      </c>
      <c r="F1869" s="2" t="str">
        <f t="shared" si="59"/>
        <v>Non-routine cognitive</v>
      </c>
    </row>
    <row r="1870" spans="1:6" ht="42.75" x14ac:dyDescent="0.4">
      <c r="A1870" s="3">
        <v>7421</v>
      </c>
      <c r="B1870" s="3" t="str">
        <f t="shared" si="58"/>
        <v>7</v>
      </c>
      <c r="C1870" s="4" t="s">
        <v>623</v>
      </c>
      <c r="D1870" s="5" t="s">
        <v>2547</v>
      </c>
      <c r="E1870" s="4" t="s">
        <v>106</v>
      </c>
      <c r="F1870" s="2" t="str">
        <f t="shared" si="59"/>
        <v>Non-routine manual</v>
      </c>
    </row>
    <row r="1871" spans="1:6" x14ac:dyDescent="0.4">
      <c r="A1871" s="3">
        <v>7421</v>
      </c>
      <c r="B1871" s="3" t="str">
        <f t="shared" si="58"/>
        <v>7</v>
      </c>
      <c r="C1871" s="4" t="s">
        <v>623</v>
      </c>
      <c r="D1871" s="7" t="s">
        <v>624</v>
      </c>
      <c r="E1871" s="4" t="s">
        <v>182</v>
      </c>
      <c r="F1871" s="2" t="str">
        <f t="shared" si="59"/>
        <v>Routine manual</v>
      </c>
    </row>
    <row r="1872" spans="1:6" ht="28.5" x14ac:dyDescent="0.4">
      <c r="A1872" s="3">
        <v>7421</v>
      </c>
      <c r="B1872" s="3" t="str">
        <f t="shared" si="58"/>
        <v>7</v>
      </c>
      <c r="C1872" s="5" t="s">
        <v>2548</v>
      </c>
      <c r="D1872" s="5" t="s">
        <v>2549</v>
      </c>
      <c r="E1872" s="4" t="s">
        <v>106</v>
      </c>
      <c r="F1872" s="2" t="str">
        <f t="shared" si="59"/>
        <v>Non-routine manual</v>
      </c>
    </row>
    <row r="1873" spans="1:6" ht="28.5" x14ac:dyDescent="0.4">
      <c r="A1873" s="3">
        <v>7421</v>
      </c>
      <c r="B1873" s="3" t="str">
        <f t="shared" si="58"/>
        <v>7</v>
      </c>
      <c r="C1873" s="4" t="s">
        <v>623</v>
      </c>
      <c r="D1873" s="4" t="s">
        <v>625</v>
      </c>
      <c r="E1873" s="4" t="s">
        <v>3</v>
      </c>
      <c r="F1873" s="2" t="str">
        <f t="shared" si="59"/>
        <v>Non-routine cognitive</v>
      </c>
    </row>
    <row r="1874" spans="1:6" ht="28.5" x14ac:dyDescent="0.4">
      <c r="A1874" s="3">
        <v>7421</v>
      </c>
      <c r="B1874" s="3" t="str">
        <f t="shared" si="58"/>
        <v>7</v>
      </c>
      <c r="C1874" s="4" t="s">
        <v>623</v>
      </c>
      <c r="D1874" s="5" t="s">
        <v>2550</v>
      </c>
      <c r="E1874" s="4" t="s">
        <v>4</v>
      </c>
      <c r="F1874" s="2" t="str">
        <f t="shared" si="59"/>
        <v>Non-routine cognitive</v>
      </c>
    </row>
    <row r="1875" spans="1:6" ht="42.75" x14ac:dyDescent="0.4">
      <c r="A1875" s="3">
        <v>7421</v>
      </c>
      <c r="B1875" s="3" t="str">
        <f t="shared" si="58"/>
        <v>7</v>
      </c>
      <c r="C1875" s="4" t="s">
        <v>623</v>
      </c>
      <c r="D1875" s="5" t="s">
        <v>2551</v>
      </c>
      <c r="E1875" s="4" t="s">
        <v>106</v>
      </c>
      <c r="F1875" s="2" t="str">
        <f t="shared" si="59"/>
        <v>Non-routine manual</v>
      </c>
    </row>
    <row r="1876" spans="1:6" ht="28.5" x14ac:dyDescent="0.4">
      <c r="A1876" s="3">
        <v>7421</v>
      </c>
      <c r="B1876" s="3" t="str">
        <f t="shared" si="58"/>
        <v>7</v>
      </c>
      <c r="C1876" s="4" t="s">
        <v>623</v>
      </c>
      <c r="D1876" s="5" t="s">
        <v>2552</v>
      </c>
      <c r="E1876" s="4" t="s">
        <v>106</v>
      </c>
      <c r="F1876" s="2" t="str">
        <f t="shared" si="59"/>
        <v>Non-routine manual</v>
      </c>
    </row>
    <row r="1877" spans="1:6" x14ac:dyDescent="0.4">
      <c r="A1877" s="3">
        <v>7421</v>
      </c>
      <c r="B1877" s="3" t="str">
        <f t="shared" si="58"/>
        <v>7</v>
      </c>
      <c r="C1877" s="4" t="s">
        <v>623</v>
      </c>
      <c r="D1877" s="6" t="s">
        <v>626</v>
      </c>
      <c r="E1877" s="4" t="s">
        <v>50</v>
      </c>
      <c r="F1877" s="2" t="str">
        <f t="shared" si="59"/>
        <v>Routine cognitive</v>
      </c>
    </row>
    <row r="1878" spans="1:6" ht="28.5" x14ac:dyDescent="0.4">
      <c r="A1878" s="3">
        <v>7422</v>
      </c>
      <c r="B1878" s="3" t="str">
        <f t="shared" si="58"/>
        <v>7</v>
      </c>
      <c r="C1878" s="4" t="s">
        <v>627</v>
      </c>
      <c r="D1878" s="4" t="s">
        <v>628</v>
      </c>
      <c r="E1878" s="4" t="s">
        <v>106</v>
      </c>
      <c r="F1878" s="2" t="str">
        <f t="shared" si="59"/>
        <v>Non-routine manual</v>
      </c>
    </row>
    <row r="1879" spans="1:6" ht="28.5" x14ac:dyDescent="0.4">
      <c r="A1879" s="3">
        <v>7422</v>
      </c>
      <c r="B1879" s="3" t="str">
        <f t="shared" si="58"/>
        <v>7</v>
      </c>
      <c r="C1879" s="4" t="s">
        <v>627</v>
      </c>
      <c r="D1879" s="12" t="s">
        <v>629</v>
      </c>
      <c r="E1879" s="4" t="s">
        <v>106</v>
      </c>
      <c r="F1879" s="2" t="str">
        <f t="shared" si="59"/>
        <v>Non-routine manual</v>
      </c>
    </row>
    <row r="1880" spans="1:6" ht="42.75" x14ac:dyDescent="0.4">
      <c r="A1880" s="3">
        <v>7422</v>
      </c>
      <c r="B1880" s="3" t="str">
        <f t="shared" si="58"/>
        <v>7</v>
      </c>
      <c r="C1880" s="4" t="s">
        <v>627</v>
      </c>
      <c r="D1880" s="5" t="s">
        <v>2553</v>
      </c>
      <c r="E1880" s="4" t="s">
        <v>106</v>
      </c>
      <c r="F1880" s="2" t="str">
        <f t="shared" si="59"/>
        <v>Non-routine manual</v>
      </c>
    </row>
    <row r="1881" spans="1:6" ht="28.5" x14ac:dyDescent="0.4">
      <c r="A1881" s="3">
        <v>7422</v>
      </c>
      <c r="B1881" s="3" t="str">
        <f t="shared" si="58"/>
        <v>7</v>
      </c>
      <c r="C1881" s="4" t="s">
        <v>627</v>
      </c>
      <c r="D1881" s="4" t="s">
        <v>630</v>
      </c>
      <c r="E1881" s="4" t="s">
        <v>50</v>
      </c>
      <c r="F1881" s="2" t="str">
        <f t="shared" si="59"/>
        <v>Routine cognitive</v>
      </c>
    </row>
    <row r="1882" spans="1:6" ht="28.5" x14ac:dyDescent="0.4">
      <c r="A1882" s="3">
        <v>7422</v>
      </c>
      <c r="B1882" s="3" t="str">
        <f t="shared" si="58"/>
        <v>7</v>
      </c>
      <c r="C1882" s="4" t="s">
        <v>627</v>
      </c>
      <c r="D1882" s="4" t="s">
        <v>631</v>
      </c>
      <c r="E1882" s="4" t="s">
        <v>106</v>
      </c>
      <c r="F1882" s="2" t="str">
        <f t="shared" si="59"/>
        <v>Non-routine manual</v>
      </c>
    </row>
    <row r="1883" spans="1:6" ht="28.5" x14ac:dyDescent="0.4">
      <c r="A1883" s="3">
        <v>7422</v>
      </c>
      <c r="B1883" s="3" t="str">
        <f t="shared" si="58"/>
        <v>7</v>
      </c>
      <c r="C1883" s="4" t="s">
        <v>627</v>
      </c>
      <c r="D1883" s="4" t="s">
        <v>632</v>
      </c>
      <c r="E1883" s="4" t="s">
        <v>106</v>
      </c>
      <c r="F1883" s="2" t="str">
        <f t="shared" si="59"/>
        <v>Non-routine manual</v>
      </c>
    </row>
    <row r="1884" spans="1:6" ht="28.5" x14ac:dyDescent="0.4">
      <c r="A1884" s="3">
        <v>7422</v>
      </c>
      <c r="B1884" s="3" t="str">
        <f t="shared" si="58"/>
        <v>7</v>
      </c>
      <c r="C1884" s="4" t="s">
        <v>627</v>
      </c>
      <c r="D1884" s="4" t="s">
        <v>633</v>
      </c>
      <c r="E1884" s="4" t="s">
        <v>106</v>
      </c>
      <c r="F1884" s="2" t="str">
        <f t="shared" si="59"/>
        <v>Non-routine manual</v>
      </c>
    </row>
    <row r="1885" spans="1:6" ht="28.5" x14ac:dyDescent="0.4">
      <c r="A1885" s="3">
        <v>7511</v>
      </c>
      <c r="B1885" s="3" t="str">
        <f t="shared" si="58"/>
        <v>7</v>
      </c>
      <c r="C1885" s="4" t="s">
        <v>634</v>
      </c>
      <c r="D1885" s="13" t="s">
        <v>635</v>
      </c>
      <c r="E1885" s="4" t="s">
        <v>106</v>
      </c>
      <c r="F1885" s="2" t="str">
        <f t="shared" si="59"/>
        <v>Non-routine manual</v>
      </c>
    </row>
    <row r="1886" spans="1:6" ht="28.5" x14ac:dyDescent="0.4">
      <c r="A1886" s="3">
        <v>7511</v>
      </c>
      <c r="B1886" s="3" t="str">
        <f t="shared" si="58"/>
        <v>7</v>
      </c>
      <c r="C1886" s="4" t="s">
        <v>634</v>
      </c>
      <c r="D1886" s="13" t="s">
        <v>636</v>
      </c>
      <c r="E1886" s="4" t="s">
        <v>106</v>
      </c>
      <c r="F1886" s="2" t="str">
        <f t="shared" si="59"/>
        <v>Non-routine manual</v>
      </c>
    </row>
    <row r="1887" spans="1:6" ht="28.5" x14ac:dyDescent="0.4">
      <c r="A1887" s="3">
        <v>7511</v>
      </c>
      <c r="B1887" s="3" t="str">
        <f t="shared" si="58"/>
        <v>7</v>
      </c>
      <c r="C1887" s="4" t="s">
        <v>634</v>
      </c>
      <c r="D1887" s="4" t="s">
        <v>637</v>
      </c>
      <c r="E1887" s="4" t="s">
        <v>106</v>
      </c>
      <c r="F1887" s="2" t="str">
        <f t="shared" si="59"/>
        <v>Non-routine manual</v>
      </c>
    </row>
    <row r="1888" spans="1:6" ht="28.5" x14ac:dyDescent="0.4">
      <c r="A1888" s="3">
        <v>7511</v>
      </c>
      <c r="B1888" s="3" t="str">
        <f t="shared" si="58"/>
        <v>7</v>
      </c>
      <c r="C1888" s="4" t="s">
        <v>634</v>
      </c>
      <c r="D1888" s="4" t="s">
        <v>638</v>
      </c>
      <c r="E1888" s="4" t="s">
        <v>106</v>
      </c>
      <c r="F1888" s="2" t="str">
        <f t="shared" si="59"/>
        <v>Non-routine manual</v>
      </c>
    </row>
    <row r="1889" spans="1:6" ht="28.5" x14ac:dyDescent="0.4">
      <c r="A1889" s="3">
        <v>7511</v>
      </c>
      <c r="B1889" s="3" t="str">
        <f t="shared" si="58"/>
        <v>7</v>
      </c>
      <c r="C1889" s="4" t="s">
        <v>634</v>
      </c>
      <c r="D1889" s="7" t="s">
        <v>639</v>
      </c>
      <c r="E1889" s="4" t="s">
        <v>106</v>
      </c>
      <c r="F1889" s="2" t="str">
        <f t="shared" si="59"/>
        <v>Non-routine manual</v>
      </c>
    </row>
    <row r="1890" spans="1:6" ht="28.5" x14ac:dyDescent="0.4">
      <c r="A1890" s="3">
        <v>7511</v>
      </c>
      <c r="B1890" s="3" t="str">
        <f t="shared" si="58"/>
        <v>7</v>
      </c>
      <c r="C1890" s="4" t="s">
        <v>634</v>
      </c>
      <c r="D1890" s="4" t="s">
        <v>640</v>
      </c>
      <c r="E1890" s="4" t="s">
        <v>182</v>
      </c>
      <c r="F1890" s="2" t="str">
        <f t="shared" si="59"/>
        <v>Routine manual</v>
      </c>
    </row>
    <row r="1891" spans="1:6" ht="28.5" x14ac:dyDescent="0.4">
      <c r="A1891" s="3">
        <v>7511</v>
      </c>
      <c r="B1891" s="3" t="str">
        <f t="shared" si="58"/>
        <v>7</v>
      </c>
      <c r="C1891" s="4" t="s">
        <v>634</v>
      </c>
      <c r="D1891" s="7" t="s">
        <v>641</v>
      </c>
      <c r="E1891" s="4" t="s">
        <v>106</v>
      </c>
      <c r="F1891" s="2" t="str">
        <f t="shared" si="59"/>
        <v>Non-routine manual</v>
      </c>
    </row>
    <row r="1892" spans="1:6" ht="42.75" x14ac:dyDescent="0.4">
      <c r="A1892" s="3">
        <v>7511</v>
      </c>
      <c r="B1892" s="3" t="str">
        <f t="shared" si="58"/>
        <v>7</v>
      </c>
      <c r="C1892" s="4" t="s">
        <v>634</v>
      </c>
      <c r="D1892" s="5" t="s">
        <v>2554</v>
      </c>
      <c r="E1892" s="4" t="s">
        <v>50</v>
      </c>
      <c r="F1892" s="2" t="str">
        <f t="shared" si="59"/>
        <v>Routine cognitive</v>
      </c>
    </row>
    <row r="1893" spans="1:6" ht="28.5" x14ac:dyDescent="0.4">
      <c r="A1893" s="3">
        <v>7512</v>
      </c>
      <c r="B1893" s="3" t="str">
        <f t="shared" si="58"/>
        <v>7</v>
      </c>
      <c r="C1893" s="4" t="s">
        <v>642</v>
      </c>
      <c r="D1893" s="4" t="s">
        <v>643</v>
      </c>
      <c r="E1893" s="4" t="s">
        <v>106</v>
      </c>
      <c r="F1893" s="2" t="str">
        <f t="shared" si="59"/>
        <v>Non-routine manual</v>
      </c>
    </row>
    <row r="1894" spans="1:6" ht="28.5" x14ac:dyDescent="0.4">
      <c r="A1894" s="3">
        <v>7512</v>
      </c>
      <c r="B1894" s="3" t="str">
        <f t="shared" si="58"/>
        <v>7</v>
      </c>
      <c r="C1894" s="4" t="s">
        <v>642</v>
      </c>
      <c r="D1894" s="5" t="s">
        <v>2555</v>
      </c>
      <c r="E1894" s="4" t="s">
        <v>106</v>
      </c>
      <c r="F1894" s="2" t="str">
        <f t="shared" si="59"/>
        <v>Non-routine manual</v>
      </c>
    </row>
    <row r="1895" spans="1:6" ht="28.5" x14ac:dyDescent="0.4">
      <c r="A1895" s="3">
        <v>7512</v>
      </c>
      <c r="B1895" s="3" t="str">
        <f t="shared" si="58"/>
        <v>7</v>
      </c>
      <c r="C1895" s="4" t="s">
        <v>642</v>
      </c>
      <c r="D1895" s="4" t="s">
        <v>644</v>
      </c>
      <c r="E1895" s="4" t="s">
        <v>106</v>
      </c>
      <c r="F1895" s="2" t="str">
        <f t="shared" si="59"/>
        <v>Non-routine manual</v>
      </c>
    </row>
    <row r="1896" spans="1:6" ht="28.5" x14ac:dyDescent="0.4">
      <c r="A1896" s="3">
        <v>7512</v>
      </c>
      <c r="B1896" s="3" t="str">
        <f t="shared" si="58"/>
        <v>7</v>
      </c>
      <c r="C1896" s="4" t="s">
        <v>642</v>
      </c>
      <c r="D1896" s="4" t="s">
        <v>645</v>
      </c>
      <c r="E1896" s="4" t="s">
        <v>50</v>
      </c>
      <c r="F1896" s="2" t="str">
        <f t="shared" si="59"/>
        <v>Routine cognitive</v>
      </c>
    </row>
    <row r="1897" spans="1:6" ht="28.5" x14ac:dyDescent="0.4">
      <c r="A1897" s="3">
        <v>7512</v>
      </c>
      <c r="B1897" s="3" t="str">
        <f t="shared" si="58"/>
        <v>7</v>
      </c>
      <c r="C1897" s="4" t="s">
        <v>642</v>
      </c>
      <c r="D1897" s="4" t="s">
        <v>646</v>
      </c>
      <c r="E1897" s="4" t="s">
        <v>106</v>
      </c>
      <c r="F1897" s="2" t="str">
        <f t="shared" si="59"/>
        <v>Non-routine manual</v>
      </c>
    </row>
    <row r="1898" spans="1:6" ht="42.75" x14ac:dyDescent="0.4">
      <c r="A1898" s="3">
        <v>7512</v>
      </c>
      <c r="B1898" s="3" t="str">
        <f t="shared" si="58"/>
        <v>7</v>
      </c>
      <c r="C1898" s="4" t="s">
        <v>642</v>
      </c>
      <c r="D1898" s="8" t="s">
        <v>2556</v>
      </c>
      <c r="E1898" s="4" t="s">
        <v>50</v>
      </c>
      <c r="F1898" s="2" t="str">
        <f t="shared" si="59"/>
        <v>Routine cognitive</v>
      </c>
    </row>
    <row r="1899" spans="1:6" ht="28.5" x14ac:dyDescent="0.4">
      <c r="A1899" s="3">
        <v>7512</v>
      </c>
      <c r="B1899" s="3" t="str">
        <f t="shared" si="58"/>
        <v>7</v>
      </c>
      <c r="C1899" s="4" t="s">
        <v>642</v>
      </c>
      <c r="D1899" s="4" t="s">
        <v>647</v>
      </c>
      <c r="E1899" s="4" t="s">
        <v>50</v>
      </c>
      <c r="F1899" s="2" t="str">
        <f t="shared" si="59"/>
        <v>Routine cognitive</v>
      </c>
    </row>
    <row r="1900" spans="1:6" ht="28.5" x14ac:dyDescent="0.4">
      <c r="A1900" s="3">
        <v>7512</v>
      </c>
      <c r="B1900" s="3" t="str">
        <f t="shared" si="58"/>
        <v>7</v>
      </c>
      <c r="C1900" s="4" t="s">
        <v>642</v>
      </c>
      <c r="D1900" s="5" t="s">
        <v>2557</v>
      </c>
      <c r="E1900" s="4" t="s">
        <v>3</v>
      </c>
      <c r="F1900" s="2" t="str">
        <f t="shared" si="59"/>
        <v>Non-routine cognitive</v>
      </c>
    </row>
    <row r="1901" spans="1:6" ht="28.5" x14ac:dyDescent="0.4">
      <c r="A1901" s="3">
        <v>7513</v>
      </c>
      <c r="B1901" s="3" t="str">
        <f t="shared" si="58"/>
        <v>7</v>
      </c>
      <c r="C1901" s="4" t="s">
        <v>648</v>
      </c>
      <c r="D1901" s="10" t="s">
        <v>2558</v>
      </c>
      <c r="E1901" s="4" t="s">
        <v>106</v>
      </c>
      <c r="F1901" s="2" t="str">
        <f t="shared" si="59"/>
        <v>Non-routine manual</v>
      </c>
    </row>
    <row r="1902" spans="1:6" ht="28.5" x14ac:dyDescent="0.4">
      <c r="A1902" s="3">
        <v>7513</v>
      </c>
      <c r="B1902" s="3" t="str">
        <f t="shared" si="58"/>
        <v>7</v>
      </c>
      <c r="C1902" s="4" t="s">
        <v>648</v>
      </c>
      <c r="D1902" s="8" t="s">
        <v>2559</v>
      </c>
      <c r="E1902" s="4" t="s">
        <v>106</v>
      </c>
      <c r="F1902" s="2" t="str">
        <f t="shared" si="59"/>
        <v>Non-routine manual</v>
      </c>
    </row>
    <row r="1903" spans="1:6" ht="28.5" x14ac:dyDescent="0.4">
      <c r="A1903" s="3">
        <v>7513</v>
      </c>
      <c r="B1903" s="3" t="str">
        <f t="shared" si="58"/>
        <v>7</v>
      </c>
      <c r="C1903" s="4" t="s">
        <v>648</v>
      </c>
      <c r="D1903" s="8" t="s">
        <v>2560</v>
      </c>
      <c r="E1903" s="4" t="s">
        <v>182</v>
      </c>
      <c r="F1903" s="2" t="str">
        <f t="shared" si="59"/>
        <v>Routine manual</v>
      </c>
    </row>
    <row r="1904" spans="1:6" ht="28.5" x14ac:dyDescent="0.4">
      <c r="A1904" s="3">
        <v>7513</v>
      </c>
      <c r="B1904" s="3" t="str">
        <f t="shared" si="58"/>
        <v>7</v>
      </c>
      <c r="C1904" s="4" t="s">
        <v>648</v>
      </c>
      <c r="D1904" s="7" t="s">
        <v>3668</v>
      </c>
      <c r="E1904" s="4" t="s">
        <v>106</v>
      </c>
      <c r="F1904" s="2" t="str">
        <f t="shared" si="59"/>
        <v>Non-routine manual</v>
      </c>
    </row>
    <row r="1905" spans="1:6" ht="42.75" x14ac:dyDescent="0.4">
      <c r="A1905" s="3">
        <v>7513</v>
      </c>
      <c r="B1905" s="3" t="str">
        <f t="shared" si="58"/>
        <v>7</v>
      </c>
      <c r="C1905" s="4" t="s">
        <v>648</v>
      </c>
      <c r="D1905" s="5" t="s">
        <v>2561</v>
      </c>
      <c r="E1905" s="4" t="s">
        <v>106</v>
      </c>
      <c r="F1905" s="2" t="str">
        <f t="shared" si="59"/>
        <v>Non-routine manual</v>
      </c>
    </row>
    <row r="1906" spans="1:6" ht="28.5" x14ac:dyDescent="0.4">
      <c r="A1906" s="3">
        <v>7513</v>
      </c>
      <c r="B1906" s="3" t="str">
        <f t="shared" si="58"/>
        <v>7</v>
      </c>
      <c r="C1906" s="4" t="s">
        <v>648</v>
      </c>
      <c r="D1906" s="8" t="s">
        <v>2562</v>
      </c>
      <c r="E1906" s="4" t="s">
        <v>106</v>
      </c>
      <c r="F1906" s="2" t="str">
        <f t="shared" si="59"/>
        <v>Non-routine manual</v>
      </c>
    </row>
    <row r="1907" spans="1:6" ht="42.75" x14ac:dyDescent="0.4">
      <c r="A1907" s="3">
        <v>7513</v>
      </c>
      <c r="B1907" s="3" t="str">
        <f t="shared" si="58"/>
        <v>7</v>
      </c>
      <c r="C1907" s="4" t="s">
        <v>648</v>
      </c>
      <c r="D1907" s="5" t="s">
        <v>2563</v>
      </c>
      <c r="E1907" s="4" t="s">
        <v>50</v>
      </c>
      <c r="F1907" s="2" t="str">
        <f t="shared" si="59"/>
        <v>Routine cognitive</v>
      </c>
    </row>
    <row r="1908" spans="1:6" ht="28.5" x14ac:dyDescent="0.4">
      <c r="A1908" s="3">
        <v>7513</v>
      </c>
      <c r="B1908" s="3" t="str">
        <f t="shared" si="58"/>
        <v>7</v>
      </c>
      <c r="C1908" s="4" t="s">
        <v>648</v>
      </c>
      <c r="D1908" s="8" t="s">
        <v>2564</v>
      </c>
      <c r="E1908" s="4" t="s">
        <v>50</v>
      </c>
      <c r="F1908" s="2" t="str">
        <f t="shared" si="59"/>
        <v>Routine cognitive</v>
      </c>
    </row>
    <row r="1909" spans="1:6" ht="28.5" x14ac:dyDescent="0.4">
      <c r="A1909" s="3">
        <v>7514</v>
      </c>
      <c r="B1909" s="3" t="str">
        <f t="shared" si="58"/>
        <v>7</v>
      </c>
      <c r="C1909" s="4" t="s">
        <v>649</v>
      </c>
      <c r="D1909" s="7" t="s">
        <v>650</v>
      </c>
      <c r="E1909" s="4" t="s">
        <v>106</v>
      </c>
      <c r="F1909" s="2" t="str">
        <f t="shared" si="59"/>
        <v>Non-routine manual</v>
      </c>
    </row>
    <row r="1910" spans="1:6" ht="28.5" x14ac:dyDescent="0.4">
      <c r="A1910" s="3">
        <v>7514</v>
      </c>
      <c r="B1910" s="3" t="str">
        <f t="shared" si="58"/>
        <v>7</v>
      </c>
      <c r="C1910" s="4" t="s">
        <v>649</v>
      </c>
      <c r="D1910" s="6" t="s">
        <v>651</v>
      </c>
      <c r="E1910" s="4" t="s">
        <v>106</v>
      </c>
      <c r="F1910" s="2" t="str">
        <f t="shared" si="59"/>
        <v>Non-routine manual</v>
      </c>
    </row>
    <row r="1911" spans="1:6" ht="28.5" x14ac:dyDescent="0.4">
      <c r="A1911" s="3">
        <v>7514</v>
      </c>
      <c r="B1911" s="3" t="str">
        <f t="shared" si="58"/>
        <v>7</v>
      </c>
      <c r="C1911" s="4" t="s">
        <v>649</v>
      </c>
      <c r="D1911" s="8" t="s">
        <v>2565</v>
      </c>
      <c r="E1911" s="4" t="s">
        <v>106</v>
      </c>
      <c r="F1911" s="2" t="str">
        <f t="shared" si="59"/>
        <v>Non-routine manual</v>
      </c>
    </row>
    <row r="1912" spans="1:6" ht="42.75" x14ac:dyDescent="0.4">
      <c r="A1912" s="3">
        <v>7514</v>
      </c>
      <c r="B1912" s="3" t="str">
        <f t="shared" si="58"/>
        <v>7</v>
      </c>
      <c r="C1912" s="4" t="s">
        <v>649</v>
      </c>
      <c r="D1912" s="5" t="s">
        <v>2566</v>
      </c>
      <c r="E1912" s="4" t="s">
        <v>106</v>
      </c>
      <c r="F1912" s="2" t="str">
        <f t="shared" si="59"/>
        <v>Non-routine manual</v>
      </c>
    </row>
    <row r="1913" spans="1:6" ht="28.5" x14ac:dyDescent="0.4">
      <c r="A1913" s="3">
        <v>7514</v>
      </c>
      <c r="B1913" s="3" t="str">
        <f t="shared" si="58"/>
        <v>7</v>
      </c>
      <c r="C1913" s="4" t="s">
        <v>649</v>
      </c>
      <c r="D1913" s="8" t="s">
        <v>2567</v>
      </c>
      <c r="E1913" s="4" t="s">
        <v>106</v>
      </c>
      <c r="F1913" s="2" t="str">
        <f t="shared" si="59"/>
        <v>Non-routine manual</v>
      </c>
    </row>
    <row r="1914" spans="1:6" ht="57" x14ac:dyDescent="0.4">
      <c r="A1914" s="3">
        <v>7522</v>
      </c>
      <c r="B1914" s="3" t="str">
        <f t="shared" si="58"/>
        <v>7</v>
      </c>
      <c r="C1914" s="4" t="s">
        <v>652</v>
      </c>
      <c r="D1914" s="5" t="s">
        <v>2568</v>
      </c>
      <c r="E1914" s="4" t="s">
        <v>182</v>
      </c>
      <c r="F1914" s="2" t="str">
        <f t="shared" si="59"/>
        <v>Routine manual</v>
      </c>
    </row>
    <row r="1915" spans="1:6" ht="42.75" x14ac:dyDescent="0.4">
      <c r="A1915" s="3">
        <v>7522</v>
      </c>
      <c r="B1915" s="3" t="str">
        <f t="shared" si="58"/>
        <v>7</v>
      </c>
      <c r="C1915" s="4" t="s">
        <v>652</v>
      </c>
      <c r="D1915" s="5" t="s">
        <v>2569</v>
      </c>
      <c r="E1915" s="4" t="s">
        <v>4</v>
      </c>
      <c r="F1915" s="2" t="str">
        <f t="shared" si="59"/>
        <v>Non-routine cognitive</v>
      </c>
    </row>
    <row r="1916" spans="1:6" ht="57" x14ac:dyDescent="0.4">
      <c r="A1916" s="3">
        <v>7522</v>
      </c>
      <c r="B1916" s="3" t="str">
        <f t="shared" si="58"/>
        <v>7</v>
      </c>
      <c r="C1916" s="4" t="s">
        <v>652</v>
      </c>
      <c r="D1916" s="5" t="s">
        <v>2570</v>
      </c>
      <c r="E1916" s="4" t="s">
        <v>106</v>
      </c>
      <c r="F1916" s="2" t="str">
        <f t="shared" si="59"/>
        <v>Non-routine manual</v>
      </c>
    </row>
    <row r="1917" spans="1:6" ht="42.75" x14ac:dyDescent="0.4">
      <c r="A1917" s="3">
        <v>7522</v>
      </c>
      <c r="B1917" s="3" t="str">
        <f t="shared" si="58"/>
        <v>7</v>
      </c>
      <c r="C1917" s="4" t="s">
        <v>652</v>
      </c>
      <c r="D1917" s="8" t="s">
        <v>2571</v>
      </c>
      <c r="E1917" s="4" t="s">
        <v>106</v>
      </c>
      <c r="F1917" s="2" t="str">
        <f t="shared" si="59"/>
        <v>Non-routine manual</v>
      </c>
    </row>
    <row r="1918" spans="1:6" ht="42.75" x14ac:dyDescent="0.4">
      <c r="A1918" s="3">
        <v>7522</v>
      </c>
      <c r="B1918" s="3" t="str">
        <f t="shared" si="58"/>
        <v>7</v>
      </c>
      <c r="C1918" s="4" t="s">
        <v>652</v>
      </c>
      <c r="D1918" s="5" t="s">
        <v>2572</v>
      </c>
      <c r="E1918" s="4" t="s">
        <v>106</v>
      </c>
      <c r="F1918" s="2" t="str">
        <f t="shared" si="59"/>
        <v>Non-routine manual</v>
      </c>
    </row>
    <row r="1919" spans="1:6" ht="28.5" x14ac:dyDescent="0.4">
      <c r="A1919" s="3">
        <v>7522</v>
      </c>
      <c r="B1919" s="3" t="str">
        <f t="shared" si="58"/>
        <v>7</v>
      </c>
      <c r="C1919" s="4" t="s">
        <v>652</v>
      </c>
      <c r="D1919" s="6" t="s">
        <v>653</v>
      </c>
      <c r="E1919" s="4" t="s">
        <v>106</v>
      </c>
      <c r="F1919" s="2" t="str">
        <f t="shared" si="59"/>
        <v>Non-routine manual</v>
      </c>
    </row>
    <row r="1920" spans="1:6" ht="42.75" x14ac:dyDescent="0.4">
      <c r="A1920" s="3">
        <v>7531</v>
      </c>
      <c r="B1920" s="3" t="str">
        <f t="shared" si="58"/>
        <v>7</v>
      </c>
      <c r="C1920" s="4" t="s">
        <v>654</v>
      </c>
      <c r="D1920" s="5" t="s">
        <v>2573</v>
      </c>
      <c r="E1920" s="4" t="s">
        <v>106</v>
      </c>
      <c r="F1920" s="2" t="str">
        <f t="shared" si="59"/>
        <v>Non-routine manual</v>
      </c>
    </row>
    <row r="1921" spans="1:6" ht="57" x14ac:dyDescent="0.4">
      <c r="A1921" s="3">
        <v>7531</v>
      </c>
      <c r="B1921" s="3" t="str">
        <f t="shared" si="58"/>
        <v>7</v>
      </c>
      <c r="C1921" s="4" t="s">
        <v>654</v>
      </c>
      <c r="D1921" s="5" t="s">
        <v>2574</v>
      </c>
      <c r="E1921" s="4" t="s">
        <v>50</v>
      </c>
      <c r="F1921" s="2" t="str">
        <f t="shared" si="59"/>
        <v>Routine cognitive</v>
      </c>
    </row>
    <row r="1922" spans="1:6" ht="28.5" x14ac:dyDescent="0.4">
      <c r="A1922" s="3">
        <v>7531</v>
      </c>
      <c r="B1922" s="3" t="str">
        <f t="shared" si="58"/>
        <v>7</v>
      </c>
      <c r="C1922" s="4" t="s">
        <v>654</v>
      </c>
      <c r="D1922" s="4" t="s">
        <v>655</v>
      </c>
      <c r="E1922" s="4" t="s">
        <v>106</v>
      </c>
      <c r="F1922" s="2" t="str">
        <f t="shared" si="59"/>
        <v>Non-routine manual</v>
      </c>
    </row>
    <row r="1923" spans="1:6" ht="28.5" x14ac:dyDescent="0.4">
      <c r="A1923" s="3">
        <v>7531</v>
      </c>
      <c r="B1923" s="3" t="str">
        <f t="shared" ref="B1923:B1986" si="60">LEFT(A1923,1)</f>
        <v>7</v>
      </c>
      <c r="C1923" s="4" t="s">
        <v>654</v>
      </c>
      <c r="D1923" s="8" t="s">
        <v>2575</v>
      </c>
      <c r="E1923" s="4" t="s">
        <v>50</v>
      </c>
      <c r="F1923" s="2" t="str">
        <f t="shared" ref="F1923:F1986" si="61">IF(E1923="Non-routine interpersonal","Non-routine cognitive",IF(E1923="Non-routine analytical","Non-routine cognitive",IF(E1923="Non-routine manual physical","Non-routine manual",E1923)))</f>
        <v>Routine cognitive</v>
      </c>
    </row>
    <row r="1924" spans="1:6" ht="42.75" x14ac:dyDescent="0.4">
      <c r="A1924" s="3">
        <v>7531</v>
      </c>
      <c r="B1924" s="3" t="str">
        <f t="shared" si="60"/>
        <v>7</v>
      </c>
      <c r="C1924" s="4" t="s">
        <v>654</v>
      </c>
      <c r="D1924" s="5" t="s">
        <v>2576</v>
      </c>
      <c r="E1924" s="4" t="s">
        <v>106</v>
      </c>
      <c r="F1924" s="2" t="str">
        <f t="shared" si="61"/>
        <v>Non-routine manual</v>
      </c>
    </row>
    <row r="1925" spans="1:6" ht="28.5" x14ac:dyDescent="0.4">
      <c r="A1925" s="3">
        <v>7531</v>
      </c>
      <c r="B1925" s="3" t="str">
        <f t="shared" si="60"/>
        <v>7</v>
      </c>
      <c r="C1925" s="4" t="s">
        <v>654</v>
      </c>
      <c r="D1925" s="4" t="s">
        <v>656</v>
      </c>
      <c r="E1925" s="4" t="s">
        <v>106</v>
      </c>
      <c r="F1925" s="2" t="str">
        <f t="shared" si="61"/>
        <v>Non-routine manual</v>
      </c>
    </row>
    <row r="1926" spans="1:6" ht="42.75" x14ac:dyDescent="0.4">
      <c r="A1926" s="3">
        <v>7531</v>
      </c>
      <c r="B1926" s="3" t="str">
        <f t="shared" si="60"/>
        <v>7</v>
      </c>
      <c r="C1926" s="4" t="s">
        <v>654</v>
      </c>
      <c r="D1926" s="8" t="s">
        <v>2577</v>
      </c>
      <c r="E1926" s="4" t="s">
        <v>106</v>
      </c>
      <c r="F1926" s="2" t="str">
        <f t="shared" si="61"/>
        <v>Non-routine manual</v>
      </c>
    </row>
    <row r="1927" spans="1:6" ht="28.5" x14ac:dyDescent="0.4">
      <c r="A1927" s="3">
        <v>7531</v>
      </c>
      <c r="B1927" s="3" t="str">
        <f t="shared" si="60"/>
        <v>7</v>
      </c>
      <c r="C1927" s="4" t="s">
        <v>654</v>
      </c>
      <c r="D1927" s="4" t="s">
        <v>657</v>
      </c>
      <c r="E1927" s="4" t="s">
        <v>106</v>
      </c>
      <c r="F1927" s="2" t="str">
        <f t="shared" si="61"/>
        <v>Non-routine manual</v>
      </c>
    </row>
    <row r="1928" spans="1:6" ht="42.75" x14ac:dyDescent="0.4">
      <c r="A1928" s="3">
        <v>7531</v>
      </c>
      <c r="B1928" s="3" t="str">
        <f t="shared" si="60"/>
        <v>7</v>
      </c>
      <c r="C1928" s="4" t="s">
        <v>654</v>
      </c>
      <c r="D1928" s="5" t="s">
        <v>2578</v>
      </c>
      <c r="E1928" s="4" t="s">
        <v>50</v>
      </c>
      <c r="F1928" s="2" t="str">
        <f t="shared" si="61"/>
        <v>Routine cognitive</v>
      </c>
    </row>
    <row r="1929" spans="1:6" ht="28.5" x14ac:dyDescent="0.4">
      <c r="A1929" s="3">
        <v>7531</v>
      </c>
      <c r="B1929" s="3" t="str">
        <f t="shared" si="60"/>
        <v>7</v>
      </c>
      <c r="C1929" s="4" t="s">
        <v>654</v>
      </c>
      <c r="D1929" s="4" t="s">
        <v>658</v>
      </c>
      <c r="E1929" s="4" t="s">
        <v>106</v>
      </c>
      <c r="F1929" s="2" t="str">
        <f t="shared" si="61"/>
        <v>Non-routine manual</v>
      </c>
    </row>
    <row r="1930" spans="1:6" ht="28.5" x14ac:dyDescent="0.4">
      <c r="A1930" s="3">
        <v>7531</v>
      </c>
      <c r="B1930" s="3" t="str">
        <f t="shared" si="60"/>
        <v>7</v>
      </c>
      <c r="C1930" s="4" t="s">
        <v>654</v>
      </c>
      <c r="D1930" s="4" t="s">
        <v>659</v>
      </c>
      <c r="E1930" s="4" t="s">
        <v>106</v>
      </c>
      <c r="F1930" s="2" t="str">
        <f t="shared" si="61"/>
        <v>Non-routine manual</v>
      </c>
    </row>
    <row r="1931" spans="1:6" ht="57" x14ac:dyDescent="0.4">
      <c r="A1931" s="3">
        <v>7532</v>
      </c>
      <c r="B1931" s="3" t="str">
        <f t="shared" si="60"/>
        <v>7</v>
      </c>
      <c r="C1931" s="4" t="s">
        <v>660</v>
      </c>
      <c r="D1931" s="5" t="s">
        <v>2579</v>
      </c>
      <c r="E1931" s="4" t="s">
        <v>50</v>
      </c>
      <c r="F1931" s="2" t="str">
        <f t="shared" si="61"/>
        <v>Routine cognitive</v>
      </c>
    </row>
    <row r="1932" spans="1:6" ht="42.75" x14ac:dyDescent="0.4">
      <c r="A1932" s="3">
        <v>7532</v>
      </c>
      <c r="B1932" s="3" t="str">
        <f t="shared" si="60"/>
        <v>7</v>
      </c>
      <c r="C1932" s="4" t="s">
        <v>660</v>
      </c>
      <c r="D1932" s="8" t="s">
        <v>2580</v>
      </c>
      <c r="E1932" s="4" t="s">
        <v>50</v>
      </c>
      <c r="F1932" s="2" t="str">
        <f t="shared" si="61"/>
        <v>Routine cognitive</v>
      </c>
    </row>
    <row r="1933" spans="1:6" ht="42.75" x14ac:dyDescent="0.4">
      <c r="A1933" s="3">
        <v>7532</v>
      </c>
      <c r="B1933" s="3" t="str">
        <f t="shared" si="60"/>
        <v>7</v>
      </c>
      <c r="C1933" s="4" t="s">
        <v>660</v>
      </c>
      <c r="D1933" s="8" t="s">
        <v>2581</v>
      </c>
      <c r="E1933" s="4" t="s">
        <v>50</v>
      </c>
      <c r="F1933" s="2" t="str">
        <f t="shared" si="61"/>
        <v>Routine cognitive</v>
      </c>
    </row>
    <row r="1934" spans="1:6" ht="71.25" x14ac:dyDescent="0.4">
      <c r="A1934" s="3">
        <v>7532</v>
      </c>
      <c r="B1934" s="3" t="str">
        <f t="shared" si="60"/>
        <v>7</v>
      </c>
      <c r="C1934" s="4" t="s">
        <v>660</v>
      </c>
      <c r="D1934" s="5" t="s">
        <v>2582</v>
      </c>
      <c r="E1934" s="4" t="s">
        <v>106</v>
      </c>
      <c r="F1934" s="2" t="str">
        <f t="shared" si="61"/>
        <v>Non-routine manual</v>
      </c>
    </row>
    <row r="1935" spans="1:6" ht="42.75" x14ac:dyDescent="0.4">
      <c r="A1935" s="3">
        <v>7532</v>
      </c>
      <c r="B1935" s="3" t="str">
        <f t="shared" si="60"/>
        <v>7</v>
      </c>
      <c r="C1935" s="4" t="s">
        <v>660</v>
      </c>
      <c r="D1935" s="8" t="s">
        <v>2583</v>
      </c>
      <c r="E1935" s="4" t="s">
        <v>50</v>
      </c>
      <c r="F1935" s="2" t="str">
        <f t="shared" si="61"/>
        <v>Routine cognitive</v>
      </c>
    </row>
    <row r="1936" spans="1:6" ht="28.5" x14ac:dyDescent="0.4">
      <c r="A1936" s="3">
        <v>7532</v>
      </c>
      <c r="B1936" s="3" t="str">
        <f t="shared" si="60"/>
        <v>7</v>
      </c>
      <c r="C1936" s="4" t="s">
        <v>660</v>
      </c>
      <c r="D1936" s="8" t="s">
        <v>2584</v>
      </c>
      <c r="E1936" s="4" t="s">
        <v>106</v>
      </c>
      <c r="F1936" s="2" t="str">
        <f t="shared" si="61"/>
        <v>Non-routine manual</v>
      </c>
    </row>
    <row r="1937" spans="1:6" ht="28.5" x14ac:dyDescent="0.4">
      <c r="A1937" s="3">
        <v>7532</v>
      </c>
      <c r="B1937" s="3" t="str">
        <f t="shared" si="60"/>
        <v>7</v>
      </c>
      <c r="C1937" s="4" t="s">
        <v>660</v>
      </c>
      <c r="D1937" s="6" t="s">
        <v>661</v>
      </c>
      <c r="E1937" s="4" t="s">
        <v>106</v>
      </c>
      <c r="F1937" s="2" t="str">
        <f t="shared" si="61"/>
        <v>Non-routine manual</v>
      </c>
    </row>
    <row r="1938" spans="1:6" ht="57" x14ac:dyDescent="0.4">
      <c r="A1938" s="3">
        <v>7532</v>
      </c>
      <c r="B1938" s="3" t="str">
        <f t="shared" si="60"/>
        <v>7</v>
      </c>
      <c r="C1938" s="4" t="s">
        <v>660</v>
      </c>
      <c r="D1938" s="5" t="s">
        <v>2585</v>
      </c>
      <c r="E1938" s="4" t="s">
        <v>106</v>
      </c>
      <c r="F1938" s="2" t="str">
        <f t="shared" si="61"/>
        <v>Non-routine manual</v>
      </c>
    </row>
    <row r="1939" spans="1:6" ht="28.5" x14ac:dyDescent="0.4">
      <c r="A1939" s="3">
        <v>7532</v>
      </c>
      <c r="B1939" s="3" t="str">
        <f t="shared" si="60"/>
        <v>7</v>
      </c>
      <c r="C1939" s="4" t="s">
        <v>660</v>
      </c>
      <c r="D1939" s="5" t="s">
        <v>2586</v>
      </c>
      <c r="E1939" s="4" t="s">
        <v>106</v>
      </c>
      <c r="F1939" s="2" t="str">
        <f t="shared" si="61"/>
        <v>Non-routine manual</v>
      </c>
    </row>
    <row r="1940" spans="1:6" ht="42.75" x14ac:dyDescent="0.4">
      <c r="A1940" s="3">
        <v>7532</v>
      </c>
      <c r="B1940" s="3" t="str">
        <f t="shared" si="60"/>
        <v>7</v>
      </c>
      <c r="C1940" s="4" t="s">
        <v>660</v>
      </c>
      <c r="D1940" s="8" t="s">
        <v>2587</v>
      </c>
      <c r="E1940" s="4" t="s">
        <v>106</v>
      </c>
      <c r="F1940" s="2" t="str">
        <f t="shared" si="61"/>
        <v>Non-routine manual</v>
      </c>
    </row>
    <row r="1941" spans="1:6" ht="42.75" x14ac:dyDescent="0.4">
      <c r="A1941" s="3">
        <v>7532</v>
      </c>
      <c r="B1941" s="3" t="str">
        <f t="shared" si="60"/>
        <v>7</v>
      </c>
      <c r="C1941" s="4" t="s">
        <v>660</v>
      </c>
      <c r="D1941" s="8" t="s">
        <v>2588</v>
      </c>
      <c r="E1941" s="4" t="s">
        <v>106</v>
      </c>
      <c r="F1941" s="2" t="str">
        <f t="shared" si="61"/>
        <v>Non-routine manual</v>
      </c>
    </row>
    <row r="1942" spans="1:6" ht="42.75" x14ac:dyDescent="0.4">
      <c r="A1942" s="3">
        <v>7532</v>
      </c>
      <c r="B1942" s="3" t="str">
        <f t="shared" si="60"/>
        <v>7</v>
      </c>
      <c r="C1942" s="4" t="s">
        <v>660</v>
      </c>
      <c r="D1942" s="5" t="s">
        <v>2589</v>
      </c>
      <c r="E1942" s="4" t="s">
        <v>106</v>
      </c>
      <c r="F1942" s="2" t="str">
        <f t="shared" si="61"/>
        <v>Non-routine manual</v>
      </c>
    </row>
    <row r="1943" spans="1:6" ht="28.5" x14ac:dyDescent="0.4">
      <c r="A1943" s="3">
        <v>7533</v>
      </c>
      <c r="B1943" s="3" t="str">
        <f t="shared" si="60"/>
        <v>7</v>
      </c>
      <c r="C1943" s="4" t="s">
        <v>662</v>
      </c>
      <c r="D1943" s="8" t="s">
        <v>2590</v>
      </c>
      <c r="E1943" s="4" t="s">
        <v>106</v>
      </c>
      <c r="F1943" s="2" t="str">
        <f t="shared" si="61"/>
        <v>Non-routine manual</v>
      </c>
    </row>
    <row r="1944" spans="1:6" ht="28.5" x14ac:dyDescent="0.4">
      <c r="A1944" s="3">
        <v>7533</v>
      </c>
      <c r="B1944" s="3" t="str">
        <f t="shared" si="60"/>
        <v>7</v>
      </c>
      <c r="C1944" s="4" t="s">
        <v>662</v>
      </c>
      <c r="D1944" s="8" t="s">
        <v>2591</v>
      </c>
      <c r="E1944" s="4" t="s">
        <v>106</v>
      </c>
      <c r="F1944" s="2" t="str">
        <f t="shared" si="61"/>
        <v>Non-routine manual</v>
      </c>
    </row>
    <row r="1945" spans="1:6" ht="42.75" x14ac:dyDescent="0.4">
      <c r="A1945" s="3">
        <v>7533</v>
      </c>
      <c r="B1945" s="3" t="str">
        <f t="shared" si="60"/>
        <v>7</v>
      </c>
      <c r="C1945" s="4" t="s">
        <v>662</v>
      </c>
      <c r="D1945" s="8" t="s">
        <v>2592</v>
      </c>
      <c r="E1945" s="4" t="s">
        <v>50</v>
      </c>
      <c r="F1945" s="2" t="str">
        <f t="shared" si="61"/>
        <v>Routine cognitive</v>
      </c>
    </row>
    <row r="1946" spans="1:6" ht="28.5" x14ac:dyDescent="0.4">
      <c r="A1946" s="3">
        <v>7533</v>
      </c>
      <c r="B1946" s="3" t="str">
        <f t="shared" si="60"/>
        <v>7</v>
      </c>
      <c r="C1946" s="4" t="s">
        <v>662</v>
      </c>
      <c r="D1946" s="8" t="s">
        <v>2593</v>
      </c>
      <c r="E1946" s="4" t="s">
        <v>106</v>
      </c>
      <c r="F1946" s="2" t="str">
        <f t="shared" si="61"/>
        <v>Non-routine manual</v>
      </c>
    </row>
    <row r="1947" spans="1:6" ht="28.5" x14ac:dyDescent="0.4">
      <c r="A1947" s="3">
        <v>7533</v>
      </c>
      <c r="B1947" s="3" t="str">
        <f t="shared" si="60"/>
        <v>7</v>
      </c>
      <c r="C1947" s="4" t="s">
        <v>662</v>
      </c>
      <c r="D1947" s="8" t="s">
        <v>2594</v>
      </c>
      <c r="E1947" s="4" t="s">
        <v>106</v>
      </c>
      <c r="F1947" s="2" t="str">
        <f t="shared" si="61"/>
        <v>Non-routine manual</v>
      </c>
    </row>
    <row r="1948" spans="1:6" ht="28.5" x14ac:dyDescent="0.4">
      <c r="A1948" s="3">
        <v>7533</v>
      </c>
      <c r="B1948" s="3" t="str">
        <f t="shared" si="60"/>
        <v>7</v>
      </c>
      <c r="C1948" s="4" t="s">
        <v>662</v>
      </c>
      <c r="D1948" s="8" t="s">
        <v>2595</v>
      </c>
      <c r="E1948" s="4" t="s">
        <v>106</v>
      </c>
      <c r="F1948" s="2" t="str">
        <f t="shared" si="61"/>
        <v>Non-routine manual</v>
      </c>
    </row>
    <row r="1949" spans="1:6" ht="42.75" x14ac:dyDescent="0.4">
      <c r="A1949" s="3">
        <v>7533</v>
      </c>
      <c r="B1949" s="3" t="str">
        <f t="shared" si="60"/>
        <v>7</v>
      </c>
      <c r="C1949" s="4" t="s">
        <v>662</v>
      </c>
      <c r="D1949" s="5" t="s">
        <v>2596</v>
      </c>
      <c r="E1949" s="4" t="s">
        <v>106</v>
      </c>
      <c r="F1949" s="2" t="str">
        <f t="shared" si="61"/>
        <v>Non-routine manual</v>
      </c>
    </row>
    <row r="1950" spans="1:6" ht="42.75" x14ac:dyDescent="0.4">
      <c r="A1950" s="3">
        <v>7533</v>
      </c>
      <c r="B1950" s="3" t="str">
        <f t="shared" si="60"/>
        <v>7</v>
      </c>
      <c r="C1950" s="4" t="s">
        <v>662</v>
      </c>
      <c r="D1950" s="8" t="s">
        <v>2597</v>
      </c>
      <c r="E1950" s="4" t="s">
        <v>106</v>
      </c>
      <c r="F1950" s="2" t="str">
        <f t="shared" si="61"/>
        <v>Non-routine manual</v>
      </c>
    </row>
    <row r="1951" spans="1:6" ht="28.5" x14ac:dyDescent="0.4">
      <c r="A1951" s="3">
        <v>7533</v>
      </c>
      <c r="B1951" s="3" t="str">
        <f t="shared" si="60"/>
        <v>7</v>
      </c>
      <c r="C1951" s="4" t="s">
        <v>662</v>
      </c>
      <c r="D1951" s="8" t="s">
        <v>2598</v>
      </c>
      <c r="E1951" s="4" t="s">
        <v>106</v>
      </c>
      <c r="F1951" s="2" t="str">
        <f t="shared" si="61"/>
        <v>Non-routine manual</v>
      </c>
    </row>
    <row r="1952" spans="1:6" ht="28.5" x14ac:dyDescent="0.4">
      <c r="A1952" s="3">
        <v>7533</v>
      </c>
      <c r="B1952" s="3" t="str">
        <f t="shared" si="60"/>
        <v>7</v>
      </c>
      <c r="C1952" s="4" t="s">
        <v>662</v>
      </c>
      <c r="D1952" s="8" t="s">
        <v>2599</v>
      </c>
      <c r="E1952" s="4" t="s">
        <v>106</v>
      </c>
      <c r="F1952" s="2" t="str">
        <f t="shared" si="61"/>
        <v>Non-routine manual</v>
      </c>
    </row>
    <row r="1953" spans="1:6" ht="57" x14ac:dyDescent="0.4">
      <c r="A1953" s="3">
        <v>7533</v>
      </c>
      <c r="B1953" s="3" t="str">
        <f t="shared" si="60"/>
        <v>7</v>
      </c>
      <c r="C1953" s="4" t="s">
        <v>662</v>
      </c>
      <c r="D1953" s="5" t="s">
        <v>2600</v>
      </c>
      <c r="E1953" s="4" t="s">
        <v>106</v>
      </c>
      <c r="F1953" s="2" t="str">
        <f t="shared" si="61"/>
        <v>Non-routine manual</v>
      </c>
    </row>
    <row r="1954" spans="1:6" ht="42.75" x14ac:dyDescent="0.4">
      <c r="A1954" s="3">
        <v>7533</v>
      </c>
      <c r="B1954" s="3" t="str">
        <f t="shared" si="60"/>
        <v>7</v>
      </c>
      <c r="C1954" s="4" t="s">
        <v>662</v>
      </c>
      <c r="D1954" s="8" t="s">
        <v>2601</v>
      </c>
      <c r="E1954" s="4" t="s">
        <v>106</v>
      </c>
      <c r="F1954" s="2" t="str">
        <f t="shared" si="61"/>
        <v>Non-routine manual</v>
      </c>
    </row>
    <row r="1955" spans="1:6" ht="28.5" x14ac:dyDescent="0.4">
      <c r="A1955" s="3">
        <v>7536</v>
      </c>
      <c r="B1955" s="3" t="str">
        <f t="shared" si="60"/>
        <v>7</v>
      </c>
      <c r="C1955" s="4" t="s">
        <v>663</v>
      </c>
      <c r="D1955" s="8" t="s">
        <v>2602</v>
      </c>
      <c r="E1955" s="4" t="s">
        <v>106</v>
      </c>
      <c r="F1955" s="2" t="str">
        <f t="shared" si="61"/>
        <v>Non-routine manual</v>
      </c>
    </row>
    <row r="1956" spans="1:6" ht="57" x14ac:dyDescent="0.4">
      <c r="A1956" s="3">
        <v>7536</v>
      </c>
      <c r="B1956" s="3" t="str">
        <f t="shared" si="60"/>
        <v>7</v>
      </c>
      <c r="C1956" s="4" t="s">
        <v>663</v>
      </c>
      <c r="D1956" s="5" t="s">
        <v>2603</v>
      </c>
      <c r="E1956" s="4" t="s">
        <v>106</v>
      </c>
      <c r="F1956" s="2" t="str">
        <f t="shared" si="61"/>
        <v>Non-routine manual</v>
      </c>
    </row>
    <row r="1957" spans="1:6" ht="28.5" x14ac:dyDescent="0.4">
      <c r="A1957" s="3">
        <v>7536</v>
      </c>
      <c r="B1957" s="3" t="str">
        <f t="shared" si="60"/>
        <v>7</v>
      </c>
      <c r="C1957" s="4" t="s">
        <v>663</v>
      </c>
      <c r="D1957" s="6" t="s">
        <v>664</v>
      </c>
      <c r="E1957" s="4" t="s">
        <v>106</v>
      </c>
      <c r="F1957" s="2" t="str">
        <f t="shared" si="61"/>
        <v>Non-routine manual</v>
      </c>
    </row>
    <row r="1958" spans="1:6" ht="28.5" x14ac:dyDescent="0.4">
      <c r="A1958" s="3">
        <v>7536</v>
      </c>
      <c r="B1958" s="3" t="str">
        <f t="shared" si="60"/>
        <v>7</v>
      </c>
      <c r="C1958" s="4" t="s">
        <v>663</v>
      </c>
      <c r="D1958" s="4" t="s">
        <v>665</v>
      </c>
      <c r="E1958" s="4" t="s">
        <v>106</v>
      </c>
      <c r="F1958" s="2" t="str">
        <f t="shared" si="61"/>
        <v>Non-routine manual</v>
      </c>
    </row>
    <row r="1959" spans="1:6" ht="28.5" x14ac:dyDescent="0.4">
      <c r="A1959" s="3">
        <v>7536</v>
      </c>
      <c r="B1959" s="3" t="str">
        <f t="shared" si="60"/>
        <v>7</v>
      </c>
      <c r="C1959" s="4" t="s">
        <v>663</v>
      </c>
      <c r="D1959" s="5" t="s">
        <v>2604</v>
      </c>
      <c r="E1959" s="4" t="s">
        <v>106</v>
      </c>
      <c r="F1959" s="2" t="str">
        <f t="shared" si="61"/>
        <v>Non-routine manual</v>
      </c>
    </row>
    <row r="1960" spans="1:6" ht="28.5" x14ac:dyDescent="0.4">
      <c r="A1960" s="3">
        <v>7536</v>
      </c>
      <c r="B1960" s="3" t="str">
        <f t="shared" si="60"/>
        <v>7</v>
      </c>
      <c r="C1960" s="4" t="s">
        <v>663</v>
      </c>
      <c r="D1960" s="5" t="s">
        <v>2605</v>
      </c>
      <c r="E1960" s="4" t="s">
        <v>4</v>
      </c>
      <c r="F1960" s="2" t="str">
        <f t="shared" si="61"/>
        <v>Non-routine cognitive</v>
      </c>
    </row>
    <row r="1961" spans="1:6" ht="42.75" x14ac:dyDescent="0.4">
      <c r="A1961" s="3">
        <v>7536</v>
      </c>
      <c r="B1961" s="3" t="str">
        <f t="shared" si="60"/>
        <v>7</v>
      </c>
      <c r="C1961" s="4" t="s">
        <v>663</v>
      </c>
      <c r="D1961" s="5" t="s">
        <v>2606</v>
      </c>
      <c r="E1961" s="4" t="s">
        <v>4</v>
      </c>
      <c r="F1961" s="2" t="str">
        <f t="shared" si="61"/>
        <v>Non-routine cognitive</v>
      </c>
    </row>
    <row r="1962" spans="1:6" ht="28.5" x14ac:dyDescent="0.4">
      <c r="A1962" s="3">
        <v>7536</v>
      </c>
      <c r="B1962" s="3" t="str">
        <f t="shared" si="60"/>
        <v>7</v>
      </c>
      <c r="C1962" s="4" t="s">
        <v>663</v>
      </c>
      <c r="D1962" s="5" t="s">
        <v>2607</v>
      </c>
      <c r="E1962" s="4" t="s">
        <v>50</v>
      </c>
      <c r="F1962" s="2" t="str">
        <f t="shared" si="61"/>
        <v>Routine cognitive</v>
      </c>
    </row>
    <row r="1963" spans="1:6" ht="28.5" x14ac:dyDescent="0.4">
      <c r="A1963" s="3">
        <v>7536</v>
      </c>
      <c r="B1963" s="3" t="str">
        <f t="shared" si="60"/>
        <v>7</v>
      </c>
      <c r="C1963" s="4" t="s">
        <v>663</v>
      </c>
      <c r="D1963" s="4" t="s">
        <v>666</v>
      </c>
      <c r="E1963" s="4" t="s">
        <v>106</v>
      </c>
      <c r="F1963" s="2" t="str">
        <f t="shared" si="61"/>
        <v>Non-routine manual</v>
      </c>
    </row>
    <row r="1964" spans="1:6" ht="28.5" x14ac:dyDescent="0.4">
      <c r="A1964" s="3">
        <v>7536</v>
      </c>
      <c r="B1964" s="3" t="str">
        <f t="shared" si="60"/>
        <v>7</v>
      </c>
      <c r="C1964" s="4" t="s">
        <v>663</v>
      </c>
      <c r="D1964" s="5" t="s">
        <v>2608</v>
      </c>
      <c r="E1964" s="4" t="s">
        <v>106</v>
      </c>
      <c r="F1964" s="2" t="str">
        <f t="shared" si="61"/>
        <v>Non-routine manual</v>
      </c>
    </row>
    <row r="1965" spans="1:6" ht="42.75" x14ac:dyDescent="0.4">
      <c r="A1965" s="3">
        <v>7536</v>
      </c>
      <c r="B1965" s="3" t="str">
        <f t="shared" si="60"/>
        <v>7</v>
      </c>
      <c r="C1965" s="4" t="s">
        <v>663</v>
      </c>
      <c r="D1965" s="5" t="s">
        <v>2609</v>
      </c>
      <c r="E1965" s="4" t="s">
        <v>50</v>
      </c>
      <c r="F1965" s="2" t="str">
        <f t="shared" si="61"/>
        <v>Routine cognitive</v>
      </c>
    </row>
    <row r="1966" spans="1:6" ht="28.5" x14ac:dyDescent="0.4">
      <c r="A1966" s="3">
        <v>7536</v>
      </c>
      <c r="B1966" s="3" t="str">
        <f t="shared" si="60"/>
        <v>7</v>
      </c>
      <c r="C1966" s="4" t="s">
        <v>663</v>
      </c>
      <c r="D1966" s="4" t="s">
        <v>667</v>
      </c>
      <c r="E1966" s="4" t="s">
        <v>106</v>
      </c>
      <c r="F1966" s="2" t="str">
        <f t="shared" si="61"/>
        <v>Non-routine manual</v>
      </c>
    </row>
    <row r="1967" spans="1:6" ht="42.75" x14ac:dyDescent="0.4">
      <c r="A1967" s="3">
        <v>7536</v>
      </c>
      <c r="B1967" s="3" t="str">
        <f t="shared" si="60"/>
        <v>7</v>
      </c>
      <c r="C1967" s="4" t="s">
        <v>663</v>
      </c>
      <c r="D1967" s="5" t="s">
        <v>2610</v>
      </c>
      <c r="E1967" s="4" t="s">
        <v>106</v>
      </c>
      <c r="F1967" s="2" t="str">
        <f t="shared" si="61"/>
        <v>Non-routine manual</v>
      </c>
    </row>
    <row r="1968" spans="1:6" ht="28.5" x14ac:dyDescent="0.4">
      <c r="A1968" s="3">
        <v>7543</v>
      </c>
      <c r="B1968" s="3" t="str">
        <f t="shared" si="60"/>
        <v>7</v>
      </c>
      <c r="C1968" s="4" t="s">
        <v>668</v>
      </c>
      <c r="D1968" s="4" t="s">
        <v>669</v>
      </c>
      <c r="E1968" s="4" t="s">
        <v>50</v>
      </c>
      <c r="F1968" s="2" t="str">
        <f t="shared" si="61"/>
        <v>Routine cognitive</v>
      </c>
    </row>
    <row r="1969" spans="1:6" ht="28.5" x14ac:dyDescent="0.4">
      <c r="A1969" s="3">
        <v>7543</v>
      </c>
      <c r="B1969" s="3" t="str">
        <f t="shared" si="60"/>
        <v>7</v>
      </c>
      <c r="C1969" s="4" t="s">
        <v>668</v>
      </c>
      <c r="D1969" s="4" t="s">
        <v>670</v>
      </c>
      <c r="E1969" s="4" t="s">
        <v>50</v>
      </c>
      <c r="F1969" s="2" t="str">
        <f t="shared" si="61"/>
        <v>Routine cognitive</v>
      </c>
    </row>
    <row r="1970" spans="1:6" ht="28.5" x14ac:dyDescent="0.4">
      <c r="A1970" s="3">
        <v>7543</v>
      </c>
      <c r="B1970" s="3" t="str">
        <f t="shared" si="60"/>
        <v>7</v>
      </c>
      <c r="C1970" s="4" t="s">
        <v>668</v>
      </c>
      <c r="D1970" s="4" t="s">
        <v>671</v>
      </c>
      <c r="E1970" s="4" t="s">
        <v>50</v>
      </c>
      <c r="F1970" s="2" t="str">
        <f t="shared" si="61"/>
        <v>Routine cognitive</v>
      </c>
    </row>
    <row r="1971" spans="1:6" ht="28.5" x14ac:dyDescent="0.4">
      <c r="A1971" s="3">
        <v>7543</v>
      </c>
      <c r="B1971" s="3" t="str">
        <f t="shared" si="60"/>
        <v>7</v>
      </c>
      <c r="C1971" s="4" t="s">
        <v>668</v>
      </c>
      <c r="D1971" s="4" t="s">
        <v>672</v>
      </c>
      <c r="E1971" s="4" t="s">
        <v>4</v>
      </c>
      <c r="F1971" s="2" t="str">
        <f t="shared" si="61"/>
        <v>Non-routine cognitive</v>
      </c>
    </row>
    <row r="1972" spans="1:6" ht="28.5" x14ac:dyDescent="0.4">
      <c r="A1972" s="3">
        <v>7543</v>
      </c>
      <c r="B1972" s="3" t="str">
        <f t="shared" si="60"/>
        <v>7</v>
      </c>
      <c r="C1972" s="4" t="s">
        <v>668</v>
      </c>
      <c r="D1972" s="4" t="s">
        <v>673</v>
      </c>
      <c r="E1972" s="4" t="s">
        <v>3</v>
      </c>
      <c r="F1972" s="2" t="str">
        <f t="shared" si="61"/>
        <v>Non-routine cognitive</v>
      </c>
    </row>
    <row r="1973" spans="1:6" ht="28.5" x14ac:dyDescent="0.4">
      <c r="A1973" s="3">
        <v>7543</v>
      </c>
      <c r="B1973" s="3" t="str">
        <f t="shared" si="60"/>
        <v>7</v>
      </c>
      <c r="C1973" s="4" t="s">
        <v>668</v>
      </c>
      <c r="D1973" s="4" t="s">
        <v>674</v>
      </c>
      <c r="E1973" s="4" t="s">
        <v>50</v>
      </c>
      <c r="F1973" s="2" t="str">
        <f t="shared" si="61"/>
        <v>Routine cognitive</v>
      </c>
    </row>
    <row r="1974" spans="1:6" ht="28.5" x14ac:dyDescent="0.4">
      <c r="A1974" s="3">
        <v>7543</v>
      </c>
      <c r="B1974" s="3" t="str">
        <f t="shared" si="60"/>
        <v>7</v>
      </c>
      <c r="C1974" s="4" t="s">
        <v>668</v>
      </c>
      <c r="D1974" s="4" t="s">
        <v>675</v>
      </c>
      <c r="E1974" s="4" t="s">
        <v>50</v>
      </c>
      <c r="F1974" s="2" t="str">
        <f t="shared" si="61"/>
        <v>Routine cognitive</v>
      </c>
    </row>
    <row r="1975" spans="1:6" ht="28.5" x14ac:dyDescent="0.4">
      <c r="A1975" s="3">
        <v>7543</v>
      </c>
      <c r="B1975" s="3" t="str">
        <f t="shared" si="60"/>
        <v>7</v>
      </c>
      <c r="C1975" s="4" t="s">
        <v>668</v>
      </c>
      <c r="D1975" s="4" t="s">
        <v>676</v>
      </c>
      <c r="E1975" s="4" t="s">
        <v>50</v>
      </c>
      <c r="F1975" s="2" t="str">
        <f t="shared" si="61"/>
        <v>Routine cognitive</v>
      </c>
    </row>
    <row r="1976" spans="1:6" ht="28.5" x14ac:dyDescent="0.4">
      <c r="A1976" s="3">
        <v>7543</v>
      </c>
      <c r="B1976" s="3" t="str">
        <f t="shared" si="60"/>
        <v>7</v>
      </c>
      <c r="C1976" s="4" t="s">
        <v>668</v>
      </c>
      <c r="D1976" s="4" t="s">
        <v>677</v>
      </c>
      <c r="E1976" s="4" t="s">
        <v>4</v>
      </c>
      <c r="F1976" s="2" t="str">
        <f t="shared" si="61"/>
        <v>Non-routine cognitive</v>
      </c>
    </row>
    <row r="1977" spans="1:6" ht="28.5" x14ac:dyDescent="0.4">
      <c r="A1977" s="3">
        <v>7544</v>
      </c>
      <c r="B1977" s="3" t="str">
        <f t="shared" si="60"/>
        <v>7</v>
      </c>
      <c r="C1977" s="4" t="s">
        <v>678</v>
      </c>
      <c r="D1977" s="4" t="s">
        <v>679</v>
      </c>
      <c r="E1977" s="4" t="s">
        <v>182</v>
      </c>
      <c r="F1977" s="2" t="str">
        <f t="shared" si="61"/>
        <v>Routine manual</v>
      </c>
    </row>
    <row r="1978" spans="1:6" ht="28.5" x14ac:dyDescent="0.4">
      <c r="A1978" s="3">
        <v>7544</v>
      </c>
      <c r="B1978" s="3" t="str">
        <f t="shared" si="60"/>
        <v>7</v>
      </c>
      <c r="C1978" s="4" t="s">
        <v>678</v>
      </c>
      <c r="D1978" s="6" t="s">
        <v>680</v>
      </c>
      <c r="E1978" s="4" t="s">
        <v>50</v>
      </c>
      <c r="F1978" s="2" t="str">
        <f t="shared" si="61"/>
        <v>Routine cognitive</v>
      </c>
    </row>
    <row r="1979" spans="1:6" ht="42.75" x14ac:dyDescent="0.4">
      <c r="A1979" s="3">
        <v>7544</v>
      </c>
      <c r="B1979" s="3" t="str">
        <f t="shared" si="60"/>
        <v>7</v>
      </c>
      <c r="C1979" s="4" t="s">
        <v>678</v>
      </c>
      <c r="D1979" s="5" t="s">
        <v>2611</v>
      </c>
      <c r="E1979" s="4" t="s">
        <v>106</v>
      </c>
      <c r="F1979" s="2" t="str">
        <f t="shared" si="61"/>
        <v>Non-routine manual</v>
      </c>
    </row>
    <row r="1980" spans="1:6" ht="42.75" x14ac:dyDescent="0.4">
      <c r="A1980" s="3">
        <v>7544</v>
      </c>
      <c r="B1980" s="3" t="str">
        <f t="shared" si="60"/>
        <v>7</v>
      </c>
      <c r="C1980" s="4" t="s">
        <v>678</v>
      </c>
      <c r="D1980" s="5" t="s">
        <v>2612</v>
      </c>
      <c r="E1980" s="4" t="s">
        <v>106</v>
      </c>
      <c r="F1980" s="2" t="str">
        <f t="shared" si="61"/>
        <v>Non-routine manual</v>
      </c>
    </row>
    <row r="1981" spans="1:6" ht="28.5" x14ac:dyDescent="0.4">
      <c r="A1981" s="3">
        <v>7544</v>
      </c>
      <c r="B1981" s="3" t="str">
        <f t="shared" si="60"/>
        <v>7</v>
      </c>
      <c r="C1981" s="4" t="s">
        <v>678</v>
      </c>
      <c r="D1981" s="4" t="s">
        <v>681</v>
      </c>
      <c r="E1981" s="4" t="s">
        <v>106</v>
      </c>
      <c r="F1981" s="2" t="str">
        <f t="shared" si="61"/>
        <v>Non-routine manual</v>
      </c>
    </row>
    <row r="1982" spans="1:6" ht="28.5" x14ac:dyDescent="0.4">
      <c r="A1982" s="3">
        <v>7544</v>
      </c>
      <c r="B1982" s="3" t="str">
        <f t="shared" si="60"/>
        <v>7</v>
      </c>
      <c r="C1982" s="4" t="s">
        <v>678</v>
      </c>
      <c r="D1982" s="7" t="s">
        <v>682</v>
      </c>
      <c r="E1982" s="4" t="s">
        <v>106</v>
      </c>
      <c r="F1982" s="2" t="str">
        <f t="shared" si="61"/>
        <v>Non-routine manual</v>
      </c>
    </row>
    <row r="1983" spans="1:6" ht="28.5" x14ac:dyDescent="0.4">
      <c r="A1983" s="3">
        <v>7544</v>
      </c>
      <c r="B1983" s="3" t="str">
        <f t="shared" si="60"/>
        <v>7</v>
      </c>
      <c r="C1983" s="4" t="s">
        <v>678</v>
      </c>
      <c r="D1983" s="4" t="s">
        <v>683</v>
      </c>
      <c r="E1983" s="4" t="s">
        <v>106</v>
      </c>
      <c r="F1983" s="2" t="str">
        <f t="shared" si="61"/>
        <v>Non-routine manual</v>
      </c>
    </row>
    <row r="1984" spans="1:6" ht="57" x14ac:dyDescent="0.4">
      <c r="A1984" s="3">
        <v>8111</v>
      </c>
      <c r="B1984" s="3" t="str">
        <f t="shared" si="60"/>
        <v>8</v>
      </c>
      <c r="C1984" s="4" t="s">
        <v>684</v>
      </c>
      <c r="D1984" s="5" t="s">
        <v>2613</v>
      </c>
      <c r="E1984" s="4" t="s">
        <v>182</v>
      </c>
      <c r="F1984" s="2" t="str">
        <f t="shared" si="61"/>
        <v>Routine manual</v>
      </c>
    </row>
    <row r="1985" spans="1:6" ht="42.75" x14ac:dyDescent="0.4">
      <c r="A1985" s="3">
        <v>8111</v>
      </c>
      <c r="B1985" s="3" t="str">
        <f t="shared" si="60"/>
        <v>8</v>
      </c>
      <c r="C1985" s="4" t="s">
        <v>684</v>
      </c>
      <c r="D1985" s="5" t="s">
        <v>2614</v>
      </c>
      <c r="E1985" s="4" t="s">
        <v>182</v>
      </c>
      <c r="F1985" s="2" t="str">
        <f t="shared" si="61"/>
        <v>Routine manual</v>
      </c>
    </row>
    <row r="1986" spans="1:6" ht="42.75" x14ac:dyDescent="0.4">
      <c r="A1986" s="3">
        <v>8111</v>
      </c>
      <c r="B1986" s="3" t="str">
        <f t="shared" si="60"/>
        <v>8</v>
      </c>
      <c r="C1986" s="4" t="s">
        <v>684</v>
      </c>
      <c r="D1986" s="8" t="s">
        <v>2615</v>
      </c>
      <c r="E1986" s="4" t="s">
        <v>182</v>
      </c>
      <c r="F1986" s="2" t="str">
        <f t="shared" si="61"/>
        <v>Routine manual</v>
      </c>
    </row>
    <row r="1987" spans="1:6" ht="28.5" x14ac:dyDescent="0.4">
      <c r="A1987" s="3">
        <v>8111</v>
      </c>
      <c r="B1987" s="3" t="str">
        <f t="shared" ref="B1987:B2050" si="62">LEFT(A1987,1)</f>
        <v>8</v>
      </c>
      <c r="C1987" s="4" t="s">
        <v>684</v>
      </c>
      <c r="D1987" s="11" t="s">
        <v>2616</v>
      </c>
      <c r="E1987" s="4" t="s">
        <v>106</v>
      </c>
      <c r="F1987" s="2" t="str">
        <f t="shared" ref="F1987:F2050" si="63">IF(E1987="Non-routine interpersonal","Non-routine cognitive",IF(E1987="Non-routine analytical","Non-routine cognitive",IF(E1987="Non-routine manual physical","Non-routine manual",E1987)))</f>
        <v>Non-routine manual</v>
      </c>
    </row>
    <row r="1988" spans="1:6" ht="28.5" x14ac:dyDescent="0.4">
      <c r="A1988" s="3">
        <v>8111</v>
      </c>
      <c r="B1988" s="3" t="str">
        <f t="shared" si="62"/>
        <v>8</v>
      </c>
      <c r="C1988" s="4" t="s">
        <v>684</v>
      </c>
      <c r="D1988" s="10" t="s">
        <v>2617</v>
      </c>
      <c r="E1988" s="4" t="s">
        <v>182</v>
      </c>
      <c r="F1988" s="2" t="str">
        <f t="shared" si="63"/>
        <v>Routine manual</v>
      </c>
    </row>
    <row r="1989" spans="1:6" ht="28.5" x14ac:dyDescent="0.4">
      <c r="A1989" s="3">
        <v>8111</v>
      </c>
      <c r="B1989" s="3" t="str">
        <f t="shared" si="62"/>
        <v>8</v>
      </c>
      <c r="C1989" s="4" t="s">
        <v>684</v>
      </c>
      <c r="D1989" s="10" t="s">
        <v>2618</v>
      </c>
      <c r="E1989" s="4" t="s">
        <v>182</v>
      </c>
      <c r="F1989" s="2" t="str">
        <f t="shared" si="63"/>
        <v>Routine manual</v>
      </c>
    </row>
    <row r="1990" spans="1:6" ht="42.75" x14ac:dyDescent="0.4">
      <c r="A1990" s="3">
        <v>8111</v>
      </c>
      <c r="B1990" s="3" t="str">
        <f t="shared" si="62"/>
        <v>8</v>
      </c>
      <c r="C1990" s="4" t="s">
        <v>684</v>
      </c>
      <c r="D1990" s="8" t="s">
        <v>2619</v>
      </c>
      <c r="E1990" s="4" t="s">
        <v>106</v>
      </c>
      <c r="F1990" s="2" t="str">
        <f t="shared" si="63"/>
        <v>Non-routine manual</v>
      </c>
    </row>
    <row r="1991" spans="1:6" ht="28.5" x14ac:dyDescent="0.4">
      <c r="A1991" s="3">
        <v>8111</v>
      </c>
      <c r="B1991" s="3" t="str">
        <f t="shared" si="62"/>
        <v>8</v>
      </c>
      <c r="C1991" s="4" t="s">
        <v>684</v>
      </c>
      <c r="D1991" s="5" t="s">
        <v>2620</v>
      </c>
      <c r="E1991" s="4" t="s">
        <v>50</v>
      </c>
      <c r="F1991" s="2" t="str">
        <f t="shared" si="63"/>
        <v>Routine cognitive</v>
      </c>
    </row>
    <row r="1992" spans="1:6" ht="28.5" x14ac:dyDescent="0.4">
      <c r="A1992" s="3">
        <v>8111</v>
      </c>
      <c r="B1992" s="3" t="str">
        <f t="shared" si="62"/>
        <v>8</v>
      </c>
      <c r="C1992" s="4" t="s">
        <v>684</v>
      </c>
      <c r="D1992" s="6" t="s">
        <v>685</v>
      </c>
      <c r="E1992" s="4" t="s">
        <v>106</v>
      </c>
      <c r="F1992" s="2" t="str">
        <f t="shared" si="63"/>
        <v>Non-routine manual</v>
      </c>
    </row>
    <row r="1993" spans="1:6" ht="28.5" x14ac:dyDescent="0.4">
      <c r="A1993" s="3">
        <v>8113</v>
      </c>
      <c r="B1993" s="3" t="str">
        <f t="shared" si="62"/>
        <v>8</v>
      </c>
      <c r="C1993" s="4" t="s">
        <v>686</v>
      </c>
      <c r="D1993" s="8" t="s">
        <v>2621</v>
      </c>
      <c r="E1993" s="4" t="s">
        <v>106</v>
      </c>
      <c r="F1993" s="2" t="str">
        <f t="shared" si="63"/>
        <v>Non-routine manual</v>
      </c>
    </row>
    <row r="1994" spans="1:6" ht="28.5" x14ac:dyDescent="0.4">
      <c r="A1994" s="3">
        <v>8113</v>
      </c>
      <c r="B1994" s="3" t="str">
        <f t="shared" si="62"/>
        <v>8</v>
      </c>
      <c r="C1994" s="4" t="s">
        <v>686</v>
      </c>
      <c r="D1994" s="8" t="s">
        <v>2622</v>
      </c>
      <c r="E1994" s="4" t="s">
        <v>106</v>
      </c>
      <c r="F1994" s="2" t="str">
        <f t="shared" si="63"/>
        <v>Non-routine manual</v>
      </c>
    </row>
    <row r="1995" spans="1:6" ht="42.75" x14ac:dyDescent="0.4">
      <c r="A1995" s="3">
        <v>8113</v>
      </c>
      <c r="B1995" s="3" t="str">
        <f t="shared" si="62"/>
        <v>8</v>
      </c>
      <c r="C1995" s="4" t="s">
        <v>686</v>
      </c>
      <c r="D1995" s="5" t="s">
        <v>2623</v>
      </c>
      <c r="E1995" s="4" t="s">
        <v>182</v>
      </c>
      <c r="F1995" s="2" t="str">
        <f t="shared" si="63"/>
        <v>Routine manual</v>
      </c>
    </row>
    <row r="1996" spans="1:6" ht="42.75" x14ac:dyDescent="0.4">
      <c r="A1996" s="3">
        <v>8113</v>
      </c>
      <c r="B1996" s="3" t="str">
        <f t="shared" si="62"/>
        <v>8</v>
      </c>
      <c r="C1996" s="4" t="s">
        <v>686</v>
      </c>
      <c r="D1996" s="5" t="s">
        <v>2624</v>
      </c>
      <c r="E1996" s="4" t="s">
        <v>182</v>
      </c>
      <c r="F1996" s="2" t="str">
        <f t="shared" si="63"/>
        <v>Routine manual</v>
      </c>
    </row>
    <row r="1997" spans="1:6" ht="42.75" x14ac:dyDescent="0.4">
      <c r="A1997" s="3">
        <v>8113</v>
      </c>
      <c r="B1997" s="3" t="str">
        <f t="shared" si="62"/>
        <v>8</v>
      </c>
      <c r="C1997" s="4" t="s">
        <v>686</v>
      </c>
      <c r="D1997" s="5" t="s">
        <v>2625</v>
      </c>
      <c r="E1997" s="4" t="s">
        <v>50</v>
      </c>
      <c r="F1997" s="2" t="str">
        <f t="shared" si="63"/>
        <v>Routine cognitive</v>
      </c>
    </row>
    <row r="1998" spans="1:6" ht="28.5" x14ac:dyDescent="0.4">
      <c r="A1998" s="3">
        <v>8113</v>
      </c>
      <c r="B1998" s="3" t="str">
        <f t="shared" si="62"/>
        <v>8</v>
      </c>
      <c r="C1998" s="4" t="s">
        <v>686</v>
      </c>
      <c r="D1998" s="8" t="s">
        <v>2626</v>
      </c>
      <c r="E1998" s="4" t="s">
        <v>106</v>
      </c>
      <c r="F1998" s="2" t="str">
        <f t="shared" si="63"/>
        <v>Non-routine manual</v>
      </c>
    </row>
    <row r="1999" spans="1:6" ht="28.5" x14ac:dyDescent="0.4">
      <c r="A1999" s="3">
        <v>8113</v>
      </c>
      <c r="B1999" s="3" t="str">
        <f t="shared" si="62"/>
        <v>8</v>
      </c>
      <c r="C1999" s="4" t="s">
        <v>686</v>
      </c>
      <c r="D1999" s="10" t="s">
        <v>2627</v>
      </c>
      <c r="E1999" s="4" t="s">
        <v>50</v>
      </c>
      <c r="F1999" s="2" t="str">
        <f t="shared" si="63"/>
        <v>Routine cognitive</v>
      </c>
    </row>
    <row r="2000" spans="1:6" ht="42.75" x14ac:dyDescent="0.4">
      <c r="A2000" s="3">
        <v>8113</v>
      </c>
      <c r="B2000" s="3" t="str">
        <f t="shared" si="62"/>
        <v>8</v>
      </c>
      <c r="C2000" s="4" t="s">
        <v>686</v>
      </c>
      <c r="D2000" s="5" t="s">
        <v>2628</v>
      </c>
      <c r="E2000" s="4" t="s">
        <v>182</v>
      </c>
      <c r="F2000" s="2" t="str">
        <f t="shared" si="63"/>
        <v>Routine manual</v>
      </c>
    </row>
    <row r="2001" spans="1:6" ht="28.5" x14ac:dyDescent="0.4">
      <c r="A2001" s="3">
        <v>8113</v>
      </c>
      <c r="B2001" s="3" t="str">
        <f t="shared" si="62"/>
        <v>8</v>
      </c>
      <c r="C2001" s="4" t="s">
        <v>686</v>
      </c>
      <c r="D2001" s="6" t="s">
        <v>687</v>
      </c>
      <c r="E2001" s="4" t="s">
        <v>182</v>
      </c>
      <c r="F2001" s="2" t="str">
        <f t="shared" si="63"/>
        <v>Routine manual</v>
      </c>
    </row>
    <row r="2002" spans="1:6" ht="28.5" x14ac:dyDescent="0.4">
      <c r="A2002" s="3">
        <v>8113</v>
      </c>
      <c r="B2002" s="3" t="str">
        <f t="shared" si="62"/>
        <v>8</v>
      </c>
      <c r="C2002" s="4" t="s">
        <v>686</v>
      </c>
      <c r="D2002" s="6" t="s">
        <v>688</v>
      </c>
      <c r="E2002" s="4" t="s">
        <v>3</v>
      </c>
      <c r="F2002" s="2" t="str">
        <f t="shared" si="63"/>
        <v>Non-routine cognitive</v>
      </c>
    </row>
    <row r="2003" spans="1:6" ht="42.75" x14ac:dyDescent="0.4">
      <c r="A2003" s="3">
        <v>8114</v>
      </c>
      <c r="B2003" s="3" t="str">
        <f t="shared" si="62"/>
        <v>8</v>
      </c>
      <c r="C2003" s="4" t="s">
        <v>689</v>
      </c>
      <c r="D2003" s="4" t="s">
        <v>690</v>
      </c>
      <c r="E2003" s="4" t="s">
        <v>182</v>
      </c>
      <c r="F2003" s="2" t="str">
        <f t="shared" si="63"/>
        <v>Routine manual</v>
      </c>
    </row>
    <row r="2004" spans="1:6" ht="57" x14ac:dyDescent="0.4">
      <c r="A2004" s="3">
        <v>8114</v>
      </c>
      <c r="B2004" s="3" t="str">
        <f t="shared" si="62"/>
        <v>8</v>
      </c>
      <c r="C2004" s="4" t="s">
        <v>689</v>
      </c>
      <c r="D2004" s="5" t="s">
        <v>2629</v>
      </c>
      <c r="E2004" s="4" t="s">
        <v>182</v>
      </c>
      <c r="F2004" s="2" t="str">
        <f t="shared" si="63"/>
        <v>Routine manual</v>
      </c>
    </row>
    <row r="2005" spans="1:6" ht="28.5" x14ac:dyDescent="0.4">
      <c r="A2005" s="3">
        <v>8114</v>
      </c>
      <c r="B2005" s="3" t="str">
        <f t="shared" si="62"/>
        <v>8</v>
      </c>
      <c r="C2005" s="4" t="s">
        <v>689</v>
      </c>
      <c r="D2005" s="4" t="s">
        <v>691</v>
      </c>
      <c r="E2005" s="4" t="s">
        <v>182</v>
      </c>
      <c r="F2005" s="2" t="str">
        <f t="shared" si="63"/>
        <v>Routine manual</v>
      </c>
    </row>
    <row r="2006" spans="1:6" ht="42.75" x14ac:dyDescent="0.4">
      <c r="A2006" s="3">
        <v>8114</v>
      </c>
      <c r="B2006" s="3" t="str">
        <f t="shared" si="62"/>
        <v>8</v>
      </c>
      <c r="C2006" s="4" t="s">
        <v>689</v>
      </c>
      <c r="D2006" s="5" t="s">
        <v>2630</v>
      </c>
      <c r="E2006" s="4" t="s">
        <v>182</v>
      </c>
      <c r="F2006" s="2" t="str">
        <f t="shared" si="63"/>
        <v>Routine manual</v>
      </c>
    </row>
    <row r="2007" spans="1:6" ht="28.5" x14ac:dyDescent="0.4">
      <c r="A2007" s="3">
        <v>8114</v>
      </c>
      <c r="B2007" s="3" t="str">
        <f t="shared" si="62"/>
        <v>8</v>
      </c>
      <c r="C2007" s="4" t="s">
        <v>689</v>
      </c>
      <c r="D2007" s="6" t="s">
        <v>692</v>
      </c>
      <c r="E2007" s="4" t="s">
        <v>106</v>
      </c>
      <c r="F2007" s="2" t="str">
        <f t="shared" si="63"/>
        <v>Non-routine manual</v>
      </c>
    </row>
    <row r="2008" spans="1:6" ht="42.75" x14ac:dyDescent="0.4">
      <c r="A2008" s="3">
        <v>8114</v>
      </c>
      <c r="B2008" s="3" t="str">
        <f t="shared" si="62"/>
        <v>8</v>
      </c>
      <c r="C2008" s="4" t="s">
        <v>689</v>
      </c>
      <c r="D2008" s="5" t="s">
        <v>2631</v>
      </c>
      <c r="E2008" s="4" t="s">
        <v>50</v>
      </c>
      <c r="F2008" s="2" t="str">
        <f t="shared" si="63"/>
        <v>Routine cognitive</v>
      </c>
    </row>
    <row r="2009" spans="1:6" ht="57" x14ac:dyDescent="0.4">
      <c r="A2009" s="3">
        <v>8114</v>
      </c>
      <c r="B2009" s="3" t="str">
        <f t="shared" si="62"/>
        <v>8</v>
      </c>
      <c r="C2009" s="4" t="s">
        <v>689</v>
      </c>
      <c r="D2009" s="5" t="s">
        <v>2632</v>
      </c>
      <c r="E2009" s="4" t="s">
        <v>182</v>
      </c>
      <c r="F2009" s="2" t="str">
        <f t="shared" si="63"/>
        <v>Routine manual</v>
      </c>
    </row>
    <row r="2010" spans="1:6" ht="28.5" x14ac:dyDescent="0.4">
      <c r="A2010" s="3">
        <v>8114</v>
      </c>
      <c r="B2010" s="3" t="str">
        <f t="shared" si="62"/>
        <v>8</v>
      </c>
      <c r="C2010" s="4" t="s">
        <v>689</v>
      </c>
      <c r="D2010" s="4" t="s">
        <v>693</v>
      </c>
      <c r="E2010" s="4" t="s">
        <v>4</v>
      </c>
      <c r="F2010" s="2" t="str">
        <f t="shared" si="63"/>
        <v>Non-routine cognitive</v>
      </c>
    </row>
    <row r="2011" spans="1:6" ht="28.5" x14ac:dyDescent="0.4">
      <c r="A2011" s="3">
        <v>8114</v>
      </c>
      <c r="B2011" s="3" t="str">
        <f t="shared" si="62"/>
        <v>8</v>
      </c>
      <c r="C2011" s="4" t="s">
        <v>689</v>
      </c>
      <c r="D2011" s="4" t="s">
        <v>694</v>
      </c>
      <c r="E2011" s="4" t="s">
        <v>50</v>
      </c>
      <c r="F2011" s="2" t="str">
        <f t="shared" si="63"/>
        <v>Routine cognitive</v>
      </c>
    </row>
    <row r="2012" spans="1:6" ht="28.5" x14ac:dyDescent="0.4">
      <c r="A2012" s="3">
        <v>8114</v>
      </c>
      <c r="B2012" s="3" t="str">
        <f t="shared" si="62"/>
        <v>8</v>
      </c>
      <c r="C2012" s="4" t="s">
        <v>689</v>
      </c>
      <c r="D2012" s="4" t="s">
        <v>695</v>
      </c>
      <c r="E2012" s="4" t="s">
        <v>106</v>
      </c>
      <c r="F2012" s="2" t="str">
        <f t="shared" si="63"/>
        <v>Non-routine manual</v>
      </c>
    </row>
    <row r="2013" spans="1:6" ht="42.75" x14ac:dyDescent="0.4">
      <c r="A2013" s="3">
        <v>8121</v>
      </c>
      <c r="B2013" s="3" t="str">
        <f t="shared" si="62"/>
        <v>8</v>
      </c>
      <c r="C2013" s="4" t="s">
        <v>696</v>
      </c>
      <c r="D2013" s="5" t="s">
        <v>2633</v>
      </c>
      <c r="E2013" s="4" t="s">
        <v>182</v>
      </c>
      <c r="F2013" s="2" t="str">
        <f t="shared" si="63"/>
        <v>Routine manual</v>
      </c>
    </row>
    <row r="2014" spans="1:6" ht="42.75" x14ac:dyDescent="0.4">
      <c r="A2014" s="3">
        <v>8121</v>
      </c>
      <c r="B2014" s="3" t="str">
        <f t="shared" si="62"/>
        <v>8</v>
      </c>
      <c r="C2014" s="4" t="s">
        <v>696</v>
      </c>
      <c r="D2014" s="5" t="s">
        <v>2634</v>
      </c>
      <c r="E2014" s="4" t="s">
        <v>182</v>
      </c>
      <c r="F2014" s="2" t="str">
        <f t="shared" si="63"/>
        <v>Routine manual</v>
      </c>
    </row>
    <row r="2015" spans="1:6" ht="42.75" x14ac:dyDescent="0.4">
      <c r="A2015" s="3">
        <v>8121</v>
      </c>
      <c r="B2015" s="3" t="str">
        <f t="shared" si="62"/>
        <v>8</v>
      </c>
      <c r="C2015" s="4" t="s">
        <v>696</v>
      </c>
      <c r="D2015" s="5" t="s">
        <v>2635</v>
      </c>
      <c r="E2015" s="4" t="s">
        <v>50</v>
      </c>
      <c r="F2015" s="2" t="str">
        <f t="shared" si="63"/>
        <v>Routine cognitive</v>
      </c>
    </row>
    <row r="2016" spans="1:6" ht="28.5" x14ac:dyDescent="0.4">
      <c r="A2016" s="3">
        <v>8121</v>
      </c>
      <c r="B2016" s="3" t="str">
        <f t="shared" si="62"/>
        <v>8</v>
      </c>
      <c r="C2016" s="4" t="s">
        <v>696</v>
      </c>
      <c r="D2016" s="5" t="s">
        <v>2636</v>
      </c>
      <c r="E2016" s="4" t="s">
        <v>106</v>
      </c>
      <c r="F2016" s="2" t="str">
        <f t="shared" si="63"/>
        <v>Non-routine manual</v>
      </c>
    </row>
    <row r="2017" spans="1:6" ht="28.5" x14ac:dyDescent="0.4">
      <c r="A2017" s="3">
        <v>8121</v>
      </c>
      <c r="B2017" s="3" t="str">
        <f t="shared" si="62"/>
        <v>8</v>
      </c>
      <c r="C2017" s="4" t="s">
        <v>696</v>
      </c>
      <c r="D2017" s="5" t="s">
        <v>2637</v>
      </c>
      <c r="E2017" s="4" t="s">
        <v>182</v>
      </c>
      <c r="F2017" s="2" t="str">
        <f t="shared" si="63"/>
        <v>Routine manual</v>
      </c>
    </row>
    <row r="2018" spans="1:6" ht="28.5" x14ac:dyDescent="0.4">
      <c r="A2018" s="3">
        <v>8121</v>
      </c>
      <c r="B2018" s="3" t="str">
        <f t="shared" si="62"/>
        <v>8</v>
      </c>
      <c r="C2018" s="4" t="s">
        <v>696</v>
      </c>
      <c r="D2018" s="5" t="s">
        <v>2638</v>
      </c>
      <c r="E2018" s="4" t="s">
        <v>182</v>
      </c>
      <c r="F2018" s="2" t="str">
        <f t="shared" si="63"/>
        <v>Routine manual</v>
      </c>
    </row>
    <row r="2019" spans="1:6" ht="28.5" x14ac:dyDescent="0.4">
      <c r="A2019" s="3">
        <v>8121</v>
      </c>
      <c r="B2019" s="3" t="str">
        <f t="shared" si="62"/>
        <v>8</v>
      </c>
      <c r="C2019" s="4" t="s">
        <v>696</v>
      </c>
      <c r="D2019" s="5" t="s">
        <v>2639</v>
      </c>
      <c r="E2019" s="4" t="s">
        <v>182</v>
      </c>
      <c r="F2019" s="2" t="str">
        <f t="shared" si="63"/>
        <v>Routine manual</v>
      </c>
    </row>
    <row r="2020" spans="1:6" ht="42.75" x14ac:dyDescent="0.4">
      <c r="A2020" s="3">
        <v>8121</v>
      </c>
      <c r="B2020" s="3" t="str">
        <f t="shared" si="62"/>
        <v>8</v>
      </c>
      <c r="C2020" s="4" t="s">
        <v>696</v>
      </c>
      <c r="D2020" s="5" t="s">
        <v>2640</v>
      </c>
      <c r="E2020" s="4" t="s">
        <v>4</v>
      </c>
      <c r="F2020" s="2" t="str">
        <f t="shared" si="63"/>
        <v>Non-routine cognitive</v>
      </c>
    </row>
    <row r="2021" spans="1:6" ht="42.75" x14ac:dyDescent="0.4">
      <c r="A2021" s="3">
        <v>8122</v>
      </c>
      <c r="B2021" s="3" t="str">
        <f t="shared" si="62"/>
        <v>8</v>
      </c>
      <c r="C2021" s="4" t="s">
        <v>697</v>
      </c>
      <c r="D2021" s="5" t="s">
        <v>2641</v>
      </c>
      <c r="E2021" s="4" t="s">
        <v>182</v>
      </c>
      <c r="F2021" s="2" t="str">
        <f t="shared" si="63"/>
        <v>Routine manual</v>
      </c>
    </row>
    <row r="2022" spans="1:6" ht="28.5" x14ac:dyDescent="0.4">
      <c r="A2022" s="3">
        <v>8122</v>
      </c>
      <c r="B2022" s="3" t="str">
        <f t="shared" si="62"/>
        <v>8</v>
      </c>
      <c r="C2022" s="4" t="s">
        <v>697</v>
      </c>
      <c r="D2022" s="6" t="s">
        <v>698</v>
      </c>
      <c r="E2022" s="4" t="s">
        <v>182</v>
      </c>
      <c r="F2022" s="2" t="str">
        <f t="shared" si="63"/>
        <v>Routine manual</v>
      </c>
    </row>
    <row r="2023" spans="1:6" ht="28.5" x14ac:dyDescent="0.4">
      <c r="A2023" s="3">
        <v>8122</v>
      </c>
      <c r="B2023" s="3" t="str">
        <f t="shared" si="62"/>
        <v>8</v>
      </c>
      <c r="C2023" s="4" t="s">
        <v>697</v>
      </c>
      <c r="D2023" s="5" t="s">
        <v>2642</v>
      </c>
      <c r="E2023" s="4" t="s">
        <v>182</v>
      </c>
      <c r="F2023" s="2" t="str">
        <f t="shared" si="63"/>
        <v>Routine manual</v>
      </c>
    </row>
    <row r="2024" spans="1:6" ht="28.5" x14ac:dyDescent="0.4">
      <c r="A2024" s="3">
        <v>8122</v>
      </c>
      <c r="B2024" s="3" t="str">
        <f t="shared" si="62"/>
        <v>8</v>
      </c>
      <c r="C2024" s="4" t="s">
        <v>697</v>
      </c>
      <c r="D2024" s="8" t="s">
        <v>2643</v>
      </c>
      <c r="E2024" s="4" t="s">
        <v>182</v>
      </c>
      <c r="F2024" s="2" t="str">
        <f t="shared" si="63"/>
        <v>Routine manual</v>
      </c>
    </row>
    <row r="2025" spans="1:6" ht="57" x14ac:dyDescent="0.4">
      <c r="A2025" s="3">
        <v>8122</v>
      </c>
      <c r="B2025" s="3" t="str">
        <f t="shared" si="62"/>
        <v>8</v>
      </c>
      <c r="C2025" s="4" t="s">
        <v>697</v>
      </c>
      <c r="D2025" s="5" t="s">
        <v>2644</v>
      </c>
      <c r="E2025" s="4" t="s">
        <v>182</v>
      </c>
      <c r="F2025" s="2" t="str">
        <f t="shared" si="63"/>
        <v>Routine manual</v>
      </c>
    </row>
    <row r="2026" spans="1:6" ht="28.5" x14ac:dyDescent="0.4">
      <c r="A2026" s="3">
        <v>8122</v>
      </c>
      <c r="B2026" s="3" t="str">
        <f t="shared" si="62"/>
        <v>8</v>
      </c>
      <c r="C2026" s="4" t="s">
        <v>697</v>
      </c>
      <c r="D2026" s="6" t="s">
        <v>699</v>
      </c>
      <c r="E2026" s="4" t="s">
        <v>182</v>
      </c>
      <c r="F2026" s="2" t="str">
        <f t="shared" si="63"/>
        <v>Routine manual</v>
      </c>
    </row>
    <row r="2027" spans="1:6" ht="28.5" x14ac:dyDescent="0.4">
      <c r="A2027" s="3">
        <v>8122</v>
      </c>
      <c r="B2027" s="3" t="str">
        <f t="shared" si="62"/>
        <v>8</v>
      </c>
      <c r="C2027" s="4" t="s">
        <v>697</v>
      </c>
      <c r="D2027" s="5" t="s">
        <v>2645</v>
      </c>
      <c r="E2027" s="4" t="s">
        <v>50</v>
      </c>
      <c r="F2027" s="2" t="str">
        <f t="shared" si="63"/>
        <v>Routine cognitive</v>
      </c>
    </row>
    <row r="2028" spans="1:6" ht="28.5" x14ac:dyDescent="0.4">
      <c r="A2028" s="3">
        <v>8122</v>
      </c>
      <c r="B2028" s="3" t="str">
        <f t="shared" si="62"/>
        <v>8</v>
      </c>
      <c r="C2028" s="4" t="s">
        <v>697</v>
      </c>
      <c r="D2028" s="10" t="s">
        <v>2646</v>
      </c>
      <c r="E2028" s="4" t="s">
        <v>50</v>
      </c>
      <c r="F2028" s="2" t="str">
        <f t="shared" si="63"/>
        <v>Routine cognitive</v>
      </c>
    </row>
    <row r="2029" spans="1:6" ht="28.5" x14ac:dyDescent="0.4">
      <c r="A2029" s="3">
        <v>8131</v>
      </c>
      <c r="B2029" s="3" t="str">
        <f t="shared" si="62"/>
        <v>8</v>
      </c>
      <c r="C2029" s="4" t="s">
        <v>700</v>
      </c>
      <c r="D2029" s="8" t="s">
        <v>2647</v>
      </c>
      <c r="E2029" s="4" t="s">
        <v>182</v>
      </c>
      <c r="F2029" s="2" t="str">
        <f t="shared" si="63"/>
        <v>Routine manual</v>
      </c>
    </row>
    <row r="2030" spans="1:6" ht="28.5" x14ac:dyDescent="0.4">
      <c r="A2030" s="3">
        <v>8131</v>
      </c>
      <c r="B2030" s="3" t="str">
        <f t="shared" si="62"/>
        <v>8</v>
      </c>
      <c r="C2030" s="4" t="s">
        <v>700</v>
      </c>
      <c r="D2030" s="8" t="s">
        <v>2648</v>
      </c>
      <c r="E2030" s="4" t="s">
        <v>50</v>
      </c>
      <c r="F2030" s="2" t="str">
        <f t="shared" si="63"/>
        <v>Routine cognitive</v>
      </c>
    </row>
    <row r="2031" spans="1:6" ht="71.25" x14ac:dyDescent="0.4">
      <c r="A2031" s="3">
        <v>8131</v>
      </c>
      <c r="B2031" s="3" t="str">
        <f t="shared" si="62"/>
        <v>8</v>
      </c>
      <c r="C2031" s="4" t="s">
        <v>700</v>
      </c>
      <c r="D2031" s="5" t="s">
        <v>2649</v>
      </c>
      <c r="E2031" s="4" t="s">
        <v>50</v>
      </c>
      <c r="F2031" s="2" t="str">
        <f t="shared" si="63"/>
        <v>Routine cognitive</v>
      </c>
    </row>
    <row r="2032" spans="1:6" ht="28.5" x14ac:dyDescent="0.4">
      <c r="A2032" s="3">
        <v>8131</v>
      </c>
      <c r="B2032" s="3" t="str">
        <f t="shared" si="62"/>
        <v>8</v>
      </c>
      <c r="C2032" s="4" t="s">
        <v>700</v>
      </c>
      <c r="D2032" s="6" t="s">
        <v>701</v>
      </c>
      <c r="E2032" s="4" t="s">
        <v>50</v>
      </c>
      <c r="F2032" s="2" t="str">
        <f t="shared" si="63"/>
        <v>Routine cognitive</v>
      </c>
    </row>
    <row r="2033" spans="1:6" ht="28.5" x14ac:dyDescent="0.4">
      <c r="A2033" s="3">
        <v>8131</v>
      </c>
      <c r="B2033" s="3" t="str">
        <f t="shared" si="62"/>
        <v>8</v>
      </c>
      <c r="C2033" s="4" t="s">
        <v>700</v>
      </c>
      <c r="D2033" s="4" t="s">
        <v>702</v>
      </c>
      <c r="E2033" s="4" t="s">
        <v>50</v>
      </c>
      <c r="F2033" s="2" t="str">
        <f t="shared" si="63"/>
        <v>Routine cognitive</v>
      </c>
    </row>
    <row r="2034" spans="1:6" ht="28.5" x14ac:dyDescent="0.4">
      <c r="A2034" s="3">
        <v>8131</v>
      </c>
      <c r="B2034" s="3" t="str">
        <f t="shared" si="62"/>
        <v>8</v>
      </c>
      <c r="C2034" s="4" t="s">
        <v>700</v>
      </c>
      <c r="D2034" s="8" t="s">
        <v>2650</v>
      </c>
      <c r="E2034" s="4" t="s">
        <v>106</v>
      </c>
      <c r="F2034" s="2" t="str">
        <f t="shared" si="63"/>
        <v>Non-routine manual</v>
      </c>
    </row>
    <row r="2035" spans="1:6" ht="42.75" x14ac:dyDescent="0.4">
      <c r="A2035" s="3">
        <v>8141</v>
      </c>
      <c r="B2035" s="3" t="str">
        <f t="shared" si="62"/>
        <v>8</v>
      </c>
      <c r="C2035" s="4" t="s">
        <v>703</v>
      </c>
      <c r="D2035" s="5" t="s">
        <v>2651</v>
      </c>
      <c r="E2035" s="4" t="s">
        <v>182</v>
      </c>
      <c r="F2035" s="2" t="str">
        <f t="shared" si="63"/>
        <v>Routine manual</v>
      </c>
    </row>
    <row r="2036" spans="1:6" ht="28.5" x14ac:dyDescent="0.4">
      <c r="A2036" s="3">
        <v>8141</v>
      </c>
      <c r="B2036" s="3" t="str">
        <f t="shared" si="62"/>
        <v>8</v>
      </c>
      <c r="C2036" s="4" t="s">
        <v>703</v>
      </c>
      <c r="D2036" s="4" t="s">
        <v>704</v>
      </c>
      <c r="E2036" s="4" t="s">
        <v>182</v>
      </c>
      <c r="F2036" s="2" t="str">
        <f t="shared" si="63"/>
        <v>Routine manual</v>
      </c>
    </row>
    <row r="2037" spans="1:6" ht="28.5" x14ac:dyDescent="0.4">
      <c r="A2037" s="3">
        <v>8141</v>
      </c>
      <c r="B2037" s="3" t="str">
        <f t="shared" si="62"/>
        <v>8</v>
      </c>
      <c r="C2037" s="4" t="s">
        <v>703</v>
      </c>
      <c r="D2037" s="5" t="s">
        <v>2652</v>
      </c>
      <c r="E2037" s="4" t="s">
        <v>182</v>
      </c>
      <c r="F2037" s="2" t="str">
        <f t="shared" si="63"/>
        <v>Routine manual</v>
      </c>
    </row>
    <row r="2038" spans="1:6" ht="28.5" x14ac:dyDescent="0.4">
      <c r="A2038" s="3">
        <v>8141</v>
      </c>
      <c r="B2038" s="3" t="str">
        <f t="shared" si="62"/>
        <v>8</v>
      </c>
      <c r="C2038" s="4" t="s">
        <v>703</v>
      </c>
      <c r="D2038" s="4" t="s">
        <v>705</v>
      </c>
      <c r="E2038" s="4" t="s">
        <v>182</v>
      </c>
      <c r="F2038" s="2" t="str">
        <f t="shared" si="63"/>
        <v>Routine manual</v>
      </c>
    </row>
    <row r="2039" spans="1:6" x14ac:dyDescent="0.4">
      <c r="A2039" s="3">
        <v>8141</v>
      </c>
      <c r="B2039" s="3" t="str">
        <f t="shared" si="62"/>
        <v>8</v>
      </c>
      <c r="C2039" s="4" t="s">
        <v>703</v>
      </c>
      <c r="D2039" s="4" t="s">
        <v>706</v>
      </c>
      <c r="E2039" s="4" t="s">
        <v>50</v>
      </c>
      <c r="F2039" s="2" t="str">
        <f t="shared" si="63"/>
        <v>Routine cognitive</v>
      </c>
    </row>
    <row r="2040" spans="1:6" ht="28.5" x14ac:dyDescent="0.4">
      <c r="A2040" s="3">
        <v>8141</v>
      </c>
      <c r="B2040" s="3" t="str">
        <f t="shared" si="62"/>
        <v>8</v>
      </c>
      <c r="C2040" s="4" t="s">
        <v>703</v>
      </c>
      <c r="D2040" s="4" t="s">
        <v>707</v>
      </c>
      <c r="E2040" s="4" t="s">
        <v>106</v>
      </c>
      <c r="F2040" s="2" t="str">
        <f t="shared" si="63"/>
        <v>Non-routine manual</v>
      </c>
    </row>
    <row r="2041" spans="1:6" ht="28.5" x14ac:dyDescent="0.4">
      <c r="A2041" s="3">
        <v>8142</v>
      </c>
      <c r="B2041" s="3" t="str">
        <f t="shared" si="62"/>
        <v>8</v>
      </c>
      <c r="C2041" s="4" t="s">
        <v>708</v>
      </c>
      <c r="D2041" s="5" t="s">
        <v>2653</v>
      </c>
      <c r="E2041" s="4" t="s">
        <v>182</v>
      </c>
      <c r="F2041" s="2" t="str">
        <f t="shared" si="63"/>
        <v>Routine manual</v>
      </c>
    </row>
    <row r="2042" spans="1:6" ht="42.75" x14ac:dyDescent="0.4">
      <c r="A2042" s="3">
        <v>8142</v>
      </c>
      <c r="B2042" s="3" t="str">
        <f t="shared" si="62"/>
        <v>8</v>
      </c>
      <c r="C2042" s="4" t="s">
        <v>708</v>
      </c>
      <c r="D2042" s="5" t="s">
        <v>2654</v>
      </c>
      <c r="E2042" s="4" t="s">
        <v>182</v>
      </c>
      <c r="F2042" s="2" t="str">
        <f t="shared" si="63"/>
        <v>Routine manual</v>
      </c>
    </row>
    <row r="2043" spans="1:6" ht="28.5" x14ac:dyDescent="0.4">
      <c r="A2043" s="3">
        <v>8142</v>
      </c>
      <c r="B2043" s="3" t="str">
        <f t="shared" si="62"/>
        <v>8</v>
      </c>
      <c r="C2043" s="4" t="s">
        <v>708</v>
      </c>
      <c r="D2043" s="5" t="s">
        <v>2655</v>
      </c>
      <c r="E2043" s="4" t="s">
        <v>182</v>
      </c>
      <c r="F2043" s="2" t="str">
        <f t="shared" si="63"/>
        <v>Routine manual</v>
      </c>
    </row>
    <row r="2044" spans="1:6" ht="28.5" x14ac:dyDescent="0.4">
      <c r="A2044" s="3">
        <v>8142</v>
      </c>
      <c r="B2044" s="3" t="str">
        <f t="shared" si="62"/>
        <v>8</v>
      </c>
      <c r="C2044" s="4" t="s">
        <v>708</v>
      </c>
      <c r="D2044" s="4" t="s">
        <v>709</v>
      </c>
      <c r="E2044" s="4" t="s">
        <v>106</v>
      </c>
      <c r="F2044" s="2" t="str">
        <f t="shared" si="63"/>
        <v>Non-routine manual</v>
      </c>
    </row>
    <row r="2045" spans="1:6" ht="28.5" x14ac:dyDescent="0.4">
      <c r="A2045" s="3">
        <v>8142</v>
      </c>
      <c r="B2045" s="3" t="str">
        <f t="shared" si="62"/>
        <v>8</v>
      </c>
      <c r="C2045" s="4" t="s">
        <v>708</v>
      </c>
      <c r="D2045" s="5" t="s">
        <v>2656</v>
      </c>
      <c r="E2045" s="4" t="s">
        <v>50</v>
      </c>
      <c r="F2045" s="2" t="str">
        <f t="shared" si="63"/>
        <v>Routine cognitive</v>
      </c>
    </row>
    <row r="2046" spans="1:6" ht="28.5" x14ac:dyDescent="0.4">
      <c r="A2046" s="3">
        <v>8142</v>
      </c>
      <c r="B2046" s="3" t="str">
        <f t="shared" si="62"/>
        <v>8</v>
      </c>
      <c r="C2046" s="4" t="s">
        <v>708</v>
      </c>
      <c r="D2046" s="14" t="s">
        <v>710</v>
      </c>
      <c r="E2046" s="4" t="s">
        <v>106</v>
      </c>
      <c r="F2046" s="2" t="str">
        <f t="shared" si="63"/>
        <v>Non-routine manual</v>
      </c>
    </row>
    <row r="2047" spans="1:6" ht="42.75" x14ac:dyDescent="0.4">
      <c r="A2047" s="3">
        <v>8142</v>
      </c>
      <c r="B2047" s="3" t="str">
        <f t="shared" si="62"/>
        <v>8</v>
      </c>
      <c r="C2047" s="4" t="s">
        <v>708</v>
      </c>
      <c r="D2047" s="5" t="s">
        <v>2657</v>
      </c>
      <c r="E2047" s="4" t="s">
        <v>106</v>
      </c>
      <c r="F2047" s="2" t="str">
        <f t="shared" si="63"/>
        <v>Non-routine manual</v>
      </c>
    </row>
    <row r="2048" spans="1:6" ht="42.75" x14ac:dyDescent="0.4">
      <c r="A2048" s="3">
        <v>8143</v>
      </c>
      <c r="B2048" s="3" t="str">
        <f t="shared" si="62"/>
        <v>8</v>
      </c>
      <c r="C2048" s="4" t="s">
        <v>711</v>
      </c>
      <c r="D2048" s="5" t="s">
        <v>2658</v>
      </c>
      <c r="E2048" s="4" t="s">
        <v>182</v>
      </c>
      <c r="F2048" s="2" t="str">
        <f t="shared" si="63"/>
        <v>Routine manual</v>
      </c>
    </row>
    <row r="2049" spans="1:6" ht="42.75" x14ac:dyDescent="0.4">
      <c r="A2049" s="3">
        <v>8143</v>
      </c>
      <c r="B2049" s="3" t="str">
        <f t="shared" si="62"/>
        <v>8</v>
      </c>
      <c r="C2049" s="4" t="s">
        <v>711</v>
      </c>
      <c r="D2049" s="5" t="s">
        <v>2659</v>
      </c>
      <c r="E2049" s="4" t="s">
        <v>182</v>
      </c>
      <c r="F2049" s="2" t="str">
        <f t="shared" si="63"/>
        <v>Routine manual</v>
      </c>
    </row>
    <row r="2050" spans="1:6" ht="42.75" x14ac:dyDescent="0.4">
      <c r="A2050" s="3">
        <v>8143</v>
      </c>
      <c r="B2050" s="3" t="str">
        <f t="shared" si="62"/>
        <v>8</v>
      </c>
      <c r="C2050" s="4" t="s">
        <v>711</v>
      </c>
      <c r="D2050" s="8" t="s">
        <v>2660</v>
      </c>
      <c r="E2050" s="4" t="s">
        <v>182</v>
      </c>
      <c r="F2050" s="2" t="str">
        <f t="shared" si="63"/>
        <v>Routine manual</v>
      </c>
    </row>
    <row r="2051" spans="1:6" ht="42.75" x14ac:dyDescent="0.4">
      <c r="A2051" s="3">
        <v>8152</v>
      </c>
      <c r="B2051" s="3" t="str">
        <f t="shared" ref="B2051:B2114" si="64">LEFT(A2051,1)</f>
        <v>8</v>
      </c>
      <c r="C2051" s="4" t="s">
        <v>712</v>
      </c>
      <c r="D2051" s="8" t="s">
        <v>2661</v>
      </c>
      <c r="E2051" s="4" t="s">
        <v>182</v>
      </c>
      <c r="F2051" s="2" t="str">
        <f t="shared" ref="F2051:F2114" si="65">IF(E2051="Non-routine interpersonal","Non-routine cognitive",IF(E2051="Non-routine analytical","Non-routine cognitive",IF(E2051="Non-routine manual physical","Non-routine manual",E2051)))</f>
        <v>Routine manual</v>
      </c>
    </row>
    <row r="2052" spans="1:6" ht="42.75" x14ac:dyDescent="0.4">
      <c r="A2052" s="3">
        <v>8152</v>
      </c>
      <c r="B2052" s="3" t="str">
        <f t="shared" si="64"/>
        <v>8</v>
      </c>
      <c r="C2052" s="4" t="s">
        <v>712</v>
      </c>
      <c r="D2052" s="5" t="s">
        <v>2662</v>
      </c>
      <c r="E2052" s="4" t="s">
        <v>182</v>
      </c>
      <c r="F2052" s="2" t="str">
        <f t="shared" si="65"/>
        <v>Routine manual</v>
      </c>
    </row>
    <row r="2053" spans="1:6" ht="57" x14ac:dyDescent="0.4">
      <c r="A2053" s="3">
        <v>8152</v>
      </c>
      <c r="B2053" s="3" t="str">
        <f t="shared" si="64"/>
        <v>8</v>
      </c>
      <c r="C2053" s="4" t="s">
        <v>712</v>
      </c>
      <c r="D2053" s="5" t="s">
        <v>2663</v>
      </c>
      <c r="E2053" s="4" t="s">
        <v>182</v>
      </c>
      <c r="F2053" s="2" t="str">
        <f t="shared" si="65"/>
        <v>Routine manual</v>
      </c>
    </row>
    <row r="2054" spans="1:6" ht="28.5" x14ac:dyDescent="0.4">
      <c r="A2054" s="3">
        <v>8152</v>
      </c>
      <c r="B2054" s="3" t="str">
        <f t="shared" si="64"/>
        <v>8</v>
      </c>
      <c r="C2054" s="4" t="s">
        <v>712</v>
      </c>
      <c r="D2054" s="4" t="s">
        <v>713</v>
      </c>
      <c r="E2054" s="4" t="s">
        <v>182</v>
      </c>
      <c r="F2054" s="2" t="str">
        <f t="shared" si="65"/>
        <v>Routine manual</v>
      </c>
    </row>
    <row r="2055" spans="1:6" ht="57" x14ac:dyDescent="0.4">
      <c r="A2055" s="3">
        <v>8152</v>
      </c>
      <c r="B2055" s="3" t="str">
        <f t="shared" si="64"/>
        <v>8</v>
      </c>
      <c r="C2055" s="4" t="s">
        <v>712</v>
      </c>
      <c r="D2055" s="5" t="s">
        <v>2664</v>
      </c>
      <c r="E2055" s="4" t="s">
        <v>182</v>
      </c>
      <c r="F2055" s="2" t="str">
        <f t="shared" si="65"/>
        <v>Routine manual</v>
      </c>
    </row>
    <row r="2056" spans="1:6" ht="42.75" x14ac:dyDescent="0.4">
      <c r="A2056" s="3">
        <v>8152</v>
      </c>
      <c r="B2056" s="3" t="str">
        <f t="shared" si="64"/>
        <v>8</v>
      </c>
      <c r="C2056" s="4" t="s">
        <v>712</v>
      </c>
      <c r="D2056" s="8" t="s">
        <v>2665</v>
      </c>
      <c r="E2056" s="4" t="s">
        <v>182</v>
      </c>
      <c r="F2056" s="2" t="str">
        <f t="shared" si="65"/>
        <v>Routine manual</v>
      </c>
    </row>
    <row r="2057" spans="1:6" ht="28.5" x14ac:dyDescent="0.4">
      <c r="A2057" s="3">
        <v>8152</v>
      </c>
      <c r="B2057" s="3" t="str">
        <f t="shared" si="64"/>
        <v>8</v>
      </c>
      <c r="C2057" s="4" t="s">
        <v>712</v>
      </c>
      <c r="D2057" s="8" t="s">
        <v>2666</v>
      </c>
      <c r="E2057" s="4" t="s">
        <v>182</v>
      </c>
      <c r="F2057" s="2" t="str">
        <f t="shared" si="65"/>
        <v>Routine manual</v>
      </c>
    </row>
    <row r="2058" spans="1:6" ht="28.5" x14ac:dyDescent="0.4">
      <c r="A2058" s="3">
        <v>8152</v>
      </c>
      <c r="B2058" s="3" t="str">
        <f t="shared" si="64"/>
        <v>8</v>
      </c>
      <c r="C2058" s="4" t="s">
        <v>712</v>
      </c>
      <c r="D2058" s="6" t="s">
        <v>714</v>
      </c>
      <c r="E2058" s="4" t="s">
        <v>182</v>
      </c>
      <c r="F2058" s="2" t="str">
        <f t="shared" si="65"/>
        <v>Routine manual</v>
      </c>
    </row>
    <row r="2059" spans="1:6" ht="28.5" x14ac:dyDescent="0.4">
      <c r="A2059" s="3">
        <v>8152</v>
      </c>
      <c r="B2059" s="3" t="str">
        <f t="shared" si="64"/>
        <v>8</v>
      </c>
      <c r="C2059" s="4" t="s">
        <v>712</v>
      </c>
      <c r="D2059" s="8" t="s">
        <v>2667</v>
      </c>
      <c r="E2059" s="4" t="s">
        <v>182</v>
      </c>
      <c r="F2059" s="2" t="str">
        <f t="shared" si="65"/>
        <v>Routine manual</v>
      </c>
    </row>
    <row r="2060" spans="1:6" ht="28.5" x14ac:dyDescent="0.4">
      <c r="A2060" s="3">
        <v>8152</v>
      </c>
      <c r="B2060" s="3" t="str">
        <f t="shared" si="64"/>
        <v>8</v>
      </c>
      <c r="C2060" s="4" t="s">
        <v>712</v>
      </c>
      <c r="D2060" s="8" t="s">
        <v>2668</v>
      </c>
      <c r="E2060" s="4" t="s">
        <v>182</v>
      </c>
      <c r="F2060" s="2" t="str">
        <f t="shared" si="65"/>
        <v>Routine manual</v>
      </c>
    </row>
    <row r="2061" spans="1:6" ht="42.75" x14ac:dyDescent="0.4">
      <c r="A2061" s="3">
        <v>8152</v>
      </c>
      <c r="B2061" s="3" t="str">
        <f t="shared" si="64"/>
        <v>8</v>
      </c>
      <c r="C2061" s="4" t="s">
        <v>712</v>
      </c>
      <c r="D2061" s="8" t="s">
        <v>2669</v>
      </c>
      <c r="E2061" s="4" t="s">
        <v>50</v>
      </c>
      <c r="F2061" s="2" t="str">
        <f t="shared" si="65"/>
        <v>Routine cognitive</v>
      </c>
    </row>
    <row r="2062" spans="1:6" ht="28.5" x14ac:dyDescent="0.4">
      <c r="A2062" s="3">
        <v>8152</v>
      </c>
      <c r="B2062" s="3" t="str">
        <f t="shared" si="64"/>
        <v>8</v>
      </c>
      <c r="C2062" s="4" t="s">
        <v>712</v>
      </c>
      <c r="D2062" s="5" t="s">
        <v>2670</v>
      </c>
      <c r="E2062" s="4" t="s">
        <v>106</v>
      </c>
      <c r="F2062" s="2" t="str">
        <f t="shared" si="65"/>
        <v>Non-routine manual</v>
      </c>
    </row>
    <row r="2063" spans="1:6" ht="42.75" x14ac:dyDescent="0.4">
      <c r="A2063" s="3">
        <v>8152</v>
      </c>
      <c r="B2063" s="3" t="str">
        <f t="shared" si="64"/>
        <v>8</v>
      </c>
      <c r="C2063" s="4" t="s">
        <v>712</v>
      </c>
      <c r="D2063" s="5" t="s">
        <v>2671</v>
      </c>
      <c r="E2063" s="4" t="s">
        <v>106</v>
      </c>
      <c r="F2063" s="2" t="str">
        <f t="shared" si="65"/>
        <v>Non-routine manual</v>
      </c>
    </row>
    <row r="2064" spans="1:6" ht="42.75" x14ac:dyDescent="0.4">
      <c r="A2064" s="3">
        <v>8153</v>
      </c>
      <c r="B2064" s="3" t="str">
        <f t="shared" si="64"/>
        <v>8</v>
      </c>
      <c r="C2064" s="4" t="s">
        <v>715</v>
      </c>
      <c r="D2064" s="8" t="s">
        <v>2672</v>
      </c>
      <c r="E2064" s="4" t="s">
        <v>182</v>
      </c>
      <c r="F2064" s="2" t="str">
        <f t="shared" si="65"/>
        <v>Routine manual</v>
      </c>
    </row>
    <row r="2065" spans="1:6" ht="42.75" x14ac:dyDescent="0.4">
      <c r="A2065" s="3">
        <v>8153</v>
      </c>
      <c r="B2065" s="3" t="str">
        <f t="shared" si="64"/>
        <v>8</v>
      </c>
      <c r="C2065" s="4" t="s">
        <v>715</v>
      </c>
      <c r="D2065" s="8" t="s">
        <v>2673</v>
      </c>
      <c r="E2065" s="4" t="s">
        <v>106</v>
      </c>
      <c r="F2065" s="2" t="str">
        <f t="shared" si="65"/>
        <v>Non-routine manual</v>
      </c>
    </row>
    <row r="2066" spans="1:6" ht="42.75" x14ac:dyDescent="0.4">
      <c r="A2066" s="3">
        <v>8153</v>
      </c>
      <c r="B2066" s="3" t="str">
        <f t="shared" si="64"/>
        <v>8</v>
      </c>
      <c r="C2066" s="4" t="s">
        <v>715</v>
      </c>
      <c r="D2066" s="5" t="s">
        <v>2674</v>
      </c>
      <c r="E2066" s="4" t="s">
        <v>182</v>
      </c>
      <c r="F2066" s="2" t="str">
        <f t="shared" si="65"/>
        <v>Routine manual</v>
      </c>
    </row>
    <row r="2067" spans="1:6" ht="42.75" x14ac:dyDescent="0.4">
      <c r="A2067" s="3">
        <v>8153</v>
      </c>
      <c r="B2067" s="3" t="str">
        <f t="shared" si="64"/>
        <v>8</v>
      </c>
      <c r="C2067" s="4" t="s">
        <v>715</v>
      </c>
      <c r="D2067" s="8" t="s">
        <v>2675</v>
      </c>
      <c r="E2067" s="4" t="s">
        <v>182</v>
      </c>
      <c r="F2067" s="2" t="str">
        <f t="shared" si="65"/>
        <v>Routine manual</v>
      </c>
    </row>
    <row r="2068" spans="1:6" ht="42.75" x14ac:dyDescent="0.4">
      <c r="A2068" s="3">
        <v>8153</v>
      </c>
      <c r="B2068" s="3" t="str">
        <f t="shared" si="64"/>
        <v>8</v>
      </c>
      <c r="C2068" s="4" t="s">
        <v>715</v>
      </c>
      <c r="D2068" s="8" t="s">
        <v>2676</v>
      </c>
      <c r="E2068" s="4" t="s">
        <v>182</v>
      </c>
      <c r="F2068" s="2" t="str">
        <f t="shared" si="65"/>
        <v>Routine manual</v>
      </c>
    </row>
    <row r="2069" spans="1:6" ht="42.75" x14ac:dyDescent="0.4">
      <c r="A2069" s="3">
        <v>8153</v>
      </c>
      <c r="B2069" s="3" t="str">
        <f t="shared" si="64"/>
        <v>8</v>
      </c>
      <c r="C2069" s="4" t="s">
        <v>715</v>
      </c>
      <c r="D2069" s="8" t="s">
        <v>2677</v>
      </c>
      <c r="E2069" s="4" t="s">
        <v>182</v>
      </c>
      <c r="F2069" s="2" t="str">
        <f t="shared" si="65"/>
        <v>Routine manual</v>
      </c>
    </row>
    <row r="2070" spans="1:6" ht="42.75" x14ac:dyDescent="0.4">
      <c r="A2070" s="3">
        <v>8153</v>
      </c>
      <c r="B2070" s="3" t="str">
        <f t="shared" si="64"/>
        <v>8</v>
      </c>
      <c r="C2070" s="4" t="s">
        <v>715</v>
      </c>
      <c r="D2070" s="8" t="s">
        <v>2678</v>
      </c>
      <c r="E2070" s="4" t="s">
        <v>50</v>
      </c>
      <c r="F2070" s="2" t="str">
        <f t="shared" si="65"/>
        <v>Routine cognitive</v>
      </c>
    </row>
    <row r="2071" spans="1:6" ht="28.5" x14ac:dyDescent="0.4">
      <c r="A2071" s="3">
        <v>8153</v>
      </c>
      <c r="B2071" s="3" t="str">
        <f t="shared" si="64"/>
        <v>8</v>
      </c>
      <c r="C2071" s="4" t="s">
        <v>715</v>
      </c>
      <c r="D2071" s="10" t="s">
        <v>2679</v>
      </c>
      <c r="E2071" s="4" t="s">
        <v>106</v>
      </c>
      <c r="F2071" s="2" t="str">
        <f t="shared" si="65"/>
        <v>Non-routine manual</v>
      </c>
    </row>
    <row r="2072" spans="1:6" ht="28.5" x14ac:dyDescent="0.4">
      <c r="A2072" s="3">
        <v>8157</v>
      </c>
      <c r="B2072" s="3" t="str">
        <f t="shared" si="64"/>
        <v>8</v>
      </c>
      <c r="C2072" s="4" t="s">
        <v>716</v>
      </c>
      <c r="D2072" s="5" t="s">
        <v>2680</v>
      </c>
      <c r="E2072" s="4" t="s">
        <v>50</v>
      </c>
      <c r="F2072" s="2" t="str">
        <f t="shared" si="65"/>
        <v>Routine cognitive</v>
      </c>
    </row>
    <row r="2073" spans="1:6" ht="42.75" x14ac:dyDescent="0.4">
      <c r="A2073" s="3">
        <v>8157</v>
      </c>
      <c r="B2073" s="3" t="str">
        <f t="shared" si="64"/>
        <v>8</v>
      </c>
      <c r="C2073" s="4" t="s">
        <v>716</v>
      </c>
      <c r="D2073" s="8" t="s">
        <v>2681</v>
      </c>
      <c r="E2073" s="4" t="s">
        <v>182</v>
      </c>
      <c r="F2073" s="2" t="str">
        <f t="shared" si="65"/>
        <v>Routine manual</v>
      </c>
    </row>
    <row r="2074" spans="1:6" ht="42.75" x14ac:dyDescent="0.4">
      <c r="A2074" s="3">
        <v>8157</v>
      </c>
      <c r="B2074" s="3" t="str">
        <f t="shared" si="64"/>
        <v>8</v>
      </c>
      <c r="C2074" s="4" t="s">
        <v>716</v>
      </c>
      <c r="D2074" s="5" t="s">
        <v>2682</v>
      </c>
      <c r="E2074" s="4" t="s">
        <v>106</v>
      </c>
      <c r="F2074" s="2" t="str">
        <f t="shared" si="65"/>
        <v>Non-routine manual</v>
      </c>
    </row>
    <row r="2075" spans="1:6" ht="28.5" x14ac:dyDescent="0.4">
      <c r="A2075" s="3">
        <v>8157</v>
      </c>
      <c r="B2075" s="3" t="str">
        <f t="shared" si="64"/>
        <v>8</v>
      </c>
      <c r="C2075" s="4" t="s">
        <v>716</v>
      </c>
      <c r="D2075" s="8" t="s">
        <v>2683</v>
      </c>
      <c r="E2075" s="4" t="s">
        <v>182</v>
      </c>
      <c r="F2075" s="2" t="str">
        <f t="shared" si="65"/>
        <v>Routine manual</v>
      </c>
    </row>
    <row r="2076" spans="1:6" x14ac:dyDescent="0.4">
      <c r="A2076" s="3">
        <v>8157</v>
      </c>
      <c r="B2076" s="3" t="str">
        <f t="shared" si="64"/>
        <v>8</v>
      </c>
      <c r="C2076" s="4" t="s">
        <v>716</v>
      </c>
      <c r="D2076" s="7" t="s">
        <v>717</v>
      </c>
      <c r="E2076" s="4" t="s">
        <v>182</v>
      </c>
      <c r="F2076" s="2" t="str">
        <f t="shared" si="65"/>
        <v>Routine manual</v>
      </c>
    </row>
    <row r="2077" spans="1:6" ht="28.5" x14ac:dyDescent="0.4">
      <c r="A2077" s="3">
        <v>8157</v>
      </c>
      <c r="B2077" s="3" t="str">
        <f t="shared" si="64"/>
        <v>8</v>
      </c>
      <c r="C2077" s="4" t="s">
        <v>716</v>
      </c>
      <c r="D2077" s="5" t="s">
        <v>2684</v>
      </c>
      <c r="E2077" s="4" t="s">
        <v>182</v>
      </c>
      <c r="F2077" s="2" t="str">
        <f t="shared" si="65"/>
        <v>Routine manual</v>
      </c>
    </row>
    <row r="2078" spans="1:6" ht="28.5" x14ac:dyDescent="0.4">
      <c r="A2078" s="3">
        <v>8157</v>
      </c>
      <c r="B2078" s="3" t="str">
        <f t="shared" si="64"/>
        <v>8</v>
      </c>
      <c r="C2078" s="4" t="s">
        <v>716</v>
      </c>
      <c r="D2078" s="5" t="s">
        <v>2685</v>
      </c>
      <c r="E2078" s="4" t="s">
        <v>182</v>
      </c>
      <c r="F2078" s="2" t="str">
        <f t="shared" si="65"/>
        <v>Routine manual</v>
      </c>
    </row>
    <row r="2079" spans="1:6" ht="28.5" x14ac:dyDescent="0.4">
      <c r="A2079" s="3">
        <v>8157</v>
      </c>
      <c r="B2079" s="3" t="str">
        <f t="shared" si="64"/>
        <v>8</v>
      </c>
      <c r="C2079" s="4" t="s">
        <v>716</v>
      </c>
      <c r="D2079" s="8" t="s">
        <v>2686</v>
      </c>
      <c r="E2079" s="4" t="s">
        <v>182</v>
      </c>
      <c r="F2079" s="2" t="str">
        <f t="shared" si="65"/>
        <v>Routine manual</v>
      </c>
    </row>
    <row r="2080" spans="1:6" x14ac:dyDescent="0.4">
      <c r="A2080" s="3">
        <v>8157</v>
      </c>
      <c r="B2080" s="3" t="str">
        <f t="shared" si="64"/>
        <v>8</v>
      </c>
      <c r="C2080" s="4" t="s">
        <v>716</v>
      </c>
      <c r="D2080" s="6" t="s">
        <v>718</v>
      </c>
      <c r="E2080" s="4" t="s">
        <v>182</v>
      </c>
      <c r="F2080" s="2" t="str">
        <f t="shared" si="65"/>
        <v>Routine manual</v>
      </c>
    </row>
    <row r="2081" spans="1:6" ht="42.75" x14ac:dyDescent="0.4">
      <c r="A2081" s="3">
        <v>8159</v>
      </c>
      <c r="B2081" s="3" t="str">
        <f t="shared" si="64"/>
        <v>8</v>
      </c>
      <c r="C2081" s="4" t="s">
        <v>719</v>
      </c>
      <c r="D2081" s="8" t="s">
        <v>2687</v>
      </c>
      <c r="E2081" s="4" t="s">
        <v>182</v>
      </c>
      <c r="F2081" s="2" t="str">
        <f t="shared" si="65"/>
        <v>Routine manual</v>
      </c>
    </row>
    <row r="2082" spans="1:6" ht="42.75" x14ac:dyDescent="0.4">
      <c r="A2082" s="3">
        <v>8159</v>
      </c>
      <c r="B2082" s="3" t="str">
        <f t="shared" si="64"/>
        <v>8</v>
      </c>
      <c r="C2082" s="4" t="s">
        <v>719</v>
      </c>
      <c r="D2082" s="8" t="s">
        <v>2688</v>
      </c>
      <c r="E2082" s="4" t="s">
        <v>182</v>
      </c>
      <c r="F2082" s="2" t="str">
        <f t="shared" si="65"/>
        <v>Routine manual</v>
      </c>
    </row>
    <row r="2083" spans="1:6" ht="42.75" x14ac:dyDescent="0.4">
      <c r="A2083" s="3">
        <v>8159</v>
      </c>
      <c r="B2083" s="3" t="str">
        <f t="shared" si="64"/>
        <v>8</v>
      </c>
      <c r="C2083" s="4" t="s">
        <v>719</v>
      </c>
      <c r="D2083" s="21" t="s">
        <v>2689</v>
      </c>
      <c r="E2083" s="4" t="s">
        <v>182</v>
      </c>
      <c r="F2083" s="2" t="str">
        <f t="shared" si="65"/>
        <v>Routine manual</v>
      </c>
    </row>
    <row r="2084" spans="1:6" ht="42.75" x14ac:dyDescent="0.4">
      <c r="A2084" s="3">
        <v>8159</v>
      </c>
      <c r="B2084" s="3" t="str">
        <f t="shared" si="64"/>
        <v>8</v>
      </c>
      <c r="C2084" s="4" t="s">
        <v>719</v>
      </c>
      <c r="D2084" s="5" t="s">
        <v>2690</v>
      </c>
      <c r="E2084" s="4" t="s">
        <v>182</v>
      </c>
      <c r="F2084" s="2" t="str">
        <f t="shared" si="65"/>
        <v>Routine manual</v>
      </c>
    </row>
    <row r="2085" spans="1:6" ht="42.75" x14ac:dyDescent="0.4">
      <c r="A2085" s="3">
        <v>8159</v>
      </c>
      <c r="B2085" s="3" t="str">
        <f t="shared" si="64"/>
        <v>8</v>
      </c>
      <c r="C2085" s="4" t="s">
        <v>719</v>
      </c>
      <c r="D2085" s="22" t="s">
        <v>2691</v>
      </c>
      <c r="E2085" s="4" t="s">
        <v>182</v>
      </c>
      <c r="F2085" s="2" t="str">
        <f t="shared" si="65"/>
        <v>Routine manual</v>
      </c>
    </row>
    <row r="2086" spans="1:6" ht="28.5" x14ac:dyDescent="0.4">
      <c r="A2086" s="3">
        <v>8160</v>
      </c>
      <c r="B2086" s="3" t="str">
        <f t="shared" si="64"/>
        <v>8</v>
      </c>
      <c r="C2086" s="4" t="s">
        <v>720</v>
      </c>
      <c r="D2086" s="4" t="s">
        <v>721</v>
      </c>
      <c r="E2086" s="4" t="s">
        <v>182</v>
      </c>
      <c r="F2086" s="2" t="str">
        <f t="shared" si="65"/>
        <v>Routine manual</v>
      </c>
    </row>
    <row r="2087" spans="1:6" ht="28.5" x14ac:dyDescent="0.4">
      <c r="A2087" s="3">
        <v>8160</v>
      </c>
      <c r="B2087" s="3" t="str">
        <f t="shared" si="64"/>
        <v>8</v>
      </c>
      <c r="C2087" s="4" t="s">
        <v>720</v>
      </c>
      <c r="D2087" s="4" t="s">
        <v>722</v>
      </c>
      <c r="E2087" s="4" t="s">
        <v>182</v>
      </c>
      <c r="F2087" s="2" t="str">
        <f t="shared" si="65"/>
        <v>Routine manual</v>
      </c>
    </row>
    <row r="2088" spans="1:6" ht="42.75" x14ac:dyDescent="0.4">
      <c r="A2088" s="3">
        <v>8160</v>
      </c>
      <c r="B2088" s="3" t="str">
        <f t="shared" si="64"/>
        <v>8</v>
      </c>
      <c r="C2088" s="4" t="s">
        <v>720</v>
      </c>
      <c r="D2088" s="5" t="s">
        <v>2692</v>
      </c>
      <c r="E2088" s="4" t="s">
        <v>182</v>
      </c>
      <c r="F2088" s="2" t="str">
        <f t="shared" si="65"/>
        <v>Routine manual</v>
      </c>
    </row>
    <row r="2089" spans="1:6" ht="42.75" x14ac:dyDescent="0.4">
      <c r="A2089" s="3">
        <v>8160</v>
      </c>
      <c r="B2089" s="3" t="str">
        <f t="shared" si="64"/>
        <v>8</v>
      </c>
      <c r="C2089" s="4" t="s">
        <v>720</v>
      </c>
      <c r="D2089" s="5" t="s">
        <v>2693</v>
      </c>
      <c r="E2089" s="4" t="s">
        <v>182</v>
      </c>
      <c r="F2089" s="2" t="str">
        <f t="shared" si="65"/>
        <v>Routine manual</v>
      </c>
    </row>
    <row r="2090" spans="1:6" ht="42.75" x14ac:dyDescent="0.4">
      <c r="A2090" s="3">
        <v>8160</v>
      </c>
      <c r="B2090" s="3" t="str">
        <f t="shared" si="64"/>
        <v>8</v>
      </c>
      <c r="C2090" s="4" t="s">
        <v>720</v>
      </c>
      <c r="D2090" s="5" t="s">
        <v>2694</v>
      </c>
      <c r="E2090" s="4" t="s">
        <v>182</v>
      </c>
      <c r="F2090" s="2" t="str">
        <f t="shared" si="65"/>
        <v>Routine manual</v>
      </c>
    </row>
    <row r="2091" spans="1:6" ht="42.75" x14ac:dyDescent="0.4">
      <c r="A2091" s="3">
        <v>8160</v>
      </c>
      <c r="B2091" s="3" t="str">
        <f t="shared" si="64"/>
        <v>8</v>
      </c>
      <c r="C2091" s="4" t="s">
        <v>720</v>
      </c>
      <c r="D2091" s="5" t="s">
        <v>2695</v>
      </c>
      <c r="E2091" s="4" t="s">
        <v>182</v>
      </c>
      <c r="F2091" s="2" t="str">
        <f t="shared" si="65"/>
        <v>Routine manual</v>
      </c>
    </row>
    <row r="2092" spans="1:6" ht="28.5" x14ac:dyDescent="0.4">
      <c r="A2092" s="3">
        <v>8160</v>
      </c>
      <c r="B2092" s="3" t="str">
        <f t="shared" si="64"/>
        <v>8</v>
      </c>
      <c r="C2092" s="4" t="s">
        <v>720</v>
      </c>
      <c r="D2092" s="4" t="s">
        <v>723</v>
      </c>
      <c r="E2092" s="4" t="s">
        <v>182</v>
      </c>
      <c r="F2092" s="2" t="str">
        <f t="shared" si="65"/>
        <v>Routine manual</v>
      </c>
    </row>
    <row r="2093" spans="1:6" ht="28.5" x14ac:dyDescent="0.4">
      <c r="A2093" s="3">
        <v>8183</v>
      </c>
      <c r="B2093" s="3" t="str">
        <f t="shared" si="64"/>
        <v>8</v>
      </c>
      <c r="C2093" s="4" t="s">
        <v>724</v>
      </c>
      <c r="D2093" s="8" t="s">
        <v>2696</v>
      </c>
      <c r="E2093" s="4" t="s">
        <v>182</v>
      </c>
      <c r="F2093" s="2" t="str">
        <f t="shared" si="65"/>
        <v>Routine manual</v>
      </c>
    </row>
    <row r="2094" spans="1:6" ht="71.25" x14ac:dyDescent="0.4">
      <c r="A2094" s="3">
        <v>8183</v>
      </c>
      <c r="B2094" s="3" t="str">
        <f t="shared" si="64"/>
        <v>8</v>
      </c>
      <c r="C2094" s="4" t="s">
        <v>724</v>
      </c>
      <c r="D2094" s="5" t="s">
        <v>2697</v>
      </c>
      <c r="E2094" s="4" t="s">
        <v>182</v>
      </c>
      <c r="F2094" s="2" t="str">
        <f t="shared" si="65"/>
        <v>Routine manual</v>
      </c>
    </row>
    <row r="2095" spans="1:6" ht="28.5" x14ac:dyDescent="0.4">
      <c r="A2095" s="3">
        <v>8183</v>
      </c>
      <c r="B2095" s="3" t="str">
        <f t="shared" si="64"/>
        <v>8</v>
      </c>
      <c r="C2095" s="4" t="s">
        <v>724</v>
      </c>
      <c r="D2095" s="5" t="s">
        <v>2698</v>
      </c>
      <c r="E2095" s="4" t="s">
        <v>182</v>
      </c>
      <c r="F2095" s="2" t="str">
        <f t="shared" si="65"/>
        <v>Routine manual</v>
      </c>
    </row>
    <row r="2096" spans="1:6" ht="28.5" x14ac:dyDescent="0.4">
      <c r="A2096" s="3">
        <v>8189</v>
      </c>
      <c r="B2096" s="3" t="str">
        <f t="shared" si="64"/>
        <v>8</v>
      </c>
      <c r="C2096" s="4" t="s">
        <v>725</v>
      </c>
      <c r="D2096" s="16" t="s">
        <v>82</v>
      </c>
      <c r="E2096" s="4" t="s">
        <v>3652</v>
      </c>
      <c r="F2096" s="2" t="str">
        <f t="shared" si="65"/>
        <v>NA</v>
      </c>
    </row>
    <row r="2097" spans="1:6" ht="42.75" x14ac:dyDescent="0.4">
      <c r="A2097" s="3">
        <v>8211</v>
      </c>
      <c r="B2097" s="3" t="str">
        <f t="shared" si="64"/>
        <v>8</v>
      </c>
      <c r="C2097" s="4" t="s">
        <v>726</v>
      </c>
      <c r="D2097" s="5" t="s">
        <v>2699</v>
      </c>
      <c r="E2097" s="4" t="s">
        <v>106</v>
      </c>
      <c r="F2097" s="2" t="str">
        <f t="shared" si="65"/>
        <v>Non-routine manual</v>
      </c>
    </row>
    <row r="2098" spans="1:6" ht="28.5" x14ac:dyDescent="0.4">
      <c r="A2098" s="3">
        <v>8211</v>
      </c>
      <c r="B2098" s="3" t="str">
        <f t="shared" si="64"/>
        <v>8</v>
      </c>
      <c r="C2098" s="4" t="s">
        <v>726</v>
      </c>
      <c r="D2098" s="5" t="s">
        <v>2700</v>
      </c>
      <c r="E2098" s="4" t="s">
        <v>50</v>
      </c>
      <c r="F2098" s="2" t="str">
        <f t="shared" si="65"/>
        <v>Routine cognitive</v>
      </c>
    </row>
    <row r="2099" spans="1:6" x14ac:dyDescent="0.4">
      <c r="A2099" s="3">
        <v>8211</v>
      </c>
      <c r="B2099" s="3" t="str">
        <f t="shared" si="64"/>
        <v>8</v>
      </c>
      <c r="C2099" s="4" t="s">
        <v>726</v>
      </c>
      <c r="D2099" s="4" t="s">
        <v>727</v>
      </c>
      <c r="E2099" s="4" t="s">
        <v>50</v>
      </c>
      <c r="F2099" s="2" t="str">
        <f t="shared" si="65"/>
        <v>Routine cognitive</v>
      </c>
    </row>
    <row r="2100" spans="1:6" x14ac:dyDescent="0.4">
      <c r="A2100" s="3">
        <v>8211</v>
      </c>
      <c r="B2100" s="3" t="str">
        <f t="shared" si="64"/>
        <v>8</v>
      </c>
      <c r="C2100" s="4" t="s">
        <v>726</v>
      </c>
      <c r="D2100" s="4" t="s">
        <v>728</v>
      </c>
      <c r="E2100" s="4" t="s">
        <v>50</v>
      </c>
      <c r="F2100" s="2" t="str">
        <f t="shared" si="65"/>
        <v>Routine cognitive</v>
      </c>
    </row>
    <row r="2101" spans="1:6" ht="28.5" x14ac:dyDescent="0.4">
      <c r="A2101" s="3">
        <v>8211</v>
      </c>
      <c r="B2101" s="3" t="str">
        <f t="shared" si="64"/>
        <v>8</v>
      </c>
      <c r="C2101" s="5" t="s">
        <v>2701</v>
      </c>
      <c r="D2101" s="6" t="s">
        <v>729</v>
      </c>
      <c r="E2101" s="4" t="s">
        <v>50</v>
      </c>
      <c r="F2101" s="2" t="str">
        <f t="shared" si="65"/>
        <v>Routine cognitive</v>
      </c>
    </row>
    <row r="2102" spans="1:6" ht="57" x14ac:dyDescent="0.4">
      <c r="A2102" s="3">
        <v>8212</v>
      </c>
      <c r="B2102" s="3" t="str">
        <f t="shared" si="64"/>
        <v>8</v>
      </c>
      <c r="C2102" s="4" t="s">
        <v>730</v>
      </c>
      <c r="D2102" s="5" t="s">
        <v>2702</v>
      </c>
      <c r="E2102" s="4" t="s">
        <v>106</v>
      </c>
      <c r="F2102" s="2" t="str">
        <f t="shared" si="65"/>
        <v>Non-routine manual</v>
      </c>
    </row>
    <row r="2103" spans="1:6" ht="28.5" x14ac:dyDescent="0.4">
      <c r="A2103" s="3">
        <v>8212</v>
      </c>
      <c r="B2103" s="3" t="str">
        <f t="shared" si="64"/>
        <v>8</v>
      </c>
      <c r="C2103" s="4" t="s">
        <v>730</v>
      </c>
      <c r="D2103" s="5" t="s">
        <v>2700</v>
      </c>
      <c r="E2103" s="4" t="s">
        <v>50</v>
      </c>
      <c r="F2103" s="2" t="str">
        <f t="shared" si="65"/>
        <v>Routine cognitive</v>
      </c>
    </row>
    <row r="2104" spans="1:6" ht="28.5" x14ac:dyDescent="0.4">
      <c r="A2104" s="3">
        <v>8212</v>
      </c>
      <c r="B2104" s="3" t="str">
        <f t="shared" si="64"/>
        <v>8</v>
      </c>
      <c r="C2104" s="4" t="s">
        <v>730</v>
      </c>
      <c r="D2104" s="4" t="s">
        <v>727</v>
      </c>
      <c r="E2104" s="4" t="s">
        <v>50</v>
      </c>
      <c r="F2104" s="2" t="str">
        <f t="shared" si="65"/>
        <v>Routine cognitive</v>
      </c>
    </row>
    <row r="2105" spans="1:6" ht="42.75" x14ac:dyDescent="0.4">
      <c r="A2105" s="3">
        <v>8212</v>
      </c>
      <c r="B2105" s="3" t="str">
        <f t="shared" si="64"/>
        <v>8</v>
      </c>
      <c r="C2105" s="4" t="s">
        <v>730</v>
      </c>
      <c r="D2105" s="5" t="s">
        <v>2703</v>
      </c>
      <c r="E2105" s="4" t="s">
        <v>182</v>
      </c>
      <c r="F2105" s="2" t="str">
        <f t="shared" si="65"/>
        <v>Routine manual</v>
      </c>
    </row>
    <row r="2106" spans="1:6" ht="42.75" x14ac:dyDescent="0.4">
      <c r="A2106" s="3">
        <v>8212</v>
      </c>
      <c r="B2106" s="3" t="str">
        <f t="shared" si="64"/>
        <v>8</v>
      </c>
      <c r="C2106" s="4" t="s">
        <v>730</v>
      </c>
      <c r="D2106" s="5" t="s">
        <v>2704</v>
      </c>
      <c r="E2106" s="4" t="s">
        <v>50</v>
      </c>
      <c r="F2106" s="2" t="str">
        <f t="shared" si="65"/>
        <v>Routine cognitive</v>
      </c>
    </row>
    <row r="2107" spans="1:6" ht="42.75" x14ac:dyDescent="0.4">
      <c r="A2107" s="3">
        <v>8219</v>
      </c>
      <c r="B2107" s="3" t="str">
        <f t="shared" si="64"/>
        <v>8</v>
      </c>
      <c r="C2107" s="4" t="s">
        <v>731</v>
      </c>
      <c r="D2107" s="5" t="s">
        <v>2705</v>
      </c>
      <c r="E2107" s="4" t="s">
        <v>106</v>
      </c>
      <c r="F2107" s="2" t="str">
        <f t="shared" si="65"/>
        <v>Non-routine manual</v>
      </c>
    </row>
    <row r="2108" spans="1:6" ht="42.75" x14ac:dyDescent="0.4">
      <c r="A2108" s="3">
        <v>8219</v>
      </c>
      <c r="B2108" s="3" t="str">
        <f t="shared" si="64"/>
        <v>8</v>
      </c>
      <c r="C2108" s="4" t="s">
        <v>731</v>
      </c>
      <c r="D2108" s="5" t="s">
        <v>2706</v>
      </c>
      <c r="E2108" s="4" t="s">
        <v>50</v>
      </c>
      <c r="F2108" s="2" t="str">
        <f t="shared" si="65"/>
        <v>Routine cognitive</v>
      </c>
    </row>
    <row r="2109" spans="1:6" ht="28.5" x14ac:dyDescent="0.4">
      <c r="A2109" s="3">
        <v>8219</v>
      </c>
      <c r="B2109" s="3" t="str">
        <f t="shared" si="64"/>
        <v>8</v>
      </c>
      <c r="C2109" s="5" t="s">
        <v>2707</v>
      </c>
      <c r="D2109" s="8" t="s">
        <v>2708</v>
      </c>
      <c r="E2109" s="4" t="s">
        <v>50</v>
      </c>
      <c r="F2109" s="2" t="str">
        <f t="shared" si="65"/>
        <v>Routine cognitive</v>
      </c>
    </row>
    <row r="2110" spans="1:6" ht="28.5" x14ac:dyDescent="0.4">
      <c r="A2110" s="3">
        <v>8219</v>
      </c>
      <c r="B2110" s="3" t="str">
        <f t="shared" si="64"/>
        <v>8</v>
      </c>
      <c r="C2110" s="5" t="s">
        <v>2707</v>
      </c>
      <c r="D2110" s="10" t="s">
        <v>2709</v>
      </c>
      <c r="E2110" s="4" t="s">
        <v>50</v>
      </c>
      <c r="F2110" s="2" t="str">
        <f t="shared" si="65"/>
        <v>Routine cognitive</v>
      </c>
    </row>
    <row r="2111" spans="1:6" ht="28.5" x14ac:dyDescent="0.4">
      <c r="A2111" s="3">
        <v>8219</v>
      </c>
      <c r="B2111" s="3" t="str">
        <f t="shared" si="64"/>
        <v>8</v>
      </c>
      <c r="C2111" s="5" t="s">
        <v>2710</v>
      </c>
      <c r="D2111" s="12" t="s">
        <v>732</v>
      </c>
      <c r="E2111" s="4" t="s">
        <v>50</v>
      </c>
      <c r="F2111" s="2" t="str">
        <f t="shared" si="65"/>
        <v>Routine cognitive</v>
      </c>
    </row>
    <row r="2112" spans="1:6" ht="42.75" x14ac:dyDescent="0.4">
      <c r="A2112" s="3">
        <v>8321</v>
      </c>
      <c r="B2112" s="3" t="str">
        <f t="shared" si="64"/>
        <v>8</v>
      </c>
      <c r="C2112" s="4" t="s">
        <v>733</v>
      </c>
      <c r="D2112" s="5" t="s">
        <v>2711</v>
      </c>
      <c r="E2112" s="4" t="s">
        <v>106</v>
      </c>
      <c r="F2112" s="2" t="str">
        <f t="shared" si="65"/>
        <v>Non-routine manual</v>
      </c>
    </row>
    <row r="2113" spans="1:6" ht="28.5" x14ac:dyDescent="0.4">
      <c r="A2113" s="3">
        <v>8321</v>
      </c>
      <c r="B2113" s="3" t="str">
        <f t="shared" si="64"/>
        <v>8</v>
      </c>
      <c r="C2113" s="4" t="s">
        <v>733</v>
      </c>
      <c r="D2113" s="6" t="s">
        <v>734</v>
      </c>
      <c r="E2113" s="4" t="s">
        <v>106</v>
      </c>
      <c r="F2113" s="2" t="str">
        <f t="shared" si="65"/>
        <v>Non-routine manual</v>
      </c>
    </row>
    <row r="2114" spans="1:6" ht="42.75" x14ac:dyDescent="0.4">
      <c r="A2114" s="3">
        <v>8321</v>
      </c>
      <c r="B2114" s="3" t="str">
        <f t="shared" si="64"/>
        <v>8</v>
      </c>
      <c r="C2114" s="4" t="s">
        <v>733</v>
      </c>
      <c r="D2114" s="5" t="s">
        <v>2712</v>
      </c>
      <c r="E2114" s="4" t="s">
        <v>106</v>
      </c>
      <c r="F2114" s="2" t="str">
        <f t="shared" si="65"/>
        <v>Non-routine manual</v>
      </c>
    </row>
    <row r="2115" spans="1:6" x14ac:dyDescent="0.4">
      <c r="A2115" s="3">
        <v>8321</v>
      </c>
      <c r="B2115" s="3" t="str">
        <f t="shared" ref="B2115:B2178" si="66">LEFT(A2115,1)</f>
        <v>8</v>
      </c>
      <c r="C2115" s="4" t="s">
        <v>733</v>
      </c>
      <c r="D2115" s="14" t="s">
        <v>735</v>
      </c>
      <c r="E2115" s="4" t="s">
        <v>50</v>
      </c>
      <c r="F2115" s="2" t="str">
        <f t="shared" ref="F2115:F2178" si="67">IF(E2115="Non-routine interpersonal","Non-routine cognitive",IF(E2115="Non-routine analytical","Non-routine cognitive",IF(E2115="Non-routine manual physical","Non-routine manual",E2115)))</f>
        <v>Routine cognitive</v>
      </c>
    </row>
    <row r="2116" spans="1:6" ht="28.5" x14ac:dyDescent="0.4">
      <c r="A2116" s="3">
        <v>8321</v>
      </c>
      <c r="B2116" s="3" t="str">
        <f t="shared" si="66"/>
        <v>8</v>
      </c>
      <c r="C2116" s="4" t="s">
        <v>733</v>
      </c>
      <c r="D2116" s="7" t="s">
        <v>736</v>
      </c>
      <c r="E2116" s="4" t="s">
        <v>106</v>
      </c>
      <c r="F2116" s="2" t="str">
        <f t="shared" si="67"/>
        <v>Non-routine manual</v>
      </c>
    </row>
    <row r="2117" spans="1:6" ht="28.5" x14ac:dyDescent="0.4">
      <c r="A2117" s="3">
        <v>8322</v>
      </c>
      <c r="B2117" s="3" t="str">
        <f t="shared" si="66"/>
        <v>8</v>
      </c>
      <c r="C2117" s="4" t="s">
        <v>737</v>
      </c>
      <c r="D2117" s="6" t="s">
        <v>738</v>
      </c>
      <c r="E2117" s="4" t="s">
        <v>106</v>
      </c>
      <c r="F2117" s="2" t="str">
        <f t="shared" si="67"/>
        <v>Non-routine manual</v>
      </c>
    </row>
    <row r="2118" spans="1:6" ht="28.5" x14ac:dyDescent="0.4">
      <c r="A2118" s="3">
        <v>8322</v>
      </c>
      <c r="B2118" s="3" t="str">
        <f t="shared" si="66"/>
        <v>8</v>
      </c>
      <c r="C2118" s="4" t="s">
        <v>737</v>
      </c>
      <c r="D2118" s="5" t="s">
        <v>2713</v>
      </c>
      <c r="E2118" s="4" t="s">
        <v>106</v>
      </c>
      <c r="F2118" s="2" t="str">
        <f t="shared" si="67"/>
        <v>Non-routine manual</v>
      </c>
    </row>
    <row r="2119" spans="1:6" ht="28.5" x14ac:dyDescent="0.4">
      <c r="A2119" s="3">
        <v>8322</v>
      </c>
      <c r="B2119" s="3" t="str">
        <f t="shared" si="66"/>
        <v>8</v>
      </c>
      <c r="C2119" s="4" t="s">
        <v>737</v>
      </c>
      <c r="D2119" s="7" t="s">
        <v>739</v>
      </c>
      <c r="E2119" s="4" t="s">
        <v>106</v>
      </c>
      <c r="F2119" s="2" t="str">
        <f t="shared" si="67"/>
        <v>Non-routine manual</v>
      </c>
    </row>
    <row r="2120" spans="1:6" ht="28.5" x14ac:dyDescent="0.4">
      <c r="A2120" s="3">
        <v>8322</v>
      </c>
      <c r="B2120" s="3" t="str">
        <f t="shared" si="66"/>
        <v>8</v>
      </c>
      <c r="C2120" s="4" t="s">
        <v>737</v>
      </c>
      <c r="D2120" s="4" t="s">
        <v>740</v>
      </c>
      <c r="E2120" s="4" t="s">
        <v>106</v>
      </c>
      <c r="F2120" s="2" t="str">
        <f t="shared" si="67"/>
        <v>Non-routine manual</v>
      </c>
    </row>
    <row r="2121" spans="1:6" ht="28.5" x14ac:dyDescent="0.4">
      <c r="A2121" s="3">
        <v>8322</v>
      </c>
      <c r="B2121" s="3" t="str">
        <f t="shared" si="66"/>
        <v>8</v>
      </c>
      <c r="C2121" s="4" t="s">
        <v>737</v>
      </c>
      <c r="D2121" s="4" t="s">
        <v>741</v>
      </c>
      <c r="E2121" s="4" t="s">
        <v>182</v>
      </c>
      <c r="F2121" s="2" t="str">
        <f t="shared" si="67"/>
        <v>Routine manual</v>
      </c>
    </row>
    <row r="2122" spans="1:6" x14ac:dyDescent="0.4">
      <c r="A2122" s="3">
        <v>8322</v>
      </c>
      <c r="B2122" s="3" t="str">
        <f t="shared" si="66"/>
        <v>8</v>
      </c>
      <c r="C2122" s="4" t="s">
        <v>737</v>
      </c>
      <c r="D2122" s="6" t="s">
        <v>742</v>
      </c>
      <c r="E2122" s="4" t="s">
        <v>50</v>
      </c>
      <c r="F2122" s="2" t="str">
        <f t="shared" si="67"/>
        <v>Routine cognitive</v>
      </c>
    </row>
    <row r="2123" spans="1:6" ht="28.5" x14ac:dyDescent="0.4">
      <c r="A2123" s="3">
        <v>8322</v>
      </c>
      <c r="B2123" s="3" t="str">
        <f t="shared" si="66"/>
        <v>8</v>
      </c>
      <c r="C2123" s="4" t="s">
        <v>737</v>
      </c>
      <c r="D2123" s="6" t="s">
        <v>743</v>
      </c>
      <c r="E2123" s="4" t="s">
        <v>106</v>
      </c>
      <c r="F2123" s="2" t="str">
        <f t="shared" si="67"/>
        <v>Non-routine manual</v>
      </c>
    </row>
    <row r="2124" spans="1:6" ht="28.5" x14ac:dyDescent="0.4">
      <c r="A2124" s="3">
        <v>8322</v>
      </c>
      <c r="B2124" s="3" t="str">
        <f t="shared" si="66"/>
        <v>8</v>
      </c>
      <c r="C2124" s="4" t="s">
        <v>737</v>
      </c>
      <c r="D2124" s="5" t="s">
        <v>2714</v>
      </c>
      <c r="E2124" s="4" t="s">
        <v>182</v>
      </c>
      <c r="F2124" s="2" t="str">
        <f t="shared" si="67"/>
        <v>Routine manual</v>
      </c>
    </row>
    <row r="2125" spans="1:6" ht="42.75" x14ac:dyDescent="0.4">
      <c r="A2125" s="3">
        <v>8331</v>
      </c>
      <c r="B2125" s="3" t="str">
        <f t="shared" si="66"/>
        <v>8</v>
      </c>
      <c r="C2125" s="4" t="s">
        <v>744</v>
      </c>
      <c r="D2125" s="5" t="s">
        <v>2715</v>
      </c>
      <c r="E2125" s="4" t="s">
        <v>106</v>
      </c>
      <c r="F2125" s="2" t="str">
        <f t="shared" si="67"/>
        <v>Non-routine manual</v>
      </c>
    </row>
    <row r="2126" spans="1:6" ht="28.5" x14ac:dyDescent="0.4">
      <c r="A2126" s="3">
        <v>8331</v>
      </c>
      <c r="B2126" s="3" t="str">
        <f t="shared" si="66"/>
        <v>8</v>
      </c>
      <c r="C2126" s="4" t="s">
        <v>744</v>
      </c>
      <c r="D2126" s="5" t="s">
        <v>2716</v>
      </c>
      <c r="E2126" s="4" t="s">
        <v>106</v>
      </c>
      <c r="F2126" s="2" t="str">
        <f t="shared" si="67"/>
        <v>Non-routine manual</v>
      </c>
    </row>
    <row r="2127" spans="1:6" ht="28.5" x14ac:dyDescent="0.4">
      <c r="A2127" s="3">
        <v>8331</v>
      </c>
      <c r="B2127" s="3" t="str">
        <f t="shared" si="66"/>
        <v>8</v>
      </c>
      <c r="C2127" s="4" t="s">
        <v>744</v>
      </c>
      <c r="D2127" s="10" t="s">
        <v>2717</v>
      </c>
      <c r="E2127" s="4" t="s">
        <v>182</v>
      </c>
      <c r="F2127" s="2" t="str">
        <f t="shared" si="67"/>
        <v>Routine manual</v>
      </c>
    </row>
    <row r="2128" spans="1:6" ht="28.5" x14ac:dyDescent="0.4">
      <c r="A2128" s="3">
        <v>8331</v>
      </c>
      <c r="B2128" s="3" t="str">
        <f t="shared" si="66"/>
        <v>8</v>
      </c>
      <c r="C2128" s="4" t="s">
        <v>744</v>
      </c>
      <c r="D2128" s="7" t="s">
        <v>745</v>
      </c>
      <c r="E2128" s="4" t="s">
        <v>106</v>
      </c>
      <c r="F2128" s="2" t="str">
        <f t="shared" si="67"/>
        <v>Non-routine manual</v>
      </c>
    </row>
    <row r="2129" spans="1:6" ht="28.5" x14ac:dyDescent="0.4">
      <c r="A2129" s="3">
        <v>8331</v>
      </c>
      <c r="B2129" s="3" t="str">
        <f t="shared" si="66"/>
        <v>8</v>
      </c>
      <c r="C2129" s="4" t="s">
        <v>744</v>
      </c>
      <c r="D2129" s="5" t="s">
        <v>2718</v>
      </c>
      <c r="E2129" s="4" t="s">
        <v>106</v>
      </c>
      <c r="F2129" s="2" t="str">
        <f t="shared" si="67"/>
        <v>Non-routine manual</v>
      </c>
    </row>
    <row r="2130" spans="1:6" ht="28.5" x14ac:dyDescent="0.4">
      <c r="A2130" s="3">
        <v>8331</v>
      </c>
      <c r="B2130" s="3" t="str">
        <f t="shared" si="66"/>
        <v>8</v>
      </c>
      <c r="C2130" s="4" t="s">
        <v>744</v>
      </c>
      <c r="D2130" s="4" t="s">
        <v>746</v>
      </c>
      <c r="E2130" s="4" t="s">
        <v>106</v>
      </c>
      <c r="F2130" s="2" t="str">
        <f t="shared" si="67"/>
        <v>Non-routine manual</v>
      </c>
    </row>
    <row r="2131" spans="1:6" ht="28.5" x14ac:dyDescent="0.4">
      <c r="A2131" s="3">
        <v>8331</v>
      </c>
      <c r="B2131" s="3" t="str">
        <f t="shared" si="66"/>
        <v>8</v>
      </c>
      <c r="C2131" s="4" t="s">
        <v>744</v>
      </c>
      <c r="D2131" s="5" t="s">
        <v>2719</v>
      </c>
      <c r="E2131" s="4" t="s">
        <v>106</v>
      </c>
      <c r="F2131" s="2" t="str">
        <f t="shared" si="67"/>
        <v>Non-routine manual</v>
      </c>
    </row>
    <row r="2132" spans="1:6" ht="42.75" x14ac:dyDescent="0.4">
      <c r="A2132" s="3">
        <v>8332</v>
      </c>
      <c r="B2132" s="3" t="str">
        <f t="shared" si="66"/>
        <v>8</v>
      </c>
      <c r="C2132" s="4" t="s">
        <v>747</v>
      </c>
      <c r="D2132" s="5" t="s">
        <v>2720</v>
      </c>
      <c r="E2132" s="4" t="s">
        <v>106</v>
      </c>
      <c r="F2132" s="2" t="str">
        <f t="shared" si="67"/>
        <v>Non-routine manual</v>
      </c>
    </row>
    <row r="2133" spans="1:6" x14ac:dyDescent="0.4">
      <c r="A2133" s="3">
        <v>8332</v>
      </c>
      <c r="B2133" s="3" t="str">
        <f t="shared" si="66"/>
        <v>8</v>
      </c>
      <c r="C2133" s="4" t="s">
        <v>747</v>
      </c>
      <c r="D2133" s="13" t="s">
        <v>748</v>
      </c>
      <c r="E2133" s="4" t="s">
        <v>50</v>
      </c>
      <c r="F2133" s="2" t="str">
        <f t="shared" si="67"/>
        <v>Routine cognitive</v>
      </c>
    </row>
    <row r="2134" spans="1:6" ht="28.5" x14ac:dyDescent="0.4">
      <c r="A2134" s="3">
        <v>8332</v>
      </c>
      <c r="B2134" s="3" t="str">
        <f t="shared" si="66"/>
        <v>8</v>
      </c>
      <c r="C2134" s="4" t="s">
        <v>747</v>
      </c>
      <c r="D2134" s="4" t="s">
        <v>749</v>
      </c>
      <c r="E2134" s="4" t="s">
        <v>50</v>
      </c>
      <c r="F2134" s="2" t="str">
        <f t="shared" si="67"/>
        <v>Routine cognitive</v>
      </c>
    </row>
    <row r="2135" spans="1:6" ht="28.5" x14ac:dyDescent="0.4">
      <c r="A2135" s="3">
        <v>8332</v>
      </c>
      <c r="B2135" s="3" t="str">
        <f t="shared" si="66"/>
        <v>8</v>
      </c>
      <c r="C2135" s="4" t="s">
        <v>747</v>
      </c>
      <c r="D2135" s="5" t="s">
        <v>2721</v>
      </c>
      <c r="E2135" s="4" t="s">
        <v>106</v>
      </c>
      <c r="F2135" s="2" t="str">
        <f t="shared" si="67"/>
        <v>Non-routine manual</v>
      </c>
    </row>
    <row r="2136" spans="1:6" ht="28.5" x14ac:dyDescent="0.4">
      <c r="A2136" s="3">
        <v>8332</v>
      </c>
      <c r="B2136" s="3" t="str">
        <f t="shared" si="66"/>
        <v>8</v>
      </c>
      <c r="C2136" s="4" t="s">
        <v>747</v>
      </c>
      <c r="D2136" s="5" t="s">
        <v>2722</v>
      </c>
      <c r="E2136" s="4" t="s">
        <v>106</v>
      </c>
      <c r="F2136" s="2" t="str">
        <f t="shared" si="67"/>
        <v>Non-routine manual</v>
      </c>
    </row>
    <row r="2137" spans="1:6" ht="42.75" x14ac:dyDescent="0.4">
      <c r="A2137" s="3">
        <v>8332</v>
      </c>
      <c r="B2137" s="3" t="str">
        <f t="shared" si="66"/>
        <v>8</v>
      </c>
      <c r="C2137" s="4" t="s">
        <v>747</v>
      </c>
      <c r="D2137" s="5" t="s">
        <v>2723</v>
      </c>
      <c r="E2137" s="4" t="s">
        <v>50</v>
      </c>
      <c r="F2137" s="2" t="str">
        <f t="shared" si="67"/>
        <v>Routine cognitive</v>
      </c>
    </row>
    <row r="2138" spans="1:6" ht="42.75" x14ac:dyDescent="0.4">
      <c r="A2138" s="3">
        <v>8341</v>
      </c>
      <c r="B2138" s="3" t="str">
        <f t="shared" si="66"/>
        <v>8</v>
      </c>
      <c r="C2138" s="4" t="s">
        <v>750</v>
      </c>
      <c r="D2138" s="5" t="s">
        <v>2724</v>
      </c>
      <c r="E2138" s="4" t="s">
        <v>106</v>
      </c>
      <c r="F2138" s="2" t="str">
        <f t="shared" si="67"/>
        <v>Non-routine manual</v>
      </c>
    </row>
    <row r="2139" spans="1:6" ht="42.75" x14ac:dyDescent="0.4">
      <c r="A2139" s="3">
        <v>8341</v>
      </c>
      <c r="B2139" s="3" t="str">
        <f t="shared" si="66"/>
        <v>8</v>
      </c>
      <c r="C2139" s="4" t="s">
        <v>750</v>
      </c>
      <c r="D2139" s="5" t="s">
        <v>2725</v>
      </c>
      <c r="E2139" s="4" t="s">
        <v>106</v>
      </c>
      <c r="F2139" s="2" t="str">
        <f t="shared" si="67"/>
        <v>Non-routine manual</v>
      </c>
    </row>
    <row r="2140" spans="1:6" ht="28.5" x14ac:dyDescent="0.4">
      <c r="A2140" s="3">
        <v>8341</v>
      </c>
      <c r="B2140" s="3" t="str">
        <f t="shared" si="66"/>
        <v>8</v>
      </c>
      <c r="C2140" s="4" t="s">
        <v>750</v>
      </c>
      <c r="D2140" s="7" t="s">
        <v>751</v>
      </c>
      <c r="E2140" s="4" t="s">
        <v>182</v>
      </c>
      <c r="F2140" s="2" t="str">
        <f t="shared" si="67"/>
        <v>Routine manual</v>
      </c>
    </row>
    <row r="2141" spans="1:6" ht="28.5" x14ac:dyDescent="0.4">
      <c r="A2141" s="3">
        <v>8341</v>
      </c>
      <c r="B2141" s="3" t="str">
        <f t="shared" si="66"/>
        <v>8</v>
      </c>
      <c r="C2141" s="5" t="s">
        <v>2726</v>
      </c>
      <c r="D2141" s="7" t="s">
        <v>752</v>
      </c>
      <c r="E2141" s="4" t="s">
        <v>106</v>
      </c>
      <c r="F2141" s="2" t="str">
        <f t="shared" si="67"/>
        <v>Non-routine manual</v>
      </c>
    </row>
    <row r="2142" spans="1:6" ht="28.5" x14ac:dyDescent="0.4">
      <c r="A2142" s="3">
        <v>8341</v>
      </c>
      <c r="B2142" s="3" t="str">
        <f t="shared" si="66"/>
        <v>8</v>
      </c>
      <c r="C2142" s="4" t="s">
        <v>750</v>
      </c>
      <c r="D2142" s="7" t="s">
        <v>753</v>
      </c>
      <c r="E2142" s="4" t="s">
        <v>182</v>
      </c>
      <c r="F2142" s="2" t="str">
        <f t="shared" si="67"/>
        <v>Routine manual</v>
      </c>
    </row>
    <row r="2143" spans="1:6" ht="42.75" x14ac:dyDescent="0.4">
      <c r="A2143" s="3">
        <v>8341</v>
      </c>
      <c r="B2143" s="3" t="str">
        <f t="shared" si="66"/>
        <v>8</v>
      </c>
      <c r="C2143" s="4" t="s">
        <v>750</v>
      </c>
      <c r="D2143" s="5" t="s">
        <v>2727</v>
      </c>
      <c r="E2143" s="4" t="s">
        <v>182</v>
      </c>
      <c r="F2143" s="2" t="str">
        <f t="shared" si="67"/>
        <v>Routine manual</v>
      </c>
    </row>
    <row r="2144" spans="1:6" ht="42.75" x14ac:dyDescent="0.4">
      <c r="A2144" s="3">
        <v>8341</v>
      </c>
      <c r="B2144" s="3" t="str">
        <f t="shared" si="66"/>
        <v>8</v>
      </c>
      <c r="C2144" s="4" t="s">
        <v>750</v>
      </c>
      <c r="D2144" s="5" t="s">
        <v>2728</v>
      </c>
      <c r="E2144" s="4" t="s">
        <v>182</v>
      </c>
      <c r="F2144" s="2" t="str">
        <f t="shared" si="67"/>
        <v>Routine manual</v>
      </c>
    </row>
    <row r="2145" spans="1:6" ht="28.5" x14ac:dyDescent="0.4">
      <c r="A2145" s="3">
        <v>8341</v>
      </c>
      <c r="B2145" s="3" t="str">
        <f t="shared" si="66"/>
        <v>8</v>
      </c>
      <c r="C2145" s="4" t="s">
        <v>750</v>
      </c>
      <c r="D2145" s="7" t="s">
        <v>754</v>
      </c>
      <c r="E2145" s="4" t="s">
        <v>106</v>
      </c>
      <c r="F2145" s="2" t="str">
        <f t="shared" si="67"/>
        <v>Non-routine manual</v>
      </c>
    </row>
    <row r="2146" spans="1:6" ht="57" x14ac:dyDescent="0.4">
      <c r="A2146" s="3">
        <v>8342</v>
      </c>
      <c r="B2146" s="3" t="str">
        <f t="shared" si="66"/>
        <v>8</v>
      </c>
      <c r="C2146" s="4" t="s">
        <v>755</v>
      </c>
      <c r="D2146" s="5" t="s">
        <v>2729</v>
      </c>
      <c r="E2146" s="4" t="s">
        <v>182</v>
      </c>
      <c r="F2146" s="2" t="str">
        <f t="shared" si="67"/>
        <v>Routine manual</v>
      </c>
    </row>
    <row r="2147" spans="1:6" ht="28.5" x14ac:dyDescent="0.4">
      <c r="A2147" s="3">
        <v>8342</v>
      </c>
      <c r="B2147" s="3" t="str">
        <f t="shared" si="66"/>
        <v>8</v>
      </c>
      <c r="C2147" s="4" t="s">
        <v>755</v>
      </c>
      <c r="D2147" s="5" t="s">
        <v>2730</v>
      </c>
      <c r="E2147" s="4" t="s">
        <v>182</v>
      </c>
      <c r="F2147" s="2" t="str">
        <f t="shared" si="67"/>
        <v>Routine manual</v>
      </c>
    </row>
    <row r="2148" spans="1:6" ht="42.75" x14ac:dyDescent="0.4">
      <c r="A2148" s="3">
        <v>8342</v>
      </c>
      <c r="B2148" s="3" t="str">
        <f t="shared" si="66"/>
        <v>8</v>
      </c>
      <c r="C2148" s="4" t="s">
        <v>755</v>
      </c>
      <c r="D2148" s="5" t="s">
        <v>2731</v>
      </c>
      <c r="E2148" s="4" t="s">
        <v>182</v>
      </c>
      <c r="F2148" s="2" t="str">
        <f t="shared" si="67"/>
        <v>Routine manual</v>
      </c>
    </row>
    <row r="2149" spans="1:6" ht="28.5" x14ac:dyDescent="0.4">
      <c r="A2149" s="3">
        <v>8342</v>
      </c>
      <c r="B2149" s="3" t="str">
        <f t="shared" si="66"/>
        <v>8</v>
      </c>
      <c r="C2149" s="4" t="s">
        <v>755</v>
      </c>
      <c r="D2149" s="5" t="s">
        <v>2732</v>
      </c>
      <c r="E2149" s="4" t="s">
        <v>182</v>
      </c>
      <c r="F2149" s="2" t="str">
        <f t="shared" si="67"/>
        <v>Routine manual</v>
      </c>
    </row>
    <row r="2150" spans="1:6" ht="28.5" x14ac:dyDescent="0.4">
      <c r="A2150" s="3">
        <v>8342</v>
      </c>
      <c r="B2150" s="3" t="str">
        <f t="shared" si="66"/>
        <v>8</v>
      </c>
      <c r="C2150" s="4" t="s">
        <v>755</v>
      </c>
      <c r="D2150" s="5" t="s">
        <v>2733</v>
      </c>
      <c r="E2150" s="4" t="s">
        <v>182</v>
      </c>
      <c r="F2150" s="2" t="str">
        <f t="shared" si="67"/>
        <v>Routine manual</v>
      </c>
    </row>
    <row r="2151" spans="1:6" ht="42.75" x14ac:dyDescent="0.4">
      <c r="A2151" s="3">
        <v>8342</v>
      </c>
      <c r="B2151" s="3" t="str">
        <f t="shared" si="66"/>
        <v>8</v>
      </c>
      <c r="C2151" s="4" t="s">
        <v>755</v>
      </c>
      <c r="D2151" s="5" t="s">
        <v>2734</v>
      </c>
      <c r="E2151" s="4" t="s">
        <v>182</v>
      </c>
      <c r="F2151" s="2" t="str">
        <f t="shared" si="67"/>
        <v>Routine manual</v>
      </c>
    </row>
    <row r="2152" spans="1:6" ht="42.75" x14ac:dyDescent="0.4">
      <c r="A2152" s="3">
        <v>8342</v>
      </c>
      <c r="B2152" s="3" t="str">
        <f t="shared" si="66"/>
        <v>8</v>
      </c>
      <c r="C2152" s="4" t="s">
        <v>755</v>
      </c>
      <c r="D2152" s="5" t="s">
        <v>2735</v>
      </c>
      <c r="E2152" s="4" t="s">
        <v>182</v>
      </c>
      <c r="F2152" s="2" t="str">
        <f t="shared" si="67"/>
        <v>Routine manual</v>
      </c>
    </row>
    <row r="2153" spans="1:6" ht="42.75" x14ac:dyDescent="0.4">
      <c r="A2153" s="3">
        <v>8343</v>
      </c>
      <c r="B2153" s="3" t="str">
        <f t="shared" si="66"/>
        <v>8</v>
      </c>
      <c r="C2153" s="4" t="s">
        <v>756</v>
      </c>
      <c r="D2153" s="5" t="s">
        <v>2736</v>
      </c>
      <c r="E2153" s="4" t="s">
        <v>182</v>
      </c>
      <c r="F2153" s="2" t="str">
        <f t="shared" si="67"/>
        <v>Routine manual</v>
      </c>
    </row>
    <row r="2154" spans="1:6" ht="28.5" x14ac:dyDescent="0.4">
      <c r="A2154" s="3">
        <v>8343</v>
      </c>
      <c r="B2154" s="3" t="str">
        <f t="shared" si="66"/>
        <v>8</v>
      </c>
      <c r="C2154" s="4" t="s">
        <v>756</v>
      </c>
      <c r="D2154" s="5" t="s">
        <v>2737</v>
      </c>
      <c r="E2154" s="4" t="s">
        <v>182</v>
      </c>
      <c r="F2154" s="2" t="str">
        <f t="shared" si="67"/>
        <v>Routine manual</v>
      </c>
    </row>
    <row r="2155" spans="1:6" ht="28.5" x14ac:dyDescent="0.4">
      <c r="A2155" s="3">
        <v>8343</v>
      </c>
      <c r="B2155" s="3" t="str">
        <f t="shared" si="66"/>
        <v>8</v>
      </c>
      <c r="C2155" s="5" t="s">
        <v>2738</v>
      </c>
      <c r="D2155" s="6" t="s">
        <v>757</v>
      </c>
      <c r="E2155" s="4" t="s">
        <v>182</v>
      </c>
      <c r="F2155" s="2" t="str">
        <f t="shared" si="67"/>
        <v>Routine manual</v>
      </c>
    </row>
    <row r="2156" spans="1:6" ht="28.5" x14ac:dyDescent="0.4">
      <c r="A2156" s="3">
        <v>8343</v>
      </c>
      <c r="B2156" s="3" t="str">
        <f t="shared" si="66"/>
        <v>8</v>
      </c>
      <c r="C2156" s="4" t="s">
        <v>756</v>
      </c>
      <c r="D2156" s="5" t="s">
        <v>2739</v>
      </c>
      <c r="E2156" s="4" t="s">
        <v>182</v>
      </c>
      <c r="F2156" s="2" t="str">
        <f t="shared" si="67"/>
        <v>Routine manual</v>
      </c>
    </row>
    <row r="2157" spans="1:6" ht="42.75" x14ac:dyDescent="0.4">
      <c r="A2157" s="3">
        <v>8343</v>
      </c>
      <c r="B2157" s="3" t="str">
        <f t="shared" si="66"/>
        <v>8</v>
      </c>
      <c r="C2157" s="4" t="s">
        <v>756</v>
      </c>
      <c r="D2157" s="5" t="s">
        <v>2740</v>
      </c>
      <c r="E2157" s="4" t="s">
        <v>182</v>
      </c>
      <c r="F2157" s="2" t="str">
        <f t="shared" si="67"/>
        <v>Routine manual</v>
      </c>
    </row>
    <row r="2158" spans="1:6" ht="28.5" x14ac:dyDescent="0.4">
      <c r="A2158" s="3">
        <v>8343</v>
      </c>
      <c r="B2158" s="3" t="str">
        <f t="shared" si="66"/>
        <v>8</v>
      </c>
      <c r="C2158" s="4" t="s">
        <v>756</v>
      </c>
      <c r="D2158" s="5" t="s">
        <v>2741</v>
      </c>
      <c r="E2158" s="4" t="s">
        <v>182</v>
      </c>
      <c r="F2158" s="2" t="str">
        <f t="shared" si="67"/>
        <v>Routine manual</v>
      </c>
    </row>
    <row r="2159" spans="1:6" ht="42.75" x14ac:dyDescent="0.4">
      <c r="A2159" s="3">
        <v>8343</v>
      </c>
      <c r="B2159" s="3" t="str">
        <f t="shared" si="66"/>
        <v>8</v>
      </c>
      <c r="C2159" s="4" t="s">
        <v>756</v>
      </c>
      <c r="D2159" s="5" t="s">
        <v>2742</v>
      </c>
      <c r="E2159" s="4" t="s">
        <v>182</v>
      </c>
      <c r="F2159" s="2" t="str">
        <f t="shared" si="67"/>
        <v>Routine manual</v>
      </c>
    </row>
    <row r="2160" spans="1:6" ht="57" x14ac:dyDescent="0.4">
      <c r="A2160" s="3">
        <v>8344</v>
      </c>
      <c r="B2160" s="3" t="str">
        <f t="shared" si="66"/>
        <v>8</v>
      </c>
      <c r="C2160" s="4" t="s">
        <v>758</v>
      </c>
      <c r="D2160" s="5" t="s">
        <v>2743</v>
      </c>
      <c r="E2160" s="4" t="s">
        <v>182</v>
      </c>
      <c r="F2160" s="2" t="str">
        <f t="shared" si="67"/>
        <v>Routine manual</v>
      </c>
    </row>
    <row r="2161" spans="1:6" ht="42.75" x14ac:dyDescent="0.4">
      <c r="A2161" s="3">
        <v>8344</v>
      </c>
      <c r="B2161" s="3" t="str">
        <f t="shared" si="66"/>
        <v>8</v>
      </c>
      <c r="C2161" s="4" t="s">
        <v>758</v>
      </c>
      <c r="D2161" s="5" t="s">
        <v>2744</v>
      </c>
      <c r="E2161" s="4" t="s">
        <v>106</v>
      </c>
      <c r="F2161" s="2" t="str">
        <f t="shared" si="67"/>
        <v>Non-routine manual</v>
      </c>
    </row>
    <row r="2162" spans="1:6" x14ac:dyDescent="0.4">
      <c r="A2162" s="3">
        <v>8344</v>
      </c>
      <c r="B2162" s="3" t="str">
        <f t="shared" si="66"/>
        <v>8</v>
      </c>
      <c r="C2162" s="4" t="s">
        <v>758</v>
      </c>
      <c r="D2162" s="7" t="s">
        <v>759</v>
      </c>
      <c r="E2162" s="4" t="s">
        <v>50</v>
      </c>
      <c r="F2162" s="2" t="str">
        <f t="shared" si="67"/>
        <v>Routine cognitive</v>
      </c>
    </row>
    <row r="2163" spans="1:6" ht="28.5" x14ac:dyDescent="0.4">
      <c r="A2163" s="3">
        <v>8344</v>
      </c>
      <c r="B2163" s="3" t="str">
        <f t="shared" si="66"/>
        <v>8</v>
      </c>
      <c r="C2163" s="4" t="s">
        <v>758</v>
      </c>
      <c r="D2163" s="5" t="s">
        <v>2745</v>
      </c>
      <c r="E2163" s="4" t="s">
        <v>50</v>
      </c>
      <c r="F2163" s="2" t="str">
        <f t="shared" si="67"/>
        <v>Routine cognitive</v>
      </c>
    </row>
    <row r="2164" spans="1:6" ht="28.5" x14ac:dyDescent="0.4">
      <c r="A2164" s="3">
        <v>8344</v>
      </c>
      <c r="B2164" s="3" t="str">
        <f t="shared" si="66"/>
        <v>8</v>
      </c>
      <c r="C2164" s="4" t="s">
        <v>758</v>
      </c>
      <c r="D2164" s="5" t="s">
        <v>2746</v>
      </c>
      <c r="E2164" s="4" t="s">
        <v>50</v>
      </c>
      <c r="F2164" s="2" t="str">
        <f t="shared" si="67"/>
        <v>Routine cognitive</v>
      </c>
    </row>
    <row r="2165" spans="1:6" ht="28.5" x14ac:dyDescent="0.4">
      <c r="A2165" s="3">
        <v>8350</v>
      </c>
      <c r="B2165" s="3" t="str">
        <f t="shared" si="66"/>
        <v>8</v>
      </c>
      <c r="C2165" s="4" t="s">
        <v>760</v>
      </c>
      <c r="D2165" s="8" t="s">
        <v>2747</v>
      </c>
      <c r="E2165" s="4" t="s">
        <v>106</v>
      </c>
      <c r="F2165" s="2" t="str">
        <f t="shared" si="67"/>
        <v>Non-routine manual</v>
      </c>
    </row>
    <row r="2166" spans="1:6" ht="28.5" x14ac:dyDescent="0.4">
      <c r="A2166" s="3">
        <v>8350</v>
      </c>
      <c r="B2166" s="3" t="str">
        <f t="shared" si="66"/>
        <v>8</v>
      </c>
      <c r="C2166" s="4" t="s">
        <v>760</v>
      </c>
      <c r="D2166" s="6" t="s">
        <v>761</v>
      </c>
      <c r="E2166" s="4" t="s">
        <v>106</v>
      </c>
      <c r="F2166" s="2" t="str">
        <f t="shared" si="67"/>
        <v>Non-routine manual</v>
      </c>
    </row>
    <row r="2167" spans="1:6" ht="28.5" x14ac:dyDescent="0.4">
      <c r="A2167" s="3">
        <v>8350</v>
      </c>
      <c r="B2167" s="3" t="str">
        <f t="shared" si="66"/>
        <v>8</v>
      </c>
      <c r="C2167" s="4" t="s">
        <v>760</v>
      </c>
      <c r="D2167" s="8" t="s">
        <v>2748</v>
      </c>
      <c r="E2167" s="4" t="s">
        <v>106</v>
      </c>
      <c r="F2167" s="2" t="str">
        <f t="shared" si="67"/>
        <v>Non-routine manual</v>
      </c>
    </row>
    <row r="2168" spans="1:6" ht="28.5" x14ac:dyDescent="0.4">
      <c r="A2168" s="3">
        <v>8350</v>
      </c>
      <c r="B2168" s="3" t="str">
        <f t="shared" si="66"/>
        <v>8</v>
      </c>
      <c r="C2168" s="4" t="s">
        <v>760</v>
      </c>
      <c r="D2168" s="8" t="s">
        <v>2749</v>
      </c>
      <c r="E2168" s="4" t="s">
        <v>106</v>
      </c>
      <c r="F2168" s="2" t="str">
        <f t="shared" si="67"/>
        <v>Non-routine manual</v>
      </c>
    </row>
    <row r="2169" spans="1:6" ht="42.75" x14ac:dyDescent="0.4">
      <c r="A2169" s="3">
        <v>8350</v>
      </c>
      <c r="B2169" s="3" t="str">
        <f t="shared" si="66"/>
        <v>8</v>
      </c>
      <c r="C2169" s="4" t="s">
        <v>760</v>
      </c>
      <c r="D2169" s="8" t="s">
        <v>2750</v>
      </c>
      <c r="E2169" s="4" t="s">
        <v>106</v>
      </c>
      <c r="F2169" s="2" t="str">
        <f t="shared" si="67"/>
        <v>Non-routine manual</v>
      </c>
    </row>
    <row r="2170" spans="1:6" ht="42.75" x14ac:dyDescent="0.4">
      <c r="A2170" s="3">
        <v>8350</v>
      </c>
      <c r="B2170" s="3" t="str">
        <f t="shared" si="66"/>
        <v>8</v>
      </c>
      <c r="C2170" s="4" t="s">
        <v>760</v>
      </c>
      <c r="D2170" s="5" t="s">
        <v>2751</v>
      </c>
      <c r="E2170" s="4" t="s">
        <v>106</v>
      </c>
      <c r="F2170" s="2" t="str">
        <f t="shared" si="67"/>
        <v>Non-routine manual</v>
      </c>
    </row>
    <row r="2171" spans="1:6" ht="42.75" x14ac:dyDescent="0.4">
      <c r="A2171" s="3">
        <v>9111</v>
      </c>
      <c r="B2171" s="3" t="str">
        <f t="shared" si="66"/>
        <v>9</v>
      </c>
      <c r="C2171" s="4" t="s">
        <v>762</v>
      </c>
      <c r="D2171" s="5" t="s">
        <v>2752</v>
      </c>
      <c r="E2171" s="4" t="s">
        <v>106</v>
      </c>
      <c r="F2171" s="2" t="str">
        <f t="shared" si="67"/>
        <v>Non-routine manual</v>
      </c>
    </row>
    <row r="2172" spans="1:6" ht="28.5" x14ac:dyDescent="0.4">
      <c r="A2172" s="3">
        <v>9111</v>
      </c>
      <c r="B2172" s="3" t="str">
        <f t="shared" si="66"/>
        <v>9</v>
      </c>
      <c r="C2172" s="4" t="s">
        <v>762</v>
      </c>
      <c r="D2172" s="6" t="s">
        <v>763</v>
      </c>
      <c r="E2172" s="4" t="s">
        <v>106</v>
      </c>
      <c r="F2172" s="2" t="str">
        <f t="shared" si="67"/>
        <v>Non-routine manual</v>
      </c>
    </row>
    <row r="2173" spans="1:6" ht="28.5" x14ac:dyDescent="0.4">
      <c r="A2173" s="3">
        <v>9111</v>
      </c>
      <c r="B2173" s="3" t="str">
        <f t="shared" si="66"/>
        <v>9</v>
      </c>
      <c r="C2173" s="4" t="s">
        <v>762</v>
      </c>
      <c r="D2173" s="19" t="s">
        <v>764</v>
      </c>
      <c r="E2173" s="4" t="s">
        <v>106</v>
      </c>
      <c r="F2173" s="2" t="str">
        <f t="shared" si="67"/>
        <v>Non-routine manual</v>
      </c>
    </row>
    <row r="2174" spans="1:6" ht="28.5" x14ac:dyDescent="0.4">
      <c r="A2174" s="3">
        <v>9111</v>
      </c>
      <c r="B2174" s="3" t="str">
        <f t="shared" si="66"/>
        <v>9</v>
      </c>
      <c r="C2174" s="4" t="s">
        <v>762</v>
      </c>
      <c r="D2174" s="4" t="s">
        <v>765</v>
      </c>
      <c r="E2174" s="4" t="s">
        <v>106</v>
      </c>
      <c r="F2174" s="2" t="str">
        <f t="shared" si="67"/>
        <v>Non-routine manual</v>
      </c>
    </row>
    <row r="2175" spans="1:6" x14ac:dyDescent="0.4">
      <c r="A2175" s="3">
        <v>9111</v>
      </c>
      <c r="B2175" s="3" t="str">
        <f t="shared" si="66"/>
        <v>9</v>
      </c>
      <c r="C2175" s="4" t="s">
        <v>762</v>
      </c>
      <c r="D2175" s="6" t="s">
        <v>766</v>
      </c>
      <c r="E2175" s="4" t="s">
        <v>3</v>
      </c>
      <c r="F2175" s="2" t="str">
        <f t="shared" si="67"/>
        <v>Non-routine cognitive</v>
      </c>
    </row>
    <row r="2176" spans="1:6" ht="28.5" x14ac:dyDescent="0.4">
      <c r="A2176" s="3">
        <v>9111</v>
      </c>
      <c r="B2176" s="3" t="str">
        <f t="shared" si="66"/>
        <v>9</v>
      </c>
      <c r="C2176" s="4" t="s">
        <v>762</v>
      </c>
      <c r="D2176" s="4" t="s">
        <v>767</v>
      </c>
      <c r="E2176" s="4" t="s">
        <v>106</v>
      </c>
      <c r="F2176" s="2" t="str">
        <f t="shared" si="67"/>
        <v>Non-routine manual</v>
      </c>
    </row>
    <row r="2177" spans="1:6" ht="28.5" x14ac:dyDescent="0.4">
      <c r="A2177" s="3">
        <v>9111</v>
      </c>
      <c r="B2177" s="3" t="str">
        <f t="shared" si="66"/>
        <v>9</v>
      </c>
      <c r="C2177" s="4" t="s">
        <v>762</v>
      </c>
      <c r="D2177" s="7" t="s">
        <v>768</v>
      </c>
      <c r="E2177" s="4" t="s">
        <v>106</v>
      </c>
      <c r="F2177" s="2" t="str">
        <f t="shared" si="67"/>
        <v>Non-routine manual</v>
      </c>
    </row>
    <row r="2178" spans="1:6" ht="28.5" x14ac:dyDescent="0.4">
      <c r="A2178" s="3">
        <v>9112</v>
      </c>
      <c r="B2178" s="3" t="str">
        <f t="shared" si="66"/>
        <v>9</v>
      </c>
      <c r="C2178" s="4" t="s">
        <v>769</v>
      </c>
      <c r="D2178" s="4" t="s">
        <v>770</v>
      </c>
      <c r="E2178" s="4" t="s">
        <v>106</v>
      </c>
      <c r="F2178" s="2" t="str">
        <f t="shared" si="67"/>
        <v>Non-routine manual</v>
      </c>
    </row>
    <row r="2179" spans="1:6" ht="28.5" x14ac:dyDescent="0.4">
      <c r="A2179" s="3">
        <v>9112</v>
      </c>
      <c r="B2179" s="3" t="str">
        <f t="shared" ref="B2179:B2242" si="68">LEFT(A2179,1)</f>
        <v>9</v>
      </c>
      <c r="C2179" s="4" t="s">
        <v>769</v>
      </c>
      <c r="D2179" s="4" t="s">
        <v>394</v>
      </c>
      <c r="E2179" s="4" t="s">
        <v>106</v>
      </c>
      <c r="F2179" s="2" t="str">
        <f t="shared" ref="F2179:F2242" si="69">IF(E2179="Non-routine interpersonal","Non-routine cognitive",IF(E2179="Non-routine analytical","Non-routine cognitive",IF(E2179="Non-routine manual physical","Non-routine manual",E2179)))</f>
        <v>Non-routine manual</v>
      </c>
    </row>
    <row r="2180" spans="1:6" ht="28.5" x14ac:dyDescent="0.4">
      <c r="A2180" s="3">
        <v>9112</v>
      </c>
      <c r="B2180" s="3" t="str">
        <f t="shared" si="68"/>
        <v>9</v>
      </c>
      <c r="C2180" s="4" t="s">
        <v>769</v>
      </c>
      <c r="D2180" s="4" t="s">
        <v>395</v>
      </c>
      <c r="E2180" s="4" t="s">
        <v>106</v>
      </c>
      <c r="F2180" s="2" t="str">
        <f t="shared" si="69"/>
        <v>Non-routine manual</v>
      </c>
    </row>
    <row r="2181" spans="1:6" ht="28.5" x14ac:dyDescent="0.4">
      <c r="A2181" s="3">
        <v>9112</v>
      </c>
      <c r="B2181" s="3" t="str">
        <f t="shared" si="68"/>
        <v>9</v>
      </c>
      <c r="C2181" s="4" t="s">
        <v>769</v>
      </c>
      <c r="D2181" s="4" t="s">
        <v>771</v>
      </c>
      <c r="E2181" s="4" t="s">
        <v>106</v>
      </c>
      <c r="F2181" s="2" t="str">
        <f t="shared" si="69"/>
        <v>Non-routine manual</v>
      </c>
    </row>
    <row r="2182" spans="1:6" ht="42.75" x14ac:dyDescent="0.4">
      <c r="A2182" s="3">
        <v>9121</v>
      </c>
      <c r="B2182" s="3" t="str">
        <f t="shared" si="68"/>
        <v>9</v>
      </c>
      <c r="C2182" s="4" t="s">
        <v>772</v>
      </c>
      <c r="D2182" s="10" t="s">
        <v>2753</v>
      </c>
      <c r="E2182" s="4" t="s">
        <v>106</v>
      </c>
      <c r="F2182" s="2" t="str">
        <f t="shared" si="69"/>
        <v>Non-routine manual</v>
      </c>
    </row>
    <row r="2183" spans="1:6" ht="42.75" x14ac:dyDescent="0.4">
      <c r="A2183" s="3">
        <v>9121</v>
      </c>
      <c r="B2183" s="3" t="str">
        <f t="shared" si="68"/>
        <v>9</v>
      </c>
      <c r="C2183" s="4" t="s">
        <v>772</v>
      </c>
      <c r="D2183" s="5" t="s">
        <v>2754</v>
      </c>
      <c r="E2183" s="4" t="s">
        <v>106</v>
      </c>
      <c r="F2183" s="2" t="str">
        <f t="shared" si="69"/>
        <v>Non-routine manual</v>
      </c>
    </row>
    <row r="2184" spans="1:6" ht="28.5" x14ac:dyDescent="0.4">
      <c r="A2184" s="3">
        <v>9121</v>
      </c>
      <c r="B2184" s="3" t="str">
        <f t="shared" si="68"/>
        <v>9</v>
      </c>
      <c r="C2184" s="4" t="s">
        <v>772</v>
      </c>
      <c r="D2184" s="7" t="s">
        <v>773</v>
      </c>
      <c r="E2184" s="4" t="s">
        <v>106</v>
      </c>
      <c r="F2184" s="2" t="str">
        <f t="shared" si="69"/>
        <v>Non-routine manual</v>
      </c>
    </row>
    <row r="2185" spans="1:6" ht="28.5" x14ac:dyDescent="0.4">
      <c r="A2185" s="3">
        <v>9121</v>
      </c>
      <c r="B2185" s="3" t="str">
        <f t="shared" si="68"/>
        <v>9</v>
      </c>
      <c r="C2185" s="4" t="s">
        <v>772</v>
      </c>
      <c r="D2185" s="8" t="s">
        <v>2755</v>
      </c>
      <c r="E2185" s="4" t="s">
        <v>106</v>
      </c>
      <c r="F2185" s="2" t="str">
        <f t="shared" si="69"/>
        <v>Non-routine manual</v>
      </c>
    </row>
    <row r="2186" spans="1:6" ht="28.5" x14ac:dyDescent="0.4">
      <c r="A2186" s="3">
        <v>9122</v>
      </c>
      <c r="B2186" s="3" t="str">
        <f t="shared" si="68"/>
        <v>9</v>
      </c>
      <c r="C2186" s="4" t="s">
        <v>774</v>
      </c>
      <c r="D2186" s="10" t="s">
        <v>2756</v>
      </c>
      <c r="E2186" s="4" t="s">
        <v>106</v>
      </c>
      <c r="F2186" s="2" t="str">
        <f t="shared" si="69"/>
        <v>Non-routine manual</v>
      </c>
    </row>
    <row r="2187" spans="1:6" ht="28.5" x14ac:dyDescent="0.4">
      <c r="A2187" s="3">
        <v>9122</v>
      </c>
      <c r="B2187" s="3" t="str">
        <f t="shared" si="68"/>
        <v>9</v>
      </c>
      <c r="C2187" s="4" t="s">
        <v>774</v>
      </c>
      <c r="D2187" s="10" t="s">
        <v>2757</v>
      </c>
      <c r="E2187" s="4" t="s">
        <v>106</v>
      </c>
      <c r="F2187" s="2" t="str">
        <f t="shared" si="69"/>
        <v>Non-routine manual</v>
      </c>
    </row>
    <row r="2188" spans="1:6" ht="28.5" x14ac:dyDescent="0.4">
      <c r="A2188" s="3">
        <v>9122</v>
      </c>
      <c r="B2188" s="3" t="str">
        <f t="shared" si="68"/>
        <v>9</v>
      </c>
      <c r="C2188" s="4" t="s">
        <v>774</v>
      </c>
      <c r="D2188" s="8" t="s">
        <v>2758</v>
      </c>
      <c r="E2188" s="4" t="s">
        <v>106</v>
      </c>
      <c r="F2188" s="2" t="str">
        <f t="shared" si="69"/>
        <v>Non-routine manual</v>
      </c>
    </row>
    <row r="2189" spans="1:6" ht="28.5" x14ac:dyDescent="0.4">
      <c r="A2189" s="3">
        <v>9122</v>
      </c>
      <c r="B2189" s="3" t="str">
        <f t="shared" si="68"/>
        <v>9</v>
      </c>
      <c r="C2189" s="4" t="s">
        <v>774</v>
      </c>
      <c r="D2189" s="6" t="s">
        <v>775</v>
      </c>
      <c r="E2189" s="4" t="s">
        <v>106</v>
      </c>
      <c r="F2189" s="2" t="str">
        <f t="shared" si="69"/>
        <v>Non-routine manual</v>
      </c>
    </row>
    <row r="2190" spans="1:6" ht="28.5" x14ac:dyDescent="0.4">
      <c r="A2190" s="3">
        <v>9122</v>
      </c>
      <c r="B2190" s="3" t="str">
        <f t="shared" si="68"/>
        <v>9</v>
      </c>
      <c r="C2190" s="4" t="s">
        <v>774</v>
      </c>
      <c r="D2190" s="7" t="s">
        <v>776</v>
      </c>
      <c r="E2190" s="4" t="s">
        <v>106</v>
      </c>
      <c r="F2190" s="2" t="str">
        <f t="shared" si="69"/>
        <v>Non-routine manual</v>
      </c>
    </row>
    <row r="2191" spans="1:6" ht="28.5" x14ac:dyDescent="0.4">
      <c r="A2191" s="3">
        <v>9122</v>
      </c>
      <c r="B2191" s="3" t="str">
        <f t="shared" si="68"/>
        <v>9</v>
      </c>
      <c r="C2191" s="4" t="s">
        <v>774</v>
      </c>
      <c r="D2191" s="7" t="s">
        <v>777</v>
      </c>
      <c r="E2191" s="4" t="s">
        <v>106</v>
      </c>
      <c r="F2191" s="2" t="str">
        <f t="shared" si="69"/>
        <v>Non-routine manual</v>
      </c>
    </row>
    <row r="2192" spans="1:6" ht="42.75" x14ac:dyDescent="0.4">
      <c r="A2192" s="3">
        <v>9129</v>
      </c>
      <c r="B2192" s="3" t="str">
        <f t="shared" si="68"/>
        <v>9</v>
      </c>
      <c r="C2192" s="4" t="s">
        <v>778</v>
      </c>
      <c r="D2192" s="8" t="s">
        <v>2759</v>
      </c>
      <c r="E2192" s="4" t="s">
        <v>106</v>
      </c>
      <c r="F2192" s="2" t="str">
        <f t="shared" si="69"/>
        <v>Non-routine manual</v>
      </c>
    </row>
    <row r="2193" spans="1:6" ht="28.5" x14ac:dyDescent="0.4">
      <c r="A2193" s="3">
        <v>9129</v>
      </c>
      <c r="B2193" s="3" t="str">
        <f t="shared" si="68"/>
        <v>9</v>
      </c>
      <c r="C2193" s="4" t="s">
        <v>778</v>
      </c>
      <c r="D2193" s="10" t="s">
        <v>2760</v>
      </c>
      <c r="E2193" s="4" t="s">
        <v>106</v>
      </c>
      <c r="F2193" s="2" t="str">
        <f t="shared" si="69"/>
        <v>Non-routine manual</v>
      </c>
    </row>
    <row r="2194" spans="1:6" ht="42.75" x14ac:dyDescent="0.4">
      <c r="A2194" s="3">
        <v>9129</v>
      </c>
      <c r="B2194" s="3" t="str">
        <f t="shared" si="68"/>
        <v>9</v>
      </c>
      <c r="C2194" s="4" t="s">
        <v>778</v>
      </c>
      <c r="D2194" s="5" t="s">
        <v>2761</v>
      </c>
      <c r="E2194" s="4" t="s">
        <v>106</v>
      </c>
      <c r="F2194" s="2" t="str">
        <f t="shared" si="69"/>
        <v>Non-routine manual</v>
      </c>
    </row>
    <row r="2195" spans="1:6" ht="42.75" x14ac:dyDescent="0.4">
      <c r="A2195" s="3">
        <v>9129</v>
      </c>
      <c r="B2195" s="3" t="str">
        <f t="shared" si="68"/>
        <v>9</v>
      </c>
      <c r="C2195" s="4" t="s">
        <v>778</v>
      </c>
      <c r="D2195" s="10" t="s">
        <v>2762</v>
      </c>
      <c r="E2195" s="4" t="s">
        <v>106</v>
      </c>
      <c r="F2195" s="2" t="str">
        <f t="shared" si="69"/>
        <v>Non-routine manual</v>
      </c>
    </row>
    <row r="2196" spans="1:6" ht="42.75" x14ac:dyDescent="0.4">
      <c r="A2196" s="3">
        <v>9129</v>
      </c>
      <c r="B2196" s="3" t="str">
        <f t="shared" si="68"/>
        <v>9</v>
      </c>
      <c r="C2196" s="4" t="s">
        <v>778</v>
      </c>
      <c r="D2196" s="10" t="s">
        <v>2763</v>
      </c>
      <c r="E2196" s="4" t="s">
        <v>106</v>
      </c>
      <c r="F2196" s="2" t="str">
        <f t="shared" si="69"/>
        <v>Non-routine manual</v>
      </c>
    </row>
    <row r="2197" spans="1:6" ht="42.75" x14ac:dyDescent="0.4">
      <c r="A2197" s="3">
        <v>9129</v>
      </c>
      <c r="B2197" s="3" t="str">
        <f t="shared" si="68"/>
        <v>9</v>
      </c>
      <c r="C2197" s="4" t="s">
        <v>778</v>
      </c>
      <c r="D2197" s="8" t="s">
        <v>2764</v>
      </c>
      <c r="E2197" s="4" t="s">
        <v>106</v>
      </c>
      <c r="F2197" s="2" t="str">
        <f t="shared" si="69"/>
        <v>Non-routine manual</v>
      </c>
    </row>
    <row r="2198" spans="1:6" ht="28.5" x14ac:dyDescent="0.4">
      <c r="A2198" s="3">
        <v>9211</v>
      </c>
      <c r="B2198" s="3" t="str">
        <f t="shared" si="68"/>
        <v>9</v>
      </c>
      <c r="C2198" s="4" t="s">
        <v>779</v>
      </c>
      <c r="D2198" s="4" t="s">
        <v>780</v>
      </c>
      <c r="E2198" s="4" t="s">
        <v>106</v>
      </c>
      <c r="F2198" s="2" t="str">
        <f t="shared" si="69"/>
        <v>Non-routine manual</v>
      </c>
    </row>
    <row r="2199" spans="1:6" ht="28.5" x14ac:dyDescent="0.4">
      <c r="A2199" s="3">
        <v>9211</v>
      </c>
      <c r="B2199" s="3" t="str">
        <f t="shared" si="68"/>
        <v>9</v>
      </c>
      <c r="C2199" s="4" t="s">
        <v>779</v>
      </c>
      <c r="D2199" s="5" t="s">
        <v>2765</v>
      </c>
      <c r="E2199" s="4" t="s">
        <v>182</v>
      </c>
      <c r="F2199" s="2" t="str">
        <f t="shared" si="69"/>
        <v>Routine manual</v>
      </c>
    </row>
    <row r="2200" spans="1:6" ht="28.5" x14ac:dyDescent="0.4">
      <c r="A2200" s="3">
        <v>9211</v>
      </c>
      <c r="B2200" s="3" t="str">
        <f t="shared" si="68"/>
        <v>9</v>
      </c>
      <c r="C2200" s="4" t="s">
        <v>779</v>
      </c>
      <c r="D2200" s="5" t="s">
        <v>2766</v>
      </c>
      <c r="E2200" s="4" t="s">
        <v>182</v>
      </c>
      <c r="F2200" s="2" t="str">
        <f t="shared" si="69"/>
        <v>Routine manual</v>
      </c>
    </row>
    <row r="2201" spans="1:6" ht="28.5" x14ac:dyDescent="0.4">
      <c r="A2201" s="3">
        <v>9211</v>
      </c>
      <c r="B2201" s="3" t="str">
        <f t="shared" si="68"/>
        <v>9</v>
      </c>
      <c r="C2201" s="4" t="s">
        <v>779</v>
      </c>
      <c r="D2201" s="5" t="s">
        <v>2767</v>
      </c>
      <c r="E2201" s="4" t="s">
        <v>106</v>
      </c>
      <c r="F2201" s="2" t="str">
        <f t="shared" si="69"/>
        <v>Non-routine manual</v>
      </c>
    </row>
    <row r="2202" spans="1:6" ht="28.5" x14ac:dyDescent="0.4">
      <c r="A2202" s="3">
        <v>9211</v>
      </c>
      <c r="B2202" s="3" t="str">
        <f t="shared" si="68"/>
        <v>9</v>
      </c>
      <c r="C2202" s="4" t="s">
        <v>779</v>
      </c>
      <c r="D2202" s="6" t="s">
        <v>781</v>
      </c>
      <c r="E2202" s="4" t="s">
        <v>106</v>
      </c>
      <c r="F2202" s="2" t="str">
        <f t="shared" si="69"/>
        <v>Non-routine manual</v>
      </c>
    </row>
    <row r="2203" spans="1:6" ht="28.5" x14ac:dyDescent="0.4">
      <c r="A2203" s="3">
        <v>9211</v>
      </c>
      <c r="B2203" s="3" t="str">
        <f t="shared" si="68"/>
        <v>9</v>
      </c>
      <c r="C2203" s="4" t="s">
        <v>779</v>
      </c>
      <c r="D2203" s="6" t="s">
        <v>782</v>
      </c>
      <c r="E2203" s="4" t="s">
        <v>106</v>
      </c>
      <c r="F2203" s="2" t="str">
        <f t="shared" si="69"/>
        <v>Non-routine manual</v>
      </c>
    </row>
    <row r="2204" spans="1:6" ht="28.5" x14ac:dyDescent="0.4">
      <c r="A2204" s="3">
        <v>9211</v>
      </c>
      <c r="B2204" s="3" t="str">
        <f t="shared" si="68"/>
        <v>9</v>
      </c>
      <c r="C2204" s="4" t="s">
        <v>779</v>
      </c>
      <c r="D2204" s="5" t="s">
        <v>2768</v>
      </c>
      <c r="E2204" s="4" t="s">
        <v>182</v>
      </c>
      <c r="F2204" s="2" t="str">
        <f t="shared" si="69"/>
        <v>Routine manual</v>
      </c>
    </row>
    <row r="2205" spans="1:6" ht="28.5" x14ac:dyDescent="0.4">
      <c r="A2205" s="3">
        <v>9211</v>
      </c>
      <c r="B2205" s="3" t="str">
        <f t="shared" si="68"/>
        <v>9</v>
      </c>
      <c r="C2205" s="4" t="s">
        <v>779</v>
      </c>
      <c r="D2205" s="8" t="s">
        <v>2769</v>
      </c>
      <c r="E2205" s="4" t="s">
        <v>106</v>
      </c>
      <c r="F2205" s="2" t="str">
        <f t="shared" si="69"/>
        <v>Non-routine manual</v>
      </c>
    </row>
    <row r="2206" spans="1:6" ht="28.5" x14ac:dyDescent="0.4">
      <c r="A2206" s="3">
        <v>9212</v>
      </c>
      <c r="B2206" s="3" t="str">
        <f t="shared" si="68"/>
        <v>9</v>
      </c>
      <c r="C2206" s="4" t="s">
        <v>783</v>
      </c>
      <c r="D2206" s="8" t="s">
        <v>2770</v>
      </c>
      <c r="E2206" s="4" t="s">
        <v>106</v>
      </c>
      <c r="F2206" s="2" t="str">
        <f t="shared" si="69"/>
        <v>Non-routine manual</v>
      </c>
    </row>
    <row r="2207" spans="1:6" ht="28.5" x14ac:dyDescent="0.4">
      <c r="A2207" s="3">
        <v>9212</v>
      </c>
      <c r="B2207" s="3" t="str">
        <f t="shared" si="68"/>
        <v>9</v>
      </c>
      <c r="C2207" s="4" t="s">
        <v>783</v>
      </c>
      <c r="D2207" s="10" t="s">
        <v>2771</v>
      </c>
      <c r="E2207" s="4" t="s">
        <v>182</v>
      </c>
      <c r="F2207" s="2" t="str">
        <f t="shared" si="69"/>
        <v>Routine manual</v>
      </c>
    </row>
    <row r="2208" spans="1:6" ht="28.5" x14ac:dyDescent="0.4">
      <c r="A2208" s="3">
        <v>9212</v>
      </c>
      <c r="B2208" s="3" t="str">
        <f t="shared" si="68"/>
        <v>9</v>
      </c>
      <c r="C2208" s="4" t="s">
        <v>783</v>
      </c>
      <c r="D2208" s="8" t="s">
        <v>2772</v>
      </c>
      <c r="E2208" s="4" t="s">
        <v>106</v>
      </c>
      <c r="F2208" s="2" t="str">
        <f t="shared" si="69"/>
        <v>Non-routine manual</v>
      </c>
    </row>
    <row r="2209" spans="1:6" x14ac:dyDescent="0.4">
      <c r="A2209" s="3">
        <v>9212</v>
      </c>
      <c r="B2209" s="3" t="str">
        <f t="shared" si="68"/>
        <v>9</v>
      </c>
      <c r="C2209" s="4" t="s">
        <v>783</v>
      </c>
      <c r="D2209" s="6" t="s">
        <v>784</v>
      </c>
      <c r="E2209" s="4" t="s">
        <v>50</v>
      </c>
      <c r="F2209" s="2" t="str">
        <f t="shared" si="69"/>
        <v>Routine cognitive</v>
      </c>
    </row>
    <row r="2210" spans="1:6" ht="28.5" x14ac:dyDescent="0.4">
      <c r="A2210" s="3">
        <v>9212</v>
      </c>
      <c r="B2210" s="3" t="str">
        <f t="shared" si="68"/>
        <v>9</v>
      </c>
      <c r="C2210" s="4" t="s">
        <v>783</v>
      </c>
      <c r="D2210" s="8" t="s">
        <v>2773</v>
      </c>
      <c r="E2210" s="4" t="s">
        <v>106</v>
      </c>
      <c r="F2210" s="2" t="str">
        <f t="shared" si="69"/>
        <v>Non-routine manual</v>
      </c>
    </row>
    <row r="2211" spans="1:6" ht="42.75" x14ac:dyDescent="0.4">
      <c r="A2211" s="3">
        <v>9212</v>
      </c>
      <c r="B2211" s="3" t="str">
        <f t="shared" si="68"/>
        <v>9</v>
      </c>
      <c r="C2211" s="4" t="s">
        <v>783</v>
      </c>
      <c r="D2211" s="5" t="s">
        <v>2774</v>
      </c>
      <c r="E2211" s="4" t="s">
        <v>106</v>
      </c>
      <c r="F2211" s="2" t="str">
        <f t="shared" si="69"/>
        <v>Non-routine manual</v>
      </c>
    </row>
    <row r="2212" spans="1:6" ht="28.5" x14ac:dyDescent="0.4">
      <c r="A2212" s="3">
        <v>9212</v>
      </c>
      <c r="B2212" s="3" t="str">
        <f t="shared" si="68"/>
        <v>9</v>
      </c>
      <c r="C2212" s="4" t="s">
        <v>783</v>
      </c>
      <c r="D2212" s="14" t="s">
        <v>785</v>
      </c>
      <c r="E2212" s="4" t="s">
        <v>106</v>
      </c>
      <c r="F2212" s="2" t="str">
        <f t="shared" si="69"/>
        <v>Non-routine manual</v>
      </c>
    </row>
    <row r="2213" spans="1:6" ht="28.5" x14ac:dyDescent="0.4">
      <c r="A2213" s="3">
        <v>9212</v>
      </c>
      <c r="B2213" s="3" t="str">
        <f t="shared" si="68"/>
        <v>9</v>
      </c>
      <c r="C2213" s="4" t="s">
        <v>783</v>
      </c>
      <c r="D2213" s="8" t="s">
        <v>2775</v>
      </c>
      <c r="E2213" s="4" t="s">
        <v>182</v>
      </c>
      <c r="F2213" s="2" t="str">
        <f t="shared" si="69"/>
        <v>Routine manual</v>
      </c>
    </row>
    <row r="2214" spans="1:6" ht="28.5" x14ac:dyDescent="0.4">
      <c r="A2214" s="3">
        <v>9212</v>
      </c>
      <c r="B2214" s="3" t="str">
        <f t="shared" si="68"/>
        <v>9</v>
      </c>
      <c r="C2214" s="4" t="s">
        <v>783</v>
      </c>
      <c r="D2214" s="11" t="s">
        <v>2776</v>
      </c>
      <c r="E2214" s="4" t="s">
        <v>182</v>
      </c>
      <c r="F2214" s="2" t="str">
        <f t="shared" si="69"/>
        <v>Routine manual</v>
      </c>
    </row>
    <row r="2215" spans="1:6" ht="28.5" x14ac:dyDescent="0.4">
      <c r="A2215" s="3">
        <v>9212</v>
      </c>
      <c r="B2215" s="3" t="str">
        <f t="shared" si="68"/>
        <v>9</v>
      </c>
      <c r="C2215" s="4" t="s">
        <v>783</v>
      </c>
      <c r="D2215" s="8" t="s">
        <v>2777</v>
      </c>
      <c r="E2215" s="4" t="s">
        <v>106</v>
      </c>
      <c r="F2215" s="2" t="str">
        <f t="shared" si="69"/>
        <v>Non-routine manual</v>
      </c>
    </row>
    <row r="2216" spans="1:6" ht="28.5" x14ac:dyDescent="0.4">
      <c r="A2216" s="3">
        <v>9213</v>
      </c>
      <c r="B2216" s="3" t="str">
        <f t="shared" si="68"/>
        <v>9</v>
      </c>
      <c r="C2216" s="5" t="s">
        <v>2778</v>
      </c>
      <c r="D2216" s="8" t="s">
        <v>2770</v>
      </c>
      <c r="E2216" s="4" t="s">
        <v>106</v>
      </c>
      <c r="F2216" s="2" t="str">
        <f t="shared" si="69"/>
        <v>Non-routine manual</v>
      </c>
    </row>
    <row r="2217" spans="1:6" ht="28.5" x14ac:dyDescent="0.4">
      <c r="A2217" s="3">
        <v>9213</v>
      </c>
      <c r="B2217" s="3" t="str">
        <f t="shared" si="68"/>
        <v>9</v>
      </c>
      <c r="C2217" s="5" t="s">
        <v>2778</v>
      </c>
      <c r="D2217" s="10" t="s">
        <v>2771</v>
      </c>
      <c r="E2217" s="4" t="s">
        <v>182</v>
      </c>
      <c r="F2217" s="2" t="str">
        <f t="shared" si="69"/>
        <v>Routine manual</v>
      </c>
    </row>
    <row r="2218" spans="1:6" ht="28.5" x14ac:dyDescent="0.4">
      <c r="A2218" s="3">
        <v>9213</v>
      </c>
      <c r="B2218" s="3" t="str">
        <f t="shared" si="68"/>
        <v>9</v>
      </c>
      <c r="C2218" s="5" t="s">
        <v>2779</v>
      </c>
      <c r="D2218" s="5" t="s">
        <v>2780</v>
      </c>
      <c r="E2218" s="4" t="s">
        <v>182</v>
      </c>
      <c r="F2218" s="2" t="str">
        <f t="shared" si="69"/>
        <v>Routine manual</v>
      </c>
    </row>
    <row r="2219" spans="1:6" ht="28.5" x14ac:dyDescent="0.4">
      <c r="A2219" s="3">
        <v>9213</v>
      </c>
      <c r="B2219" s="3" t="str">
        <f t="shared" si="68"/>
        <v>9</v>
      </c>
      <c r="C2219" s="5" t="s">
        <v>2779</v>
      </c>
      <c r="D2219" s="10" t="s">
        <v>2781</v>
      </c>
      <c r="E2219" s="4" t="s">
        <v>106</v>
      </c>
      <c r="F2219" s="2" t="str">
        <f t="shared" si="69"/>
        <v>Non-routine manual</v>
      </c>
    </row>
    <row r="2220" spans="1:6" ht="28.5" x14ac:dyDescent="0.4">
      <c r="A2220" s="3">
        <v>9213</v>
      </c>
      <c r="B2220" s="3" t="str">
        <f t="shared" si="68"/>
        <v>9</v>
      </c>
      <c r="C2220" s="5" t="s">
        <v>2779</v>
      </c>
      <c r="D2220" s="5" t="s">
        <v>2782</v>
      </c>
      <c r="E2220" s="4" t="s">
        <v>106</v>
      </c>
      <c r="F2220" s="2" t="str">
        <f t="shared" si="69"/>
        <v>Non-routine manual</v>
      </c>
    </row>
    <row r="2221" spans="1:6" ht="28.5" x14ac:dyDescent="0.4">
      <c r="A2221" s="3">
        <v>9213</v>
      </c>
      <c r="B2221" s="3" t="str">
        <f t="shared" si="68"/>
        <v>9</v>
      </c>
      <c r="C2221" s="5" t="s">
        <v>2779</v>
      </c>
      <c r="D2221" s="10" t="s">
        <v>2783</v>
      </c>
      <c r="E2221" s="4" t="s">
        <v>106</v>
      </c>
      <c r="F2221" s="2" t="str">
        <f t="shared" si="69"/>
        <v>Non-routine manual</v>
      </c>
    </row>
    <row r="2222" spans="1:6" ht="28.5" x14ac:dyDescent="0.4">
      <c r="A2222" s="3">
        <v>9213</v>
      </c>
      <c r="B2222" s="3" t="str">
        <f t="shared" si="68"/>
        <v>9</v>
      </c>
      <c r="C2222" s="4" t="s">
        <v>786</v>
      </c>
      <c r="D2222" s="8" t="s">
        <v>2784</v>
      </c>
      <c r="E2222" s="4" t="s">
        <v>106</v>
      </c>
      <c r="F2222" s="2" t="str">
        <f t="shared" si="69"/>
        <v>Non-routine manual</v>
      </c>
    </row>
    <row r="2223" spans="1:6" ht="28.5" x14ac:dyDescent="0.4">
      <c r="A2223" s="3">
        <v>9213</v>
      </c>
      <c r="B2223" s="3" t="str">
        <f t="shared" si="68"/>
        <v>9</v>
      </c>
      <c r="C2223" s="4" t="s">
        <v>786</v>
      </c>
      <c r="D2223" s="6" t="s">
        <v>787</v>
      </c>
      <c r="E2223" s="4" t="s">
        <v>50</v>
      </c>
      <c r="F2223" s="2" t="str">
        <f t="shared" si="69"/>
        <v>Routine cognitive</v>
      </c>
    </row>
    <row r="2224" spans="1:6" ht="42.75" x14ac:dyDescent="0.4">
      <c r="A2224" s="3">
        <v>9213</v>
      </c>
      <c r="B2224" s="3" t="str">
        <f t="shared" si="68"/>
        <v>9</v>
      </c>
      <c r="C2224" s="4" t="s">
        <v>786</v>
      </c>
      <c r="D2224" s="5" t="s">
        <v>2785</v>
      </c>
      <c r="E2224" s="4" t="s">
        <v>106</v>
      </c>
      <c r="F2224" s="2" t="str">
        <f t="shared" si="69"/>
        <v>Non-routine manual</v>
      </c>
    </row>
    <row r="2225" spans="1:6" ht="28.5" x14ac:dyDescent="0.4">
      <c r="A2225" s="3">
        <v>9213</v>
      </c>
      <c r="B2225" s="3" t="str">
        <f t="shared" si="68"/>
        <v>9</v>
      </c>
      <c r="C2225" s="4" t="s">
        <v>786</v>
      </c>
      <c r="D2225" s="8" t="s">
        <v>2786</v>
      </c>
      <c r="E2225" s="4" t="s">
        <v>182</v>
      </c>
      <c r="F2225" s="2" t="str">
        <f t="shared" si="69"/>
        <v>Routine manual</v>
      </c>
    </row>
    <row r="2226" spans="1:6" ht="28.5" x14ac:dyDescent="0.4">
      <c r="A2226" s="3">
        <v>9213</v>
      </c>
      <c r="B2226" s="3" t="str">
        <f t="shared" si="68"/>
        <v>9</v>
      </c>
      <c r="C2226" s="5" t="s">
        <v>2778</v>
      </c>
      <c r="D2226" s="8" t="s">
        <v>2787</v>
      </c>
      <c r="E2226" s="4" t="s">
        <v>106</v>
      </c>
      <c r="F2226" s="2" t="str">
        <f t="shared" si="69"/>
        <v>Non-routine manual</v>
      </c>
    </row>
    <row r="2227" spans="1:6" ht="28.5" x14ac:dyDescent="0.4">
      <c r="A2227" s="3">
        <v>9214</v>
      </c>
      <c r="B2227" s="3" t="str">
        <f t="shared" si="68"/>
        <v>9</v>
      </c>
      <c r="C2227" s="4" t="s">
        <v>788</v>
      </c>
      <c r="D2227" s="8" t="s">
        <v>2788</v>
      </c>
      <c r="E2227" s="4" t="s">
        <v>182</v>
      </c>
      <c r="F2227" s="2" t="str">
        <f t="shared" si="69"/>
        <v>Routine manual</v>
      </c>
    </row>
    <row r="2228" spans="1:6" ht="28.5" x14ac:dyDescent="0.4">
      <c r="A2228" s="3">
        <v>9214</v>
      </c>
      <c r="B2228" s="3" t="str">
        <f t="shared" si="68"/>
        <v>9</v>
      </c>
      <c r="C2228" s="5" t="s">
        <v>2789</v>
      </c>
      <c r="D2228" s="8" t="s">
        <v>2790</v>
      </c>
      <c r="E2228" s="4" t="s">
        <v>106</v>
      </c>
      <c r="F2228" s="2" t="str">
        <f t="shared" si="69"/>
        <v>Non-routine manual</v>
      </c>
    </row>
    <row r="2229" spans="1:6" ht="28.5" x14ac:dyDescent="0.4">
      <c r="A2229" s="3">
        <v>9214</v>
      </c>
      <c r="B2229" s="3" t="str">
        <f t="shared" si="68"/>
        <v>9</v>
      </c>
      <c r="C2229" s="5" t="s">
        <v>2789</v>
      </c>
      <c r="D2229" s="8" t="s">
        <v>2791</v>
      </c>
      <c r="E2229" s="4" t="s">
        <v>106</v>
      </c>
      <c r="F2229" s="2" t="str">
        <f t="shared" si="69"/>
        <v>Non-routine manual</v>
      </c>
    </row>
    <row r="2230" spans="1:6" ht="28.5" x14ac:dyDescent="0.4">
      <c r="A2230" s="3">
        <v>9214</v>
      </c>
      <c r="B2230" s="3" t="str">
        <f t="shared" si="68"/>
        <v>9</v>
      </c>
      <c r="C2230" s="5" t="s">
        <v>2789</v>
      </c>
      <c r="D2230" s="10" t="s">
        <v>2792</v>
      </c>
      <c r="E2230" s="4" t="s">
        <v>106</v>
      </c>
      <c r="F2230" s="2" t="str">
        <f t="shared" si="69"/>
        <v>Non-routine manual</v>
      </c>
    </row>
    <row r="2231" spans="1:6" ht="28.5" x14ac:dyDescent="0.4">
      <c r="A2231" s="3">
        <v>9214</v>
      </c>
      <c r="B2231" s="3" t="str">
        <f t="shared" si="68"/>
        <v>9</v>
      </c>
      <c r="C2231" s="5" t="s">
        <v>2793</v>
      </c>
      <c r="D2231" s="7" t="s">
        <v>789</v>
      </c>
      <c r="E2231" s="4" t="s">
        <v>106</v>
      </c>
      <c r="F2231" s="2" t="str">
        <f t="shared" si="69"/>
        <v>Non-routine manual</v>
      </c>
    </row>
    <row r="2232" spans="1:6" ht="28.5" x14ac:dyDescent="0.4">
      <c r="A2232" s="3">
        <v>9214</v>
      </c>
      <c r="B2232" s="3" t="str">
        <f t="shared" si="68"/>
        <v>9</v>
      </c>
      <c r="C2232" s="5" t="s">
        <v>2793</v>
      </c>
      <c r="D2232" s="8" t="s">
        <v>2794</v>
      </c>
      <c r="E2232" s="4" t="s">
        <v>106</v>
      </c>
      <c r="F2232" s="2" t="str">
        <f t="shared" si="69"/>
        <v>Non-routine manual</v>
      </c>
    </row>
    <row r="2233" spans="1:6" ht="28.5" x14ac:dyDescent="0.4">
      <c r="A2233" s="3">
        <v>9214</v>
      </c>
      <c r="B2233" s="3" t="str">
        <f t="shared" si="68"/>
        <v>9</v>
      </c>
      <c r="C2233" s="5" t="s">
        <v>2793</v>
      </c>
      <c r="D2233" s="7" t="s">
        <v>790</v>
      </c>
      <c r="E2233" s="4" t="s">
        <v>106</v>
      </c>
      <c r="F2233" s="2" t="str">
        <f t="shared" si="69"/>
        <v>Non-routine manual</v>
      </c>
    </row>
    <row r="2234" spans="1:6" ht="28.5" x14ac:dyDescent="0.4">
      <c r="A2234" s="3">
        <v>9214</v>
      </c>
      <c r="B2234" s="3" t="str">
        <f t="shared" si="68"/>
        <v>9</v>
      </c>
      <c r="C2234" s="5" t="s">
        <v>2793</v>
      </c>
      <c r="D2234" s="6" t="s">
        <v>791</v>
      </c>
      <c r="E2234" s="4" t="s">
        <v>182</v>
      </c>
      <c r="F2234" s="2" t="str">
        <f t="shared" si="69"/>
        <v>Routine manual</v>
      </c>
    </row>
    <row r="2235" spans="1:6" ht="28.5" x14ac:dyDescent="0.4">
      <c r="A2235" s="3">
        <v>9214</v>
      </c>
      <c r="B2235" s="3" t="str">
        <f t="shared" si="68"/>
        <v>9</v>
      </c>
      <c r="C2235" s="4" t="s">
        <v>788</v>
      </c>
      <c r="D2235" s="6" t="s">
        <v>792</v>
      </c>
      <c r="E2235" s="4" t="s">
        <v>106</v>
      </c>
      <c r="F2235" s="2" t="str">
        <f t="shared" si="69"/>
        <v>Non-routine manual</v>
      </c>
    </row>
    <row r="2236" spans="1:6" ht="28.5" x14ac:dyDescent="0.4">
      <c r="A2236" s="3">
        <v>9215</v>
      </c>
      <c r="B2236" s="3" t="str">
        <f t="shared" si="68"/>
        <v>9</v>
      </c>
      <c r="C2236" s="4" t="s">
        <v>793</v>
      </c>
      <c r="D2236" s="7" t="s">
        <v>794</v>
      </c>
      <c r="E2236" s="4" t="s">
        <v>106</v>
      </c>
      <c r="F2236" s="2" t="str">
        <f t="shared" si="69"/>
        <v>Non-routine manual</v>
      </c>
    </row>
    <row r="2237" spans="1:6" x14ac:dyDescent="0.4">
      <c r="A2237" s="3">
        <v>9215</v>
      </c>
      <c r="B2237" s="3" t="str">
        <f t="shared" si="68"/>
        <v>9</v>
      </c>
      <c r="C2237" s="4" t="s">
        <v>793</v>
      </c>
      <c r="D2237" s="6" t="s">
        <v>795</v>
      </c>
      <c r="E2237" s="4" t="s">
        <v>182</v>
      </c>
      <c r="F2237" s="2" t="str">
        <f t="shared" si="69"/>
        <v>Routine manual</v>
      </c>
    </row>
    <row r="2238" spans="1:6" ht="28.5" x14ac:dyDescent="0.4">
      <c r="A2238" s="3">
        <v>9215</v>
      </c>
      <c r="B2238" s="3" t="str">
        <f t="shared" si="68"/>
        <v>9</v>
      </c>
      <c r="C2238" s="4" t="s">
        <v>793</v>
      </c>
      <c r="D2238" s="8" t="s">
        <v>2795</v>
      </c>
      <c r="E2238" s="4" t="s">
        <v>106</v>
      </c>
      <c r="F2238" s="2" t="str">
        <f t="shared" si="69"/>
        <v>Non-routine manual</v>
      </c>
    </row>
    <row r="2239" spans="1:6" ht="28.5" x14ac:dyDescent="0.4">
      <c r="A2239" s="3">
        <v>9215</v>
      </c>
      <c r="B2239" s="3" t="str">
        <f t="shared" si="68"/>
        <v>9</v>
      </c>
      <c r="C2239" s="4" t="s">
        <v>793</v>
      </c>
      <c r="D2239" s="6" t="s">
        <v>796</v>
      </c>
      <c r="E2239" s="4" t="s">
        <v>106</v>
      </c>
      <c r="F2239" s="2" t="str">
        <f t="shared" si="69"/>
        <v>Non-routine manual</v>
      </c>
    </row>
    <row r="2240" spans="1:6" ht="42.75" x14ac:dyDescent="0.4">
      <c r="A2240" s="3">
        <v>9215</v>
      </c>
      <c r="B2240" s="3" t="str">
        <f t="shared" si="68"/>
        <v>9</v>
      </c>
      <c r="C2240" s="4" t="s">
        <v>793</v>
      </c>
      <c r="D2240" s="5" t="s">
        <v>2796</v>
      </c>
      <c r="E2240" s="4" t="s">
        <v>106</v>
      </c>
      <c r="F2240" s="2" t="str">
        <f t="shared" si="69"/>
        <v>Non-routine manual</v>
      </c>
    </row>
    <row r="2241" spans="1:6" ht="42.75" x14ac:dyDescent="0.4">
      <c r="A2241" s="3">
        <v>9215</v>
      </c>
      <c r="B2241" s="3" t="str">
        <f t="shared" si="68"/>
        <v>9</v>
      </c>
      <c r="C2241" s="4" t="s">
        <v>793</v>
      </c>
      <c r="D2241" s="5" t="s">
        <v>2797</v>
      </c>
      <c r="E2241" s="4" t="s">
        <v>106</v>
      </c>
      <c r="F2241" s="2" t="str">
        <f t="shared" si="69"/>
        <v>Non-routine manual</v>
      </c>
    </row>
    <row r="2242" spans="1:6" ht="28.5" x14ac:dyDescent="0.4">
      <c r="A2242" s="3">
        <v>9215</v>
      </c>
      <c r="B2242" s="3" t="str">
        <f t="shared" si="68"/>
        <v>9</v>
      </c>
      <c r="C2242" s="4" t="s">
        <v>793</v>
      </c>
      <c r="D2242" s="14" t="s">
        <v>797</v>
      </c>
      <c r="E2242" s="4" t="s">
        <v>106</v>
      </c>
      <c r="F2242" s="2" t="str">
        <f t="shared" si="69"/>
        <v>Non-routine manual</v>
      </c>
    </row>
    <row r="2243" spans="1:6" ht="42.75" x14ac:dyDescent="0.4">
      <c r="A2243" s="3">
        <v>9215</v>
      </c>
      <c r="B2243" s="3" t="str">
        <f t="shared" ref="B2243:B2306" si="70">LEFT(A2243,1)</f>
        <v>9</v>
      </c>
      <c r="C2243" s="4" t="s">
        <v>793</v>
      </c>
      <c r="D2243" s="5" t="s">
        <v>2798</v>
      </c>
      <c r="E2243" s="4" t="s">
        <v>106</v>
      </c>
      <c r="F2243" s="2" t="str">
        <f t="shared" ref="F2243:F2306" si="71">IF(E2243="Non-routine interpersonal","Non-routine cognitive",IF(E2243="Non-routine analytical","Non-routine cognitive",IF(E2243="Non-routine manual physical","Non-routine manual",E2243)))</f>
        <v>Non-routine manual</v>
      </c>
    </row>
    <row r="2244" spans="1:6" ht="28.5" x14ac:dyDescent="0.4">
      <c r="A2244" s="3">
        <v>9216</v>
      </c>
      <c r="B2244" s="3" t="str">
        <f t="shared" si="70"/>
        <v>9</v>
      </c>
      <c r="C2244" s="5" t="s">
        <v>2799</v>
      </c>
      <c r="D2244" s="5" t="s">
        <v>2800</v>
      </c>
      <c r="E2244" s="4" t="s">
        <v>106</v>
      </c>
      <c r="F2244" s="2" t="str">
        <f t="shared" si="71"/>
        <v>Non-routine manual</v>
      </c>
    </row>
    <row r="2245" spans="1:6" ht="28.5" x14ac:dyDescent="0.4">
      <c r="A2245" s="3">
        <v>9216</v>
      </c>
      <c r="B2245" s="3" t="str">
        <f t="shared" si="70"/>
        <v>9</v>
      </c>
      <c r="C2245" s="5" t="s">
        <v>2799</v>
      </c>
      <c r="D2245" s="5" t="s">
        <v>2801</v>
      </c>
      <c r="E2245" s="4" t="s">
        <v>106</v>
      </c>
      <c r="F2245" s="2" t="str">
        <f t="shared" si="71"/>
        <v>Non-routine manual</v>
      </c>
    </row>
    <row r="2246" spans="1:6" ht="28.5" x14ac:dyDescent="0.4">
      <c r="A2246" s="3">
        <v>9216</v>
      </c>
      <c r="B2246" s="3" t="str">
        <f t="shared" si="70"/>
        <v>9</v>
      </c>
      <c r="C2246" s="5" t="s">
        <v>2802</v>
      </c>
      <c r="D2246" s="8" t="s">
        <v>2803</v>
      </c>
      <c r="E2246" s="4" t="s">
        <v>106</v>
      </c>
      <c r="F2246" s="2" t="str">
        <f t="shared" si="71"/>
        <v>Non-routine manual</v>
      </c>
    </row>
    <row r="2247" spans="1:6" ht="28.5" x14ac:dyDescent="0.4">
      <c r="A2247" s="3">
        <v>9216</v>
      </c>
      <c r="B2247" s="3" t="str">
        <f t="shared" si="70"/>
        <v>9</v>
      </c>
      <c r="C2247" s="5" t="s">
        <v>2802</v>
      </c>
      <c r="D2247" s="6" t="s">
        <v>798</v>
      </c>
      <c r="E2247" s="4" t="s">
        <v>106</v>
      </c>
      <c r="F2247" s="2" t="str">
        <f t="shared" si="71"/>
        <v>Non-routine manual</v>
      </c>
    </row>
    <row r="2248" spans="1:6" ht="42.75" x14ac:dyDescent="0.4">
      <c r="A2248" s="3">
        <v>9216</v>
      </c>
      <c r="B2248" s="3" t="str">
        <f t="shared" si="70"/>
        <v>9</v>
      </c>
      <c r="C2248" s="4" t="s">
        <v>799</v>
      </c>
      <c r="D2248" s="5" t="s">
        <v>2804</v>
      </c>
      <c r="E2248" s="4" t="s">
        <v>106</v>
      </c>
      <c r="F2248" s="2" t="str">
        <f t="shared" si="71"/>
        <v>Non-routine manual</v>
      </c>
    </row>
    <row r="2249" spans="1:6" ht="28.5" x14ac:dyDescent="0.4">
      <c r="A2249" s="3">
        <v>9216</v>
      </c>
      <c r="B2249" s="3" t="str">
        <f t="shared" si="70"/>
        <v>9</v>
      </c>
      <c r="C2249" s="5" t="s">
        <v>2802</v>
      </c>
      <c r="D2249" s="7" t="s">
        <v>800</v>
      </c>
      <c r="E2249" s="4" t="s">
        <v>106</v>
      </c>
      <c r="F2249" s="2" t="str">
        <f t="shared" si="71"/>
        <v>Non-routine manual</v>
      </c>
    </row>
    <row r="2250" spans="1:6" ht="28.5" x14ac:dyDescent="0.4">
      <c r="A2250" s="3">
        <v>9216</v>
      </c>
      <c r="B2250" s="3" t="str">
        <f t="shared" si="70"/>
        <v>9</v>
      </c>
      <c r="C2250" s="4" t="s">
        <v>799</v>
      </c>
      <c r="D2250" s="6" t="s">
        <v>801</v>
      </c>
      <c r="E2250" s="4" t="s">
        <v>106</v>
      </c>
      <c r="F2250" s="2" t="str">
        <f t="shared" si="71"/>
        <v>Non-routine manual</v>
      </c>
    </row>
    <row r="2251" spans="1:6" ht="28.5" x14ac:dyDescent="0.4">
      <c r="A2251" s="3">
        <v>9311</v>
      </c>
      <c r="B2251" s="3" t="str">
        <f t="shared" si="70"/>
        <v>9</v>
      </c>
      <c r="C2251" s="4" t="s">
        <v>802</v>
      </c>
      <c r="D2251" s="8" t="s">
        <v>2805</v>
      </c>
      <c r="E2251" s="4" t="s">
        <v>106</v>
      </c>
      <c r="F2251" s="2" t="str">
        <f t="shared" si="71"/>
        <v>Non-routine manual</v>
      </c>
    </row>
    <row r="2252" spans="1:6" ht="28.5" x14ac:dyDescent="0.4">
      <c r="A2252" s="3">
        <v>9311</v>
      </c>
      <c r="B2252" s="3" t="str">
        <f t="shared" si="70"/>
        <v>9</v>
      </c>
      <c r="C2252" s="4" t="s">
        <v>802</v>
      </c>
      <c r="D2252" s="23" t="s">
        <v>2806</v>
      </c>
      <c r="E2252" s="4" t="s">
        <v>106</v>
      </c>
      <c r="F2252" s="2" t="str">
        <f t="shared" si="71"/>
        <v>Non-routine manual</v>
      </c>
    </row>
    <row r="2253" spans="1:6" ht="28.5" x14ac:dyDescent="0.4">
      <c r="A2253" s="3">
        <v>9311</v>
      </c>
      <c r="B2253" s="3" t="str">
        <f t="shared" si="70"/>
        <v>9</v>
      </c>
      <c r="C2253" s="5" t="s">
        <v>2807</v>
      </c>
      <c r="D2253" s="8" t="s">
        <v>2808</v>
      </c>
      <c r="E2253" s="4" t="s">
        <v>106</v>
      </c>
      <c r="F2253" s="2" t="str">
        <f t="shared" si="71"/>
        <v>Non-routine manual</v>
      </c>
    </row>
    <row r="2254" spans="1:6" ht="28.5" x14ac:dyDescent="0.4">
      <c r="A2254" s="3">
        <v>9311</v>
      </c>
      <c r="B2254" s="3" t="str">
        <f t="shared" si="70"/>
        <v>9</v>
      </c>
      <c r="C2254" s="5" t="s">
        <v>2807</v>
      </c>
      <c r="D2254" s="10" t="s">
        <v>2809</v>
      </c>
      <c r="E2254" s="4" t="s">
        <v>106</v>
      </c>
      <c r="F2254" s="2" t="str">
        <f t="shared" si="71"/>
        <v>Non-routine manual</v>
      </c>
    </row>
    <row r="2255" spans="1:6" ht="42.75" x14ac:dyDescent="0.4">
      <c r="A2255" s="3">
        <v>9311</v>
      </c>
      <c r="B2255" s="3" t="str">
        <f t="shared" si="70"/>
        <v>9</v>
      </c>
      <c r="C2255" s="4" t="s">
        <v>802</v>
      </c>
      <c r="D2255" s="8" t="s">
        <v>2810</v>
      </c>
      <c r="E2255" s="4" t="s">
        <v>106</v>
      </c>
      <c r="F2255" s="2" t="str">
        <f t="shared" si="71"/>
        <v>Non-routine manual</v>
      </c>
    </row>
    <row r="2256" spans="1:6" ht="28.5" x14ac:dyDescent="0.4">
      <c r="A2256" s="3">
        <v>9311</v>
      </c>
      <c r="B2256" s="3" t="str">
        <f t="shared" si="70"/>
        <v>9</v>
      </c>
      <c r="C2256" s="5" t="s">
        <v>2807</v>
      </c>
      <c r="D2256" s="10" t="s">
        <v>2811</v>
      </c>
      <c r="E2256" s="4" t="s">
        <v>106</v>
      </c>
      <c r="F2256" s="2" t="str">
        <f t="shared" si="71"/>
        <v>Non-routine manual</v>
      </c>
    </row>
    <row r="2257" spans="1:6" ht="42.75" x14ac:dyDescent="0.4">
      <c r="A2257" s="3">
        <v>9311</v>
      </c>
      <c r="B2257" s="3" t="str">
        <f t="shared" si="70"/>
        <v>9</v>
      </c>
      <c r="C2257" s="4" t="s">
        <v>802</v>
      </c>
      <c r="D2257" s="8" t="s">
        <v>2812</v>
      </c>
      <c r="E2257" s="4" t="s">
        <v>182</v>
      </c>
      <c r="F2257" s="2" t="str">
        <f t="shared" si="71"/>
        <v>Routine manual</v>
      </c>
    </row>
    <row r="2258" spans="1:6" ht="28.5" x14ac:dyDescent="0.4">
      <c r="A2258" s="3">
        <v>9312</v>
      </c>
      <c r="B2258" s="3" t="str">
        <f t="shared" si="70"/>
        <v>9</v>
      </c>
      <c r="C2258" s="4" t="s">
        <v>803</v>
      </c>
      <c r="D2258" s="8" t="s">
        <v>2813</v>
      </c>
      <c r="E2258" s="4" t="s">
        <v>106</v>
      </c>
      <c r="F2258" s="2" t="str">
        <f t="shared" si="71"/>
        <v>Non-routine manual</v>
      </c>
    </row>
    <row r="2259" spans="1:6" ht="28.5" x14ac:dyDescent="0.4">
      <c r="A2259" s="3">
        <v>9312</v>
      </c>
      <c r="B2259" s="3" t="str">
        <f t="shared" si="70"/>
        <v>9</v>
      </c>
      <c r="C2259" s="4" t="s">
        <v>803</v>
      </c>
      <c r="D2259" s="6" t="s">
        <v>804</v>
      </c>
      <c r="E2259" s="4" t="s">
        <v>106</v>
      </c>
      <c r="F2259" s="2" t="str">
        <f t="shared" si="71"/>
        <v>Non-routine manual</v>
      </c>
    </row>
    <row r="2260" spans="1:6" ht="28.5" x14ac:dyDescent="0.4">
      <c r="A2260" s="3">
        <v>9312</v>
      </c>
      <c r="B2260" s="3" t="str">
        <f t="shared" si="70"/>
        <v>9</v>
      </c>
      <c r="C2260" s="4" t="s">
        <v>803</v>
      </c>
      <c r="D2260" s="8" t="s">
        <v>2814</v>
      </c>
      <c r="E2260" s="4" t="s">
        <v>106</v>
      </c>
      <c r="F2260" s="2" t="str">
        <f t="shared" si="71"/>
        <v>Non-routine manual</v>
      </c>
    </row>
    <row r="2261" spans="1:6" ht="57" x14ac:dyDescent="0.4">
      <c r="A2261" s="3">
        <v>9312</v>
      </c>
      <c r="B2261" s="3" t="str">
        <f t="shared" si="70"/>
        <v>9</v>
      </c>
      <c r="C2261" s="4" t="s">
        <v>803</v>
      </c>
      <c r="D2261" s="5" t="s">
        <v>2815</v>
      </c>
      <c r="E2261" s="4" t="s">
        <v>182</v>
      </c>
      <c r="F2261" s="2" t="str">
        <f t="shared" si="71"/>
        <v>Routine manual</v>
      </c>
    </row>
    <row r="2262" spans="1:6" ht="28.5" x14ac:dyDescent="0.4">
      <c r="A2262" s="3">
        <v>9312</v>
      </c>
      <c r="B2262" s="3" t="str">
        <f t="shared" si="70"/>
        <v>9</v>
      </c>
      <c r="C2262" s="4" t="s">
        <v>803</v>
      </c>
      <c r="D2262" s="7" t="s">
        <v>805</v>
      </c>
      <c r="E2262" s="4" t="s">
        <v>106</v>
      </c>
      <c r="F2262" s="2" t="str">
        <f t="shared" si="71"/>
        <v>Non-routine manual</v>
      </c>
    </row>
    <row r="2263" spans="1:6" ht="28.5" x14ac:dyDescent="0.4">
      <c r="A2263" s="3">
        <v>9313</v>
      </c>
      <c r="B2263" s="3" t="str">
        <f t="shared" si="70"/>
        <v>9</v>
      </c>
      <c r="C2263" s="4" t="s">
        <v>806</v>
      </c>
      <c r="D2263" s="8" t="s">
        <v>2816</v>
      </c>
      <c r="E2263" s="4" t="s">
        <v>106</v>
      </c>
      <c r="F2263" s="2" t="str">
        <f t="shared" si="71"/>
        <v>Non-routine manual</v>
      </c>
    </row>
    <row r="2264" spans="1:6" ht="28.5" x14ac:dyDescent="0.4">
      <c r="A2264" s="3">
        <v>9313</v>
      </c>
      <c r="B2264" s="3" t="str">
        <f t="shared" si="70"/>
        <v>9</v>
      </c>
      <c r="C2264" s="4" t="s">
        <v>806</v>
      </c>
      <c r="D2264" s="6" t="s">
        <v>807</v>
      </c>
      <c r="E2264" s="4" t="s">
        <v>106</v>
      </c>
      <c r="F2264" s="2" t="str">
        <f t="shared" si="71"/>
        <v>Non-routine manual</v>
      </c>
    </row>
    <row r="2265" spans="1:6" ht="28.5" x14ac:dyDescent="0.4">
      <c r="A2265" s="3">
        <v>9313</v>
      </c>
      <c r="B2265" s="3" t="str">
        <f t="shared" si="70"/>
        <v>9</v>
      </c>
      <c r="C2265" s="4" t="s">
        <v>806</v>
      </c>
      <c r="D2265" s="8" t="s">
        <v>2817</v>
      </c>
      <c r="E2265" s="4" t="s">
        <v>106</v>
      </c>
      <c r="F2265" s="2" t="str">
        <f t="shared" si="71"/>
        <v>Non-routine manual</v>
      </c>
    </row>
    <row r="2266" spans="1:6" ht="28.5" x14ac:dyDescent="0.4">
      <c r="A2266" s="3">
        <v>9313</v>
      </c>
      <c r="B2266" s="3" t="str">
        <f t="shared" si="70"/>
        <v>9</v>
      </c>
      <c r="C2266" s="5" t="s">
        <v>2818</v>
      </c>
      <c r="D2266" s="6" t="s">
        <v>808</v>
      </c>
      <c r="E2266" s="4" t="s">
        <v>106</v>
      </c>
      <c r="F2266" s="2" t="str">
        <f t="shared" si="71"/>
        <v>Non-routine manual</v>
      </c>
    </row>
    <row r="2267" spans="1:6" ht="57" x14ac:dyDescent="0.4">
      <c r="A2267" s="3">
        <v>9313</v>
      </c>
      <c r="B2267" s="3" t="str">
        <f t="shared" si="70"/>
        <v>9</v>
      </c>
      <c r="C2267" s="4" t="s">
        <v>806</v>
      </c>
      <c r="D2267" s="5" t="s">
        <v>2819</v>
      </c>
      <c r="E2267" s="4" t="s">
        <v>182</v>
      </c>
      <c r="F2267" s="2" t="str">
        <f t="shared" si="71"/>
        <v>Routine manual</v>
      </c>
    </row>
    <row r="2268" spans="1:6" ht="28.5" x14ac:dyDescent="0.4">
      <c r="A2268" s="3">
        <v>9313</v>
      </c>
      <c r="B2268" s="3" t="str">
        <f t="shared" si="70"/>
        <v>9</v>
      </c>
      <c r="C2268" s="5" t="s">
        <v>2818</v>
      </c>
      <c r="D2268" s="7" t="s">
        <v>809</v>
      </c>
      <c r="E2268" s="4" t="s">
        <v>106</v>
      </c>
      <c r="F2268" s="2" t="str">
        <f t="shared" si="71"/>
        <v>Non-routine manual</v>
      </c>
    </row>
    <row r="2269" spans="1:6" ht="28.5" x14ac:dyDescent="0.4">
      <c r="A2269" s="3">
        <v>9321</v>
      </c>
      <c r="B2269" s="3" t="str">
        <f t="shared" si="70"/>
        <v>9</v>
      </c>
      <c r="C2269" s="4" t="s">
        <v>810</v>
      </c>
      <c r="D2269" s="8" t="s">
        <v>2820</v>
      </c>
      <c r="E2269" s="4" t="s">
        <v>182</v>
      </c>
      <c r="F2269" s="2" t="str">
        <f t="shared" si="71"/>
        <v>Routine manual</v>
      </c>
    </row>
    <row r="2270" spans="1:6" x14ac:dyDescent="0.4">
      <c r="A2270" s="3">
        <v>9321</v>
      </c>
      <c r="B2270" s="3" t="str">
        <f t="shared" si="70"/>
        <v>9</v>
      </c>
      <c r="C2270" s="4" t="s">
        <v>810</v>
      </c>
      <c r="D2270" s="4" t="s">
        <v>811</v>
      </c>
      <c r="E2270" s="4" t="s">
        <v>182</v>
      </c>
      <c r="F2270" s="2" t="str">
        <f t="shared" si="71"/>
        <v>Routine manual</v>
      </c>
    </row>
    <row r="2271" spans="1:6" ht="28.5" x14ac:dyDescent="0.4">
      <c r="A2271" s="3">
        <v>9321</v>
      </c>
      <c r="B2271" s="3" t="str">
        <f t="shared" si="70"/>
        <v>9</v>
      </c>
      <c r="C2271" s="4" t="s">
        <v>810</v>
      </c>
      <c r="D2271" s="5" t="s">
        <v>2821</v>
      </c>
      <c r="E2271" s="4" t="s">
        <v>182</v>
      </c>
      <c r="F2271" s="2" t="str">
        <f t="shared" si="71"/>
        <v>Routine manual</v>
      </c>
    </row>
    <row r="2272" spans="1:6" ht="28.5" x14ac:dyDescent="0.4">
      <c r="A2272" s="3">
        <v>9329</v>
      </c>
      <c r="B2272" s="3" t="str">
        <f t="shared" si="70"/>
        <v>9</v>
      </c>
      <c r="C2272" s="4" t="s">
        <v>812</v>
      </c>
      <c r="D2272" s="8" t="s">
        <v>2822</v>
      </c>
      <c r="E2272" s="4" t="s">
        <v>106</v>
      </c>
      <c r="F2272" s="2" t="str">
        <f t="shared" si="71"/>
        <v>Non-routine manual</v>
      </c>
    </row>
    <row r="2273" spans="1:6" ht="28.5" x14ac:dyDescent="0.4">
      <c r="A2273" s="3">
        <v>9329</v>
      </c>
      <c r="B2273" s="3" t="str">
        <f t="shared" si="70"/>
        <v>9</v>
      </c>
      <c r="C2273" s="4" t="s">
        <v>812</v>
      </c>
      <c r="D2273" s="6" t="s">
        <v>813</v>
      </c>
      <c r="E2273" s="4" t="s">
        <v>182</v>
      </c>
      <c r="F2273" s="2" t="str">
        <f t="shared" si="71"/>
        <v>Routine manual</v>
      </c>
    </row>
    <row r="2274" spans="1:6" ht="28.5" x14ac:dyDescent="0.4">
      <c r="A2274" s="3">
        <v>9329</v>
      </c>
      <c r="B2274" s="3" t="str">
        <f t="shared" si="70"/>
        <v>9</v>
      </c>
      <c r="C2274" s="4" t="s">
        <v>812</v>
      </c>
      <c r="D2274" s="10" t="s">
        <v>2823</v>
      </c>
      <c r="E2274" s="4" t="s">
        <v>106</v>
      </c>
      <c r="F2274" s="2" t="str">
        <f t="shared" si="71"/>
        <v>Non-routine manual</v>
      </c>
    </row>
    <row r="2275" spans="1:6" ht="28.5" x14ac:dyDescent="0.4">
      <c r="A2275" s="3">
        <v>9329</v>
      </c>
      <c r="B2275" s="3" t="str">
        <f t="shared" si="70"/>
        <v>9</v>
      </c>
      <c r="C2275" s="4" t="s">
        <v>812</v>
      </c>
      <c r="D2275" s="11" t="s">
        <v>2824</v>
      </c>
      <c r="E2275" s="4" t="s">
        <v>182</v>
      </c>
      <c r="F2275" s="2" t="str">
        <f t="shared" si="71"/>
        <v>Routine manual</v>
      </c>
    </row>
    <row r="2276" spans="1:6" ht="28.5" x14ac:dyDescent="0.4">
      <c r="A2276" s="3">
        <v>9331</v>
      </c>
      <c r="B2276" s="3" t="str">
        <f t="shared" si="70"/>
        <v>9</v>
      </c>
      <c r="C2276" s="4" t="s">
        <v>814</v>
      </c>
      <c r="D2276" s="6" t="s">
        <v>815</v>
      </c>
      <c r="E2276" s="4" t="s">
        <v>182</v>
      </c>
      <c r="F2276" s="2" t="str">
        <f t="shared" si="71"/>
        <v>Routine manual</v>
      </c>
    </row>
    <row r="2277" spans="1:6" ht="42.75" x14ac:dyDescent="0.4">
      <c r="A2277" s="3">
        <v>9331</v>
      </c>
      <c r="B2277" s="3" t="str">
        <f t="shared" si="70"/>
        <v>9</v>
      </c>
      <c r="C2277" s="4" t="s">
        <v>814</v>
      </c>
      <c r="D2277" s="10" t="s">
        <v>2825</v>
      </c>
      <c r="E2277" s="4" t="s">
        <v>106</v>
      </c>
      <c r="F2277" s="2" t="str">
        <f t="shared" si="71"/>
        <v>Non-routine manual</v>
      </c>
    </row>
    <row r="2278" spans="1:6" ht="28.5" x14ac:dyDescent="0.4">
      <c r="A2278" s="3">
        <v>9331</v>
      </c>
      <c r="B2278" s="3" t="str">
        <f t="shared" si="70"/>
        <v>9</v>
      </c>
      <c r="C2278" s="4" t="s">
        <v>814</v>
      </c>
      <c r="D2278" s="8" t="s">
        <v>2826</v>
      </c>
      <c r="E2278" s="4" t="s">
        <v>50</v>
      </c>
      <c r="F2278" s="2" t="str">
        <f t="shared" si="71"/>
        <v>Routine cognitive</v>
      </c>
    </row>
    <row r="2279" spans="1:6" ht="28.5" x14ac:dyDescent="0.4">
      <c r="A2279" s="3">
        <v>9331</v>
      </c>
      <c r="B2279" s="3" t="str">
        <f t="shared" si="70"/>
        <v>9</v>
      </c>
      <c r="C2279" s="4" t="s">
        <v>814</v>
      </c>
      <c r="D2279" s="8" t="s">
        <v>2827</v>
      </c>
      <c r="E2279" s="4" t="s">
        <v>106</v>
      </c>
      <c r="F2279" s="2" t="str">
        <f t="shared" si="71"/>
        <v>Non-routine manual</v>
      </c>
    </row>
    <row r="2280" spans="1:6" x14ac:dyDescent="0.4">
      <c r="A2280" s="3">
        <v>9331</v>
      </c>
      <c r="B2280" s="3" t="str">
        <f t="shared" si="70"/>
        <v>9</v>
      </c>
      <c r="C2280" s="4" t="s">
        <v>814</v>
      </c>
      <c r="D2280" s="4" t="s">
        <v>816</v>
      </c>
      <c r="E2280" s="4" t="s">
        <v>50</v>
      </c>
      <c r="F2280" s="2" t="str">
        <f t="shared" si="71"/>
        <v>Routine cognitive</v>
      </c>
    </row>
    <row r="2281" spans="1:6" ht="28.5" x14ac:dyDescent="0.4">
      <c r="A2281" s="3">
        <v>9332</v>
      </c>
      <c r="B2281" s="3" t="str">
        <f t="shared" si="70"/>
        <v>9</v>
      </c>
      <c r="C2281" s="4" t="s">
        <v>817</v>
      </c>
      <c r="D2281" s="8" t="s">
        <v>2828</v>
      </c>
      <c r="E2281" s="4" t="s">
        <v>106</v>
      </c>
      <c r="F2281" s="2" t="str">
        <f t="shared" si="71"/>
        <v>Non-routine manual</v>
      </c>
    </row>
    <row r="2282" spans="1:6" ht="28.5" x14ac:dyDescent="0.4">
      <c r="A2282" s="3">
        <v>9332</v>
      </c>
      <c r="B2282" s="3" t="str">
        <f t="shared" si="70"/>
        <v>9</v>
      </c>
      <c r="C2282" s="4" t="s">
        <v>817</v>
      </c>
      <c r="D2282" s="6" t="s">
        <v>818</v>
      </c>
      <c r="E2282" s="4" t="s">
        <v>182</v>
      </c>
      <c r="F2282" s="2" t="str">
        <f t="shared" si="71"/>
        <v>Routine manual</v>
      </c>
    </row>
    <row r="2283" spans="1:6" ht="42.75" x14ac:dyDescent="0.4">
      <c r="A2283" s="3">
        <v>9332</v>
      </c>
      <c r="B2283" s="3" t="str">
        <f t="shared" si="70"/>
        <v>9</v>
      </c>
      <c r="C2283" s="4" t="s">
        <v>817</v>
      </c>
      <c r="D2283" s="10" t="s">
        <v>2829</v>
      </c>
      <c r="E2283" s="4" t="s">
        <v>106</v>
      </c>
      <c r="F2283" s="2" t="str">
        <f t="shared" si="71"/>
        <v>Non-routine manual</v>
      </c>
    </row>
    <row r="2284" spans="1:6" ht="28.5" x14ac:dyDescent="0.4">
      <c r="A2284" s="3">
        <v>9332</v>
      </c>
      <c r="B2284" s="3" t="str">
        <f t="shared" si="70"/>
        <v>9</v>
      </c>
      <c r="C2284" s="4" t="s">
        <v>817</v>
      </c>
      <c r="D2284" s="14" t="s">
        <v>819</v>
      </c>
      <c r="E2284" s="4" t="s">
        <v>50</v>
      </c>
      <c r="F2284" s="2" t="str">
        <f t="shared" si="71"/>
        <v>Routine cognitive</v>
      </c>
    </row>
    <row r="2285" spans="1:6" ht="28.5" x14ac:dyDescent="0.4">
      <c r="A2285" s="3">
        <v>9332</v>
      </c>
      <c r="B2285" s="3" t="str">
        <f t="shared" si="70"/>
        <v>9</v>
      </c>
      <c r="C2285" s="4" t="s">
        <v>817</v>
      </c>
      <c r="D2285" s="6" t="s">
        <v>820</v>
      </c>
      <c r="E2285" s="4" t="s">
        <v>106</v>
      </c>
      <c r="F2285" s="2" t="str">
        <f t="shared" si="71"/>
        <v>Non-routine manual</v>
      </c>
    </row>
    <row r="2286" spans="1:6" ht="28.5" x14ac:dyDescent="0.4">
      <c r="A2286" s="3">
        <v>9332</v>
      </c>
      <c r="B2286" s="3" t="str">
        <f t="shared" si="70"/>
        <v>9</v>
      </c>
      <c r="C2286" s="4" t="s">
        <v>817</v>
      </c>
      <c r="D2286" s="6" t="s">
        <v>821</v>
      </c>
      <c r="E2286" s="4" t="s">
        <v>106</v>
      </c>
      <c r="F2286" s="2" t="str">
        <f t="shared" si="71"/>
        <v>Non-routine manual</v>
      </c>
    </row>
    <row r="2287" spans="1:6" ht="28.5" x14ac:dyDescent="0.4">
      <c r="A2287" s="3">
        <v>9332</v>
      </c>
      <c r="B2287" s="3" t="str">
        <f t="shared" si="70"/>
        <v>9</v>
      </c>
      <c r="C2287" s="4" t="s">
        <v>817</v>
      </c>
      <c r="D2287" s="13" t="s">
        <v>822</v>
      </c>
      <c r="E2287" s="4" t="s">
        <v>106</v>
      </c>
      <c r="F2287" s="2" t="str">
        <f t="shared" si="71"/>
        <v>Non-routine manual</v>
      </c>
    </row>
    <row r="2288" spans="1:6" ht="28.5" x14ac:dyDescent="0.4">
      <c r="A2288" s="3">
        <v>9332</v>
      </c>
      <c r="B2288" s="3" t="str">
        <f t="shared" si="70"/>
        <v>9</v>
      </c>
      <c r="C2288" s="4" t="s">
        <v>817</v>
      </c>
      <c r="D2288" s="10" t="s">
        <v>2830</v>
      </c>
      <c r="E2288" s="4" t="s">
        <v>106</v>
      </c>
      <c r="F2288" s="2" t="str">
        <f t="shared" si="71"/>
        <v>Non-routine manual</v>
      </c>
    </row>
    <row r="2289" spans="1:6" ht="28.5" x14ac:dyDescent="0.4">
      <c r="A2289" s="3">
        <v>9332</v>
      </c>
      <c r="B2289" s="3" t="str">
        <f t="shared" si="70"/>
        <v>9</v>
      </c>
      <c r="C2289" s="4" t="s">
        <v>817</v>
      </c>
      <c r="D2289" s="7" t="s">
        <v>823</v>
      </c>
      <c r="E2289" s="4" t="s">
        <v>106</v>
      </c>
      <c r="F2289" s="2" t="str">
        <f t="shared" si="71"/>
        <v>Non-routine manual</v>
      </c>
    </row>
    <row r="2290" spans="1:6" ht="42.75" x14ac:dyDescent="0.4">
      <c r="A2290" s="3">
        <v>9333</v>
      </c>
      <c r="B2290" s="3" t="str">
        <f t="shared" si="70"/>
        <v>9</v>
      </c>
      <c r="C2290" s="4" t="s">
        <v>824</v>
      </c>
      <c r="D2290" s="5" t="s">
        <v>2831</v>
      </c>
      <c r="E2290" s="4" t="s">
        <v>182</v>
      </c>
      <c r="F2290" s="2" t="str">
        <f t="shared" si="71"/>
        <v>Routine manual</v>
      </c>
    </row>
    <row r="2291" spans="1:6" ht="28.5" x14ac:dyDescent="0.4">
      <c r="A2291" s="3">
        <v>9333</v>
      </c>
      <c r="B2291" s="3" t="str">
        <f t="shared" si="70"/>
        <v>9</v>
      </c>
      <c r="C2291" s="4" t="s">
        <v>824</v>
      </c>
      <c r="D2291" s="5" t="s">
        <v>2832</v>
      </c>
      <c r="E2291" s="4" t="s">
        <v>106</v>
      </c>
      <c r="F2291" s="2" t="str">
        <f t="shared" si="71"/>
        <v>Non-routine manual</v>
      </c>
    </row>
    <row r="2292" spans="1:6" ht="42.75" x14ac:dyDescent="0.4">
      <c r="A2292" s="3">
        <v>9333</v>
      </c>
      <c r="B2292" s="3" t="str">
        <f t="shared" si="70"/>
        <v>9</v>
      </c>
      <c r="C2292" s="4" t="s">
        <v>824</v>
      </c>
      <c r="D2292" s="5" t="s">
        <v>2833</v>
      </c>
      <c r="E2292" s="4" t="s">
        <v>182</v>
      </c>
      <c r="F2292" s="2" t="str">
        <f t="shared" si="71"/>
        <v>Routine manual</v>
      </c>
    </row>
    <row r="2293" spans="1:6" ht="42.75" x14ac:dyDescent="0.4">
      <c r="A2293" s="3">
        <v>9333</v>
      </c>
      <c r="B2293" s="3" t="str">
        <f t="shared" si="70"/>
        <v>9</v>
      </c>
      <c r="C2293" s="4" t="s">
        <v>824</v>
      </c>
      <c r="D2293" s="5" t="s">
        <v>2834</v>
      </c>
      <c r="E2293" s="4" t="s">
        <v>106</v>
      </c>
      <c r="F2293" s="2" t="str">
        <f t="shared" si="71"/>
        <v>Non-routine manual</v>
      </c>
    </row>
    <row r="2294" spans="1:6" ht="28.5" x14ac:dyDescent="0.4">
      <c r="A2294" s="3">
        <v>9333</v>
      </c>
      <c r="B2294" s="3" t="str">
        <f t="shared" si="70"/>
        <v>9</v>
      </c>
      <c r="C2294" s="4" t="s">
        <v>824</v>
      </c>
      <c r="D2294" s="5" t="s">
        <v>2835</v>
      </c>
      <c r="E2294" s="4" t="s">
        <v>182</v>
      </c>
      <c r="F2294" s="2" t="str">
        <f t="shared" si="71"/>
        <v>Routine manual</v>
      </c>
    </row>
    <row r="2295" spans="1:6" x14ac:dyDescent="0.4">
      <c r="A2295" s="3">
        <v>9333</v>
      </c>
      <c r="B2295" s="3" t="str">
        <f t="shared" si="70"/>
        <v>9</v>
      </c>
      <c r="C2295" s="4" t="s">
        <v>824</v>
      </c>
      <c r="D2295" s="6" t="s">
        <v>825</v>
      </c>
      <c r="E2295" s="4" t="s">
        <v>50</v>
      </c>
      <c r="F2295" s="2" t="str">
        <f t="shared" si="71"/>
        <v>Routine cognitive</v>
      </c>
    </row>
    <row r="2296" spans="1:6" ht="28.5" x14ac:dyDescent="0.4">
      <c r="A2296" s="3">
        <v>9334</v>
      </c>
      <c r="B2296" s="3" t="str">
        <f t="shared" si="70"/>
        <v>9</v>
      </c>
      <c r="C2296" s="4" t="s">
        <v>826</v>
      </c>
      <c r="D2296" s="10" t="s">
        <v>2836</v>
      </c>
      <c r="E2296" s="4" t="s">
        <v>182</v>
      </c>
      <c r="F2296" s="2" t="str">
        <f t="shared" si="71"/>
        <v>Routine manual</v>
      </c>
    </row>
    <row r="2297" spans="1:6" ht="42.75" x14ac:dyDescent="0.4">
      <c r="A2297" s="3">
        <v>9334</v>
      </c>
      <c r="B2297" s="3" t="str">
        <f t="shared" si="70"/>
        <v>9</v>
      </c>
      <c r="C2297" s="4" t="s">
        <v>826</v>
      </c>
      <c r="D2297" s="8" t="s">
        <v>2837</v>
      </c>
      <c r="E2297" s="4" t="s">
        <v>50</v>
      </c>
      <c r="F2297" s="2" t="str">
        <f t="shared" si="71"/>
        <v>Routine cognitive</v>
      </c>
    </row>
    <row r="2298" spans="1:6" ht="28.5" x14ac:dyDescent="0.4">
      <c r="A2298" s="3">
        <v>9334</v>
      </c>
      <c r="B2298" s="3" t="str">
        <f t="shared" si="70"/>
        <v>9</v>
      </c>
      <c r="C2298" s="4" t="s">
        <v>826</v>
      </c>
      <c r="D2298" s="6" t="s">
        <v>827</v>
      </c>
      <c r="E2298" s="4" t="s">
        <v>106</v>
      </c>
      <c r="F2298" s="2" t="str">
        <f t="shared" si="71"/>
        <v>Non-routine manual</v>
      </c>
    </row>
    <row r="2299" spans="1:6" ht="28.5" x14ac:dyDescent="0.4">
      <c r="A2299" s="3">
        <v>9334</v>
      </c>
      <c r="B2299" s="3" t="str">
        <f t="shared" si="70"/>
        <v>9</v>
      </c>
      <c r="C2299" s="4" t="s">
        <v>826</v>
      </c>
      <c r="D2299" s="8" t="s">
        <v>2838</v>
      </c>
      <c r="E2299" s="4" t="s">
        <v>50</v>
      </c>
      <c r="F2299" s="2" t="str">
        <f t="shared" si="71"/>
        <v>Routine cognitive</v>
      </c>
    </row>
    <row r="2300" spans="1:6" ht="28.5" x14ac:dyDescent="0.4">
      <c r="A2300" s="3">
        <v>9334</v>
      </c>
      <c r="B2300" s="3" t="str">
        <f t="shared" si="70"/>
        <v>9</v>
      </c>
      <c r="C2300" s="4" t="s">
        <v>826</v>
      </c>
      <c r="D2300" s="8" t="s">
        <v>2839</v>
      </c>
      <c r="E2300" s="4" t="s">
        <v>50</v>
      </c>
      <c r="F2300" s="2" t="str">
        <f t="shared" si="71"/>
        <v>Routine cognitive</v>
      </c>
    </row>
    <row r="2301" spans="1:6" ht="28.5" x14ac:dyDescent="0.4">
      <c r="A2301" s="3">
        <v>9334</v>
      </c>
      <c r="B2301" s="3" t="str">
        <f t="shared" si="70"/>
        <v>9</v>
      </c>
      <c r="C2301" s="4" t="s">
        <v>826</v>
      </c>
      <c r="D2301" s="11" t="s">
        <v>2840</v>
      </c>
      <c r="E2301" s="4" t="s">
        <v>50</v>
      </c>
      <c r="F2301" s="2" t="str">
        <f t="shared" si="71"/>
        <v>Routine cognitive</v>
      </c>
    </row>
    <row r="2302" spans="1:6" x14ac:dyDescent="0.4">
      <c r="A2302" s="3">
        <v>9334</v>
      </c>
      <c r="B2302" s="3" t="str">
        <f t="shared" si="70"/>
        <v>9</v>
      </c>
      <c r="C2302" s="4" t="s">
        <v>826</v>
      </c>
      <c r="D2302" s="7" t="s">
        <v>828</v>
      </c>
      <c r="E2302" s="4" t="s">
        <v>50</v>
      </c>
      <c r="F2302" s="2" t="str">
        <f t="shared" si="71"/>
        <v>Routine cognitive</v>
      </c>
    </row>
    <row r="2303" spans="1:6" ht="42.75" x14ac:dyDescent="0.4">
      <c r="A2303" s="3">
        <v>9334</v>
      </c>
      <c r="B2303" s="3" t="str">
        <f t="shared" si="70"/>
        <v>9</v>
      </c>
      <c r="C2303" s="4" t="s">
        <v>826</v>
      </c>
      <c r="D2303" s="8" t="s">
        <v>2841</v>
      </c>
      <c r="E2303" s="4" t="s">
        <v>50</v>
      </c>
      <c r="F2303" s="2" t="str">
        <f t="shared" si="71"/>
        <v>Routine cognitive</v>
      </c>
    </row>
    <row r="2304" spans="1:6" ht="28.5" x14ac:dyDescent="0.4">
      <c r="A2304" s="3">
        <v>9412</v>
      </c>
      <c r="B2304" s="3" t="str">
        <f t="shared" si="70"/>
        <v>9</v>
      </c>
      <c r="C2304" s="4" t="s">
        <v>829</v>
      </c>
      <c r="D2304" s="5" t="s">
        <v>2842</v>
      </c>
      <c r="E2304" s="4" t="s">
        <v>106</v>
      </c>
      <c r="F2304" s="2" t="str">
        <f t="shared" si="71"/>
        <v>Non-routine manual</v>
      </c>
    </row>
    <row r="2305" spans="1:6" ht="28.5" x14ac:dyDescent="0.4">
      <c r="A2305" s="3">
        <v>9412</v>
      </c>
      <c r="B2305" s="3" t="str">
        <f t="shared" si="70"/>
        <v>9</v>
      </c>
      <c r="C2305" s="4" t="s">
        <v>829</v>
      </c>
      <c r="D2305" s="5" t="s">
        <v>2843</v>
      </c>
      <c r="E2305" s="4" t="s">
        <v>106</v>
      </c>
      <c r="F2305" s="2" t="str">
        <f t="shared" si="71"/>
        <v>Non-routine manual</v>
      </c>
    </row>
    <row r="2306" spans="1:6" ht="28.5" x14ac:dyDescent="0.4">
      <c r="A2306" s="3">
        <v>9412</v>
      </c>
      <c r="B2306" s="3" t="str">
        <f t="shared" si="70"/>
        <v>9</v>
      </c>
      <c r="C2306" s="4" t="s">
        <v>829</v>
      </c>
      <c r="D2306" s="4" t="s">
        <v>830</v>
      </c>
      <c r="E2306" s="4" t="s">
        <v>106</v>
      </c>
      <c r="F2306" s="2" t="str">
        <f t="shared" si="71"/>
        <v>Non-routine manual</v>
      </c>
    </row>
    <row r="2307" spans="1:6" ht="42.75" x14ac:dyDescent="0.4">
      <c r="A2307" s="3">
        <v>9412</v>
      </c>
      <c r="B2307" s="3" t="str">
        <f t="shared" ref="B2307:B2370" si="72">LEFT(A2307,1)</f>
        <v>9</v>
      </c>
      <c r="C2307" s="4" t="s">
        <v>829</v>
      </c>
      <c r="D2307" s="5" t="s">
        <v>2844</v>
      </c>
      <c r="E2307" s="4" t="s">
        <v>182</v>
      </c>
      <c r="F2307" s="2" t="str">
        <f t="shared" ref="F2307:F2370" si="73">IF(E2307="Non-routine interpersonal","Non-routine cognitive",IF(E2307="Non-routine analytical","Non-routine cognitive",IF(E2307="Non-routine manual physical","Non-routine manual",E2307)))</f>
        <v>Routine manual</v>
      </c>
    </row>
    <row r="2308" spans="1:6" ht="28.5" x14ac:dyDescent="0.4">
      <c r="A2308" s="3">
        <v>9412</v>
      </c>
      <c r="B2308" s="3" t="str">
        <f t="shared" si="72"/>
        <v>9</v>
      </c>
      <c r="C2308" s="4" t="s">
        <v>829</v>
      </c>
      <c r="D2308" s="5" t="s">
        <v>2845</v>
      </c>
      <c r="E2308" s="4" t="s">
        <v>106</v>
      </c>
      <c r="F2308" s="2" t="str">
        <f t="shared" si="73"/>
        <v>Non-routine manual</v>
      </c>
    </row>
    <row r="2309" spans="1:6" ht="28.5" x14ac:dyDescent="0.4">
      <c r="A2309" s="3">
        <v>9412</v>
      </c>
      <c r="B2309" s="3" t="str">
        <f t="shared" si="72"/>
        <v>9</v>
      </c>
      <c r="C2309" s="4" t="s">
        <v>829</v>
      </c>
      <c r="D2309" s="4" t="s">
        <v>831</v>
      </c>
      <c r="E2309" s="4" t="s">
        <v>106</v>
      </c>
      <c r="F2309" s="2" t="str">
        <f t="shared" si="73"/>
        <v>Non-routine manual</v>
      </c>
    </row>
    <row r="2310" spans="1:6" ht="28.5" x14ac:dyDescent="0.4">
      <c r="A2310" s="3">
        <v>9510</v>
      </c>
      <c r="B2310" s="3" t="str">
        <f t="shared" si="72"/>
        <v>9</v>
      </c>
      <c r="C2310" s="4" t="s">
        <v>832</v>
      </c>
      <c r="D2310" s="6" t="s">
        <v>833</v>
      </c>
      <c r="E2310" s="4" t="s">
        <v>106</v>
      </c>
      <c r="F2310" s="2" t="str">
        <f t="shared" si="73"/>
        <v>Non-routine manual</v>
      </c>
    </row>
    <row r="2311" spans="1:6" x14ac:dyDescent="0.4">
      <c r="A2311" s="3">
        <v>9510</v>
      </c>
      <c r="B2311" s="3" t="str">
        <f t="shared" si="72"/>
        <v>9</v>
      </c>
      <c r="C2311" s="4" t="s">
        <v>832</v>
      </c>
      <c r="D2311" s="6" t="s">
        <v>834</v>
      </c>
      <c r="E2311" s="4" t="s">
        <v>3</v>
      </c>
      <c r="F2311" s="2" t="str">
        <f t="shared" si="73"/>
        <v>Non-routine cognitive</v>
      </c>
    </row>
    <row r="2312" spans="1:6" ht="28.5" x14ac:dyDescent="0.4">
      <c r="A2312" s="3">
        <v>9510</v>
      </c>
      <c r="B2312" s="3" t="str">
        <f t="shared" si="72"/>
        <v>9</v>
      </c>
      <c r="C2312" s="4" t="s">
        <v>832</v>
      </c>
      <c r="D2312" s="7" t="s">
        <v>835</v>
      </c>
      <c r="E2312" s="4" t="s">
        <v>106</v>
      </c>
      <c r="F2312" s="2" t="str">
        <f t="shared" si="73"/>
        <v>Non-routine manual</v>
      </c>
    </row>
    <row r="2313" spans="1:6" ht="28.5" x14ac:dyDescent="0.4">
      <c r="A2313" s="3">
        <v>9510</v>
      </c>
      <c r="B2313" s="3" t="str">
        <f t="shared" si="72"/>
        <v>9</v>
      </c>
      <c r="C2313" s="4" t="s">
        <v>832</v>
      </c>
      <c r="D2313" s="6" t="s">
        <v>836</v>
      </c>
      <c r="E2313" s="4" t="s">
        <v>106</v>
      </c>
      <c r="F2313" s="2" t="str">
        <f t="shared" si="73"/>
        <v>Non-routine manual</v>
      </c>
    </row>
    <row r="2314" spans="1:6" ht="28.5" x14ac:dyDescent="0.4">
      <c r="A2314" s="3">
        <v>9510</v>
      </c>
      <c r="B2314" s="3" t="str">
        <f t="shared" si="72"/>
        <v>9</v>
      </c>
      <c r="C2314" s="4" t="s">
        <v>832</v>
      </c>
      <c r="D2314" s="13" t="s">
        <v>837</v>
      </c>
      <c r="E2314" s="4" t="s">
        <v>106</v>
      </c>
      <c r="F2314" s="2" t="str">
        <f t="shared" si="73"/>
        <v>Non-routine manual</v>
      </c>
    </row>
    <row r="2315" spans="1:6" ht="28.5" x14ac:dyDescent="0.4">
      <c r="A2315" s="3">
        <v>9510</v>
      </c>
      <c r="B2315" s="3" t="str">
        <f t="shared" si="72"/>
        <v>9</v>
      </c>
      <c r="C2315" s="4" t="s">
        <v>832</v>
      </c>
      <c r="D2315" s="4" t="s">
        <v>838</v>
      </c>
      <c r="E2315" s="4" t="s">
        <v>106</v>
      </c>
      <c r="F2315" s="2" t="str">
        <f t="shared" si="73"/>
        <v>Non-routine manual</v>
      </c>
    </row>
    <row r="2316" spans="1:6" ht="28.5" x14ac:dyDescent="0.4">
      <c r="A2316" s="3">
        <v>9510</v>
      </c>
      <c r="B2316" s="3" t="str">
        <f t="shared" si="72"/>
        <v>9</v>
      </c>
      <c r="C2316" s="4" t="s">
        <v>832</v>
      </c>
      <c r="D2316" s="6" t="s">
        <v>839</v>
      </c>
      <c r="E2316" s="4" t="s">
        <v>106</v>
      </c>
      <c r="F2316" s="2" t="str">
        <f t="shared" si="73"/>
        <v>Non-routine manual</v>
      </c>
    </row>
    <row r="2317" spans="1:6" x14ac:dyDescent="0.4">
      <c r="A2317" s="3">
        <v>9510</v>
      </c>
      <c r="B2317" s="3" t="str">
        <f t="shared" si="72"/>
        <v>9</v>
      </c>
      <c r="C2317" s="4" t="s">
        <v>832</v>
      </c>
      <c r="D2317" s="7" t="s">
        <v>840</v>
      </c>
      <c r="E2317" s="4" t="s">
        <v>50</v>
      </c>
      <c r="F2317" s="2" t="str">
        <f t="shared" si="73"/>
        <v>Routine cognitive</v>
      </c>
    </row>
    <row r="2318" spans="1:6" ht="28.5" x14ac:dyDescent="0.4">
      <c r="A2318" s="3">
        <v>9520</v>
      </c>
      <c r="B2318" s="3" t="str">
        <f t="shared" si="72"/>
        <v>9</v>
      </c>
      <c r="C2318" s="4" t="s">
        <v>841</v>
      </c>
      <c r="D2318" s="8" t="s">
        <v>2846</v>
      </c>
      <c r="E2318" s="4" t="s">
        <v>50</v>
      </c>
      <c r="F2318" s="2" t="str">
        <f t="shared" si="73"/>
        <v>Routine cognitive</v>
      </c>
    </row>
    <row r="2319" spans="1:6" ht="57" x14ac:dyDescent="0.4">
      <c r="A2319" s="3">
        <v>9520</v>
      </c>
      <c r="B2319" s="3" t="str">
        <f t="shared" si="72"/>
        <v>9</v>
      </c>
      <c r="C2319" s="4" t="s">
        <v>841</v>
      </c>
      <c r="D2319" s="5" t="s">
        <v>2847</v>
      </c>
      <c r="E2319" s="4" t="s">
        <v>50</v>
      </c>
      <c r="F2319" s="2" t="str">
        <f t="shared" si="73"/>
        <v>Routine cognitive</v>
      </c>
    </row>
    <row r="2320" spans="1:6" ht="28.5" x14ac:dyDescent="0.4">
      <c r="A2320" s="3">
        <v>9520</v>
      </c>
      <c r="B2320" s="3" t="str">
        <f t="shared" si="72"/>
        <v>9</v>
      </c>
      <c r="C2320" s="4" t="s">
        <v>841</v>
      </c>
      <c r="D2320" s="14" t="s">
        <v>842</v>
      </c>
      <c r="E2320" s="4" t="s">
        <v>106</v>
      </c>
      <c r="F2320" s="2" t="str">
        <f t="shared" si="73"/>
        <v>Non-routine manual</v>
      </c>
    </row>
    <row r="2321" spans="1:6" ht="42.75" x14ac:dyDescent="0.4">
      <c r="A2321" s="3">
        <v>9520</v>
      </c>
      <c r="B2321" s="3" t="str">
        <f t="shared" si="72"/>
        <v>9</v>
      </c>
      <c r="C2321" s="4" t="s">
        <v>841</v>
      </c>
      <c r="D2321" s="5" t="s">
        <v>2848</v>
      </c>
      <c r="E2321" s="4" t="s">
        <v>3</v>
      </c>
      <c r="F2321" s="2" t="str">
        <f t="shared" si="73"/>
        <v>Non-routine cognitive</v>
      </c>
    </row>
    <row r="2322" spans="1:6" x14ac:dyDescent="0.4">
      <c r="A2322" s="3">
        <v>9520</v>
      </c>
      <c r="B2322" s="3" t="str">
        <f t="shared" si="72"/>
        <v>9</v>
      </c>
      <c r="C2322" s="4" t="s">
        <v>841</v>
      </c>
      <c r="D2322" s="14" t="s">
        <v>843</v>
      </c>
      <c r="E2322" s="4" t="s">
        <v>50</v>
      </c>
      <c r="F2322" s="2" t="str">
        <f t="shared" si="73"/>
        <v>Routine cognitive</v>
      </c>
    </row>
    <row r="2323" spans="1:6" ht="28.5" x14ac:dyDescent="0.4">
      <c r="A2323" s="3">
        <v>9611</v>
      </c>
      <c r="B2323" s="3" t="str">
        <f t="shared" si="72"/>
        <v>9</v>
      </c>
      <c r="C2323" s="4" t="s">
        <v>844</v>
      </c>
      <c r="D2323" s="5" t="s">
        <v>2849</v>
      </c>
      <c r="E2323" s="4" t="s">
        <v>106</v>
      </c>
      <c r="F2323" s="2" t="str">
        <f t="shared" si="73"/>
        <v>Non-routine manual</v>
      </c>
    </row>
    <row r="2324" spans="1:6" ht="28.5" x14ac:dyDescent="0.4">
      <c r="A2324" s="3">
        <v>9611</v>
      </c>
      <c r="B2324" s="3" t="str">
        <f t="shared" si="72"/>
        <v>9</v>
      </c>
      <c r="C2324" s="4" t="s">
        <v>844</v>
      </c>
      <c r="D2324" s="7" t="s">
        <v>845</v>
      </c>
      <c r="E2324" s="4" t="s">
        <v>106</v>
      </c>
      <c r="F2324" s="2" t="str">
        <f t="shared" si="73"/>
        <v>Non-routine manual</v>
      </c>
    </row>
    <row r="2325" spans="1:6" ht="28.5" x14ac:dyDescent="0.4">
      <c r="A2325" s="3">
        <v>9611</v>
      </c>
      <c r="B2325" s="3" t="str">
        <f t="shared" si="72"/>
        <v>9</v>
      </c>
      <c r="C2325" s="4" t="s">
        <v>844</v>
      </c>
      <c r="D2325" s="4" t="s">
        <v>846</v>
      </c>
      <c r="E2325" s="4" t="s">
        <v>106</v>
      </c>
      <c r="F2325" s="2" t="str">
        <f t="shared" si="73"/>
        <v>Non-routine manual</v>
      </c>
    </row>
    <row r="2326" spans="1:6" ht="28.5" x14ac:dyDescent="0.4">
      <c r="A2326" s="3">
        <v>9611</v>
      </c>
      <c r="B2326" s="3" t="str">
        <f t="shared" si="72"/>
        <v>9</v>
      </c>
      <c r="C2326" s="5" t="s">
        <v>2850</v>
      </c>
      <c r="D2326" s="14" t="s">
        <v>847</v>
      </c>
      <c r="E2326" s="4" t="s">
        <v>182</v>
      </c>
      <c r="F2326" s="2" t="str">
        <f t="shared" si="73"/>
        <v>Routine manual</v>
      </c>
    </row>
    <row r="2327" spans="1:6" ht="42.75" x14ac:dyDescent="0.4">
      <c r="A2327" s="3">
        <v>9612</v>
      </c>
      <c r="B2327" s="3" t="str">
        <f t="shared" si="72"/>
        <v>9</v>
      </c>
      <c r="C2327" s="4" t="s">
        <v>848</v>
      </c>
      <c r="D2327" s="8" t="s">
        <v>2851</v>
      </c>
      <c r="E2327" s="4" t="s">
        <v>106</v>
      </c>
      <c r="F2327" s="2" t="str">
        <f t="shared" si="73"/>
        <v>Non-routine manual</v>
      </c>
    </row>
    <row r="2328" spans="1:6" ht="28.5" x14ac:dyDescent="0.4">
      <c r="A2328" s="3">
        <v>9612</v>
      </c>
      <c r="B2328" s="3" t="str">
        <f t="shared" si="72"/>
        <v>9</v>
      </c>
      <c r="C2328" s="4" t="s">
        <v>848</v>
      </c>
      <c r="D2328" s="6" t="s">
        <v>3669</v>
      </c>
      <c r="E2328" s="4" t="s">
        <v>50</v>
      </c>
      <c r="F2328" s="2" t="str">
        <f t="shared" si="73"/>
        <v>Routine cognitive</v>
      </c>
    </row>
    <row r="2329" spans="1:6" ht="28.5" x14ac:dyDescent="0.4">
      <c r="A2329" s="3">
        <v>9612</v>
      </c>
      <c r="B2329" s="3" t="str">
        <f t="shared" si="72"/>
        <v>9</v>
      </c>
      <c r="C2329" s="4" t="s">
        <v>848</v>
      </c>
      <c r="D2329" s="6" t="s">
        <v>849</v>
      </c>
      <c r="E2329" s="4" t="s">
        <v>50</v>
      </c>
      <c r="F2329" s="2" t="str">
        <f t="shared" si="73"/>
        <v>Routine cognitive</v>
      </c>
    </row>
    <row r="2330" spans="1:6" ht="42.75" x14ac:dyDescent="0.4">
      <c r="A2330" s="3">
        <v>9612</v>
      </c>
      <c r="B2330" s="3" t="str">
        <f t="shared" si="72"/>
        <v>9</v>
      </c>
      <c r="C2330" s="4" t="s">
        <v>848</v>
      </c>
      <c r="D2330" s="8" t="s">
        <v>2852</v>
      </c>
      <c r="E2330" s="4" t="s">
        <v>50</v>
      </c>
      <c r="F2330" s="2" t="str">
        <f t="shared" si="73"/>
        <v>Routine cognitive</v>
      </c>
    </row>
    <row r="2331" spans="1:6" ht="28.5" x14ac:dyDescent="0.4">
      <c r="A2331" s="3">
        <v>9612</v>
      </c>
      <c r="B2331" s="3" t="str">
        <f t="shared" si="72"/>
        <v>9</v>
      </c>
      <c r="C2331" s="4" t="s">
        <v>848</v>
      </c>
      <c r="D2331" s="8" t="s">
        <v>2853</v>
      </c>
      <c r="E2331" s="4" t="s">
        <v>106</v>
      </c>
      <c r="F2331" s="2" t="str">
        <f t="shared" si="73"/>
        <v>Non-routine manual</v>
      </c>
    </row>
    <row r="2332" spans="1:6" x14ac:dyDescent="0.4">
      <c r="A2332" s="3">
        <v>9612</v>
      </c>
      <c r="B2332" s="3" t="str">
        <f t="shared" si="72"/>
        <v>9</v>
      </c>
      <c r="C2332" s="4" t="s">
        <v>848</v>
      </c>
      <c r="D2332" s="14" t="s">
        <v>850</v>
      </c>
      <c r="E2332" s="4" t="s">
        <v>50</v>
      </c>
      <c r="F2332" s="2" t="str">
        <f t="shared" si="73"/>
        <v>Routine cognitive</v>
      </c>
    </row>
    <row r="2333" spans="1:6" ht="28.5" x14ac:dyDescent="0.4">
      <c r="A2333" s="3">
        <v>9613</v>
      </c>
      <c r="B2333" s="3" t="str">
        <f t="shared" si="72"/>
        <v>9</v>
      </c>
      <c r="C2333" s="4" t="s">
        <v>851</v>
      </c>
      <c r="D2333" s="8" t="s">
        <v>2854</v>
      </c>
      <c r="E2333" s="4" t="s">
        <v>182</v>
      </c>
      <c r="F2333" s="2" t="str">
        <f t="shared" si="73"/>
        <v>Routine manual</v>
      </c>
    </row>
    <row r="2334" spans="1:6" ht="28.5" x14ac:dyDescent="0.4">
      <c r="A2334" s="3">
        <v>9613</v>
      </c>
      <c r="B2334" s="3" t="str">
        <f t="shared" si="72"/>
        <v>9</v>
      </c>
      <c r="C2334" s="4" t="s">
        <v>851</v>
      </c>
      <c r="D2334" s="16" t="s">
        <v>852</v>
      </c>
      <c r="E2334" s="4" t="s">
        <v>106</v>
      </c>
      <c r="F2334" s="2" t="str">
        <f t="shared" si="73"/>
        <v>Non-routine manual</v>
      </c>
    </row>
    <row r="2335" spans="1:6" ht="28.5" x14ac:dyDescent="0.4">
      <c r="A2335" s="3">
        <v>9613</v>
      </c>
      <c r="B2335" s="3" t="str">
        <f t="shared" si="72"/>
        <v>9</v>
      </c>
      <c r="C2335" s="4" t="s">
        <v>851</v>
      </c>
      <c r="D2335" s="6" t="s">
        <v>853</v>
      </c>
      <c r="E2335" s="4" t="s">
        <v>106</v>
      </c>
      <c r="F2335" s="2" t="str">
        <f t="shared" si="73"/>
        <v>Non-routine manual</v>
      </c>
    </row>
    <row r="2336" spans="1:6" ht="28.5" x14ac:dyDescent="0.4">
      <c r="A2336" s="3">
        <v>9613</v>
      </c>
      <c r="B2336" s="3" t="str">
        <f t="shared" si="72"/>
        <v>9</v>
      </c>
      <c r="C2336" s="4" t="s">
        <v>851</v>
      </c>
      <c r="D2336" s="8" t="s">
        <v>2855</v>
      </c>
      <c r="E2336" s="4" t="s">
        <v>106</v>
      </c>
      <c r="F2336" s="2" t="str">
        <f t="shared" si="73"/>
        <v>Non-routine manual</v>
      </c>
    </row>
    <row r="2337" spans="1:6" ht="42.75" x14ac:dyDescent="0.4">
      <c r="A2337" s="3">
        <v>9621</v>
      </c>
      <c r="B2337" s="3" t="str">
        <f t="shared" si="72"/>
        <v>9</v>
      </c>
      <c r="C2337" s="4" t="s">
        <v>854</v>
      </c>
      <c r="D2337" s="5" t="s">
        <v>2856</v>
      </c>
      <c r="E2337" s="4" t="s">
        <v>50</v>
      </c>
      <c r="F2337" s="2" t="str">
        <f t="shared" si="73"/>
        <v>Routine cognitive</v>
      </c>
    </row>
    <row r="2338" spans="1:6" ht="28.5" x14ac:dyDescent="0.4">
      <c r="A2338" s="3">
        <v>9621</v>
      </c>
      <c r="B2338" s="3" t="str">
        <f t="shared" si="72"/>
        <v>9</v>
      </c>
      <c r="C2338" s="4" t="s">
        <v>854</v>
      </c>
      <c r="D2338" s="4" t="s">
        <v>855</v>
      </c>
      <c r="E2338" s="4" t="s">
        <v>50</v>
      </c>
      <c r="F2338" s="2" t="str">
        <f t="shared" si="73"/>
        <v>Routine cognitive</v>
      </c>
    </row>
    <row r="2339" spans="1:6" ht="28.5" x14ac:dyDescent="0.4">
      <c r="A2339" s="3">
        <v>9621</v>
      </c>
      <c r="B2339" s="3" t="str">
        <f t="shared" si="72"/>
        <v>9</v>
      </c>
      <c r="C2339" s="4" t="s">
        <v>854</v>
      </c>
      <c r="D2339" s="7" t="s">
        <v>856</v>
      </c>
      <c r="E2339" s="4" t="s">
        <v>106</v>
      </c>
      <c r="F2339" s="2" t="str">
        <f t="shared" si="73"/>
        <v>Non-routine manual</v>
      </c>
    </row>
    <row r="2340" spans="1:6" ht="28.5" x14ac:dyDescent="0.4">
      <c r="A2340" s="3">
        <v>9621</v>
      </c>
      <c r="B2340" s="3" t="str">
        <f t="shared" si="72"/>
        <v>9</v>
      </c>
      <c r="C2340" s="4" t="s">
        <v>854</v>
      </c>
      <c r="D2340" s="10" t="s">
        <v>2857</v>
      </c>
      <c r="E2340" s="4" t="s">
        <v>50</v>
      </c>
      <c r="F2340" s="2" t="str">
        <f t="shared" si="73"/>
        <v>Routine cognitive</v>
      </c>
    </row>
    <row r="2341" spans="1:6" ht="28.5" x14ac:dyDescent="0.4">
      <c r="A2341" s="3">
        <v>9621</v>
      </c>
      <c r="B2341" s="3" t="str">
        <f t="shared" si="72"/>
        <v>9</v>
      </c>
      <c r="C2341" s="4" t="s">
        <v>854</v>
      </c>
      <c r="D2341" s="6" t="s">
        <v>857</v>
      </c>
      <c r="E2341" s="4" t="s">
        <v>50</v>
      </c>
      <c r="F2341" s="2" t="str">
        <f t="shared" si="73"/>
        <v>Routine cognitive</v>
      </c>
    </row>
    <row r="2342" spans="1:6" ht="28.5" x14ac:dyDescent="0.4">
      <c r="A2342" s="3">
        <v>9621</v>
      </c>
      <c r="B2342" s="3" t="str">
        <f t="shared" si="72"/>
        <v>9</v>
      </c>
      <c r="C2342" s="4" t="s">
        <v>854</v>
      </c>
      <c r="D2342" s="10" t="s">
        <v>2858</v>
      </c>
      <c r="E2342" s="4" t="s">
        <v>50</v>
      </c>
      <c r="F2342" s="2" t="str">
        <f t="shared" si="73"/>
        <v>Routine cognitive</v>
      </c>
    </row>
    <row r="2343" spans="1:6" ht="28.5" x14ac:dyDescent="0.4">
      <c r="A2343" s="3">
        <v>9622</v>
      </c>
      <c r="B2343" s="3" t="str">
        <f t="shared" si="72"/>
        <v>9</v>
      </c>
      <c r="C2343" s="4" t="s">
        <v>858</v>
      </c>
      <c r="D2343" s="8" t="s">
        <v>2859</v>
      </c>
      <c r="E2343" s="4" t="s">
        <v>106</v>
      </c>
      <c r="F2343" s="2" t="str">
        <f t="shared" si="73"/>
        <v>Non-routine manual</v>
      </c>
    </row>
    <row r="2344" spans="1:6" ht="28.5" x14ac:dyDescent="0.4">
      <c r="A2344" s="3">
        <v>9622</v>
      </c>
      <c r="B2344" s="3" t="str">
        <f t="shared" si="72"/>
        <v>9</v>
      </c>
      <c r="C2344" s="4" t="s">
        <v>858</v>
      </c>
      <c r="D2344" s="6" t="s">
        <v>859</v>
      </c>
      <c r="E2344" s="4" t="s">
        <v>106</v>
      </c>
      <c r="F2344" s="2" t="str">
        <f t="shared" si="73"/>
        <v>Non-routine manual</v>
      </c>
    </row>
    <row r="2345" spans="1:6" ht="42.75" x14ac:dyDescent="0.4">
      <c r="A2345" s="3">
        <v>9622</v>
      </c>
      <c r="B2345" s="3" t="str">
        <f t="shared" si="72"/>
        <v>9</v>
      </c>
      <c r="C2345" s="4" t="s">
        <v>858</v>
      </c>
      <c r="D2345" s="8" t="s">
        <v>2860</v>
      </c>
      <c r="E2345" s="4" t="s">
        <v>106</v>
      </c>
      <c r="F2345" s="2" t="str">
        <f t="shared" si="73"/>
        <v>Non-routine manual</v>
      </c>
    </row>
    <row r="2346" spans="1:6" ht="28.5" x14ac:dyDescent="0.4">
      <c r="A2346" s="3">
        <v>9622</v>
      </c>
      <c r="B2346" s="3" t="str">
        <f t="shared" si="72"/>
        <v>9</v>
      </c>
      <c r="C2346" s="4" t="s">
        <v>858</v>
      </c>
      <c r="D2346" s="14" t="s">
        <v>860</v>
      </c>
      <c r="E2346" s="4" t="s">
        <v>106</v>
      </c>
      <c r="F2346" s="2" t="str">
        <f t="shared" si="73"/>
        <v>Non-routine manual</v>
      </c>
    </row>
    <row r="2347" spans="1:6" ht="28.5" x14ac:dyDescent="0.4">
      <c r="A2347" s="3">
        <v>9622</v>
      </c>
      <c r="B2347" s="3" t="str">
        <f t="shared" si="72"/>
        <v>9</v>
      </c>
      <c r="C2347" s="4" t="s">
        <v>858</v>
      </c>
      <c r="D2347" s="7" t="s">
        <v>861</v>
      </c>
      <c r="E2347" s="4" t="s">
        <v>106</v>
      </c>
      <c r="F2347" s="2" t="str">
        <f t="shared" si="73"/>
        <v>Non-routine manual</v>
      </c>
    </row>
    <row r="2348" spans="1:6" ht="28.5" x14ac:dyDescent="0.4">
      <c r="A2348" s="3">
        <v>9622</v>
      </c>
      <c r="B2348" s="3" t="str">
        <f t="shared" si="72"/>
        <v>9</v>
      </c>
      <c r="C2348" s="4" t="s">
        <v>858</v>
      </c>
      <c r="D2348" s="6" t="s">
        <v>862</v>
      </c>
      <c r="E2348" s="4" t="s">
        <v>106</v>
      </c>
      <c r="F2348" s="2" t="str">
        <f t="shared" si="73"/>
        <v>Non-routine manual</v>
      </c>
    </row>
    <row r="2349" spans="1:6" ht="42.75" x14ac:dyDescent="0.4">
      <c r="A2349" s="3">
        <v>9622</v>
      </c>
      <c r="B2349" s="3" t="str">
        <f t="shared" si="72"/>
        <v>9</v>
      </c>
      <c r="C2349" s="4" t="s">
        <v>858</v>
      </c>
      <c r="D2349" s="5" t="s">
        <v>2861</v>
      </c>
      <c r="E2349" s="4" t="s">
        <v>106</v>
      </c>
      <c r="F2349" s="2" t="str">
        <f t="shared" si="73"/>
        <v>Non-routine manual</v>
      </c>
    </row>
    <row r="2350" spans="1:6" ht="28.5" x14ac:dyDescent="0.4">
      <c r="A2350" s="3">
        <v>9623</v>
      </c>
      <c r="B2350" s="3" t="str">
        <f t="shared" si="72"/>
        <v>9</v>
      </c>
      <c r="C2350" s="4" t="s">
        <v>863</v>
      </c>
      <c r="D2350" s="8" t="s">
        <v>2862</v>
      </c>
      <c r="E2350" s="4" t="s">
        <v>50</v>
      </c>
      <c r="F2350" s="2" t="str">
        <f t="shared" si="73"/>
        <v>Routine cognitive</v>
      </c>
    </row>
    <row r="2351" spans="1:6" ht="28.5" x14ac:dyDescent="0.4">
      <c r="A2351" s="3">
        <v>9623</v>
      </c>
      <c r="B2351" s="3" t="str">
        <f t="shared" si="72"/>
        <v>9</v>
      </c>
      <c r="C2351" s="4" t="s">
        <v>863</v>
      </c>
      <c r="D2351" s="10" t="s">
        <v>2863</v>
      </c>
      <c r="E2351" s="4" t="s">
        <v>50</v>
      </c>
      <c r="F2351" s="2" t="str">
        <f t="shared" si="73"/>
        <v>Routine cognitive</v>
      </c>
    </row>
    <row r="2352" spans="1:6" ht="28.5" x14ac:dyDescent="0.4">
      <c r="A2352" s="3">
        <v>9623</v>
      </c>
      <c r="B2352" s="3" t="str">
        <f t="shared" si="72"/>
        <v>9</v>
      </c>
      <c r="C2352" s="4" t="s">
        <v>863</v>
      </c>
      <c r="D2352" s="8" t="s">
        <v>2864</v>
      </c>
      <c r="E2352" s="4" t="s">
        <v>50</v>
      </c>
      <c r="F2352" s="2" t="str">
        <f t="shared" si="73"/>
        <v>Routine cognitive</v>
      </c>
    </row>
    <row r="2353" spans="1:6" ht="28.5" x14ac:dyDescent="0.4">
      <c r="A2353" s="3">
        <v>9623</v>
      </c>
      <c r="B2353" s="3" t="str">
        <f t="shared" si="72"/>
        <v>9</v>
      </c>
      <c r="C2353" s="4" t="s">
        <v>863</v>
      </c>
      <c r="D2353" s="8" t="s">
        <v>2865</v>
      </c>
      <c r="E2353" s="4" t="s">
        <v>50</v>
      </c>
      <c r="F2353" s="2" t="str">
        <f t="shared" si="73"/>
        <v>Routine cognitive</v>
      </c>
    </row>
    <row r="2354" spans="1:6" ht="28.5" x14ac:dyDescent="0.4">
      <c r="A2354" s="3">
        <v>9623</v>
      </c>
      <c r="B2354" s="3" t="str">
        <f t="shared" si="72"/>
        <v>9</v>
      </c>
      <c r="C2354" s="4" t="s">
        <v>863</v>
      </c>
      <c r="D2354" s="7" t="s">
        <v>864</v>
      </c>
      <c r="E2354" s="4" t="s">
        <v>106</v>
      </c>
      <c r="F2354" s="2" t="str">
        <f t="shared" si="73"/>
        <v>Non-routine manual</v>
      </c>
    </row>
    <row r="2355" spans="1:6" ht="42.75" x14ac:dyDescent="0.4">
      <c r="A2355" s="3">
        <v>9623</v>
      </c>
      <c r="B2355" s="3" t="str">
        <f t="shared" si="72"/>
        <v>9</v>
      </c>
      <c r="C2355" s="4" t="s">
        <v>863</v>
      </c>
      <c r="D2355" s="5" t="s">
        <v>2866</v>
      </c>
      <c r="E2355" s="4" t="s">
        <v>50</v>
      </c>
      <c r="F2355" s="2" t="str">
        <f t="shared" si="73"/>
        <v>Routine cognitive</v>
      </c>
    </row>
    <row r="2356" spans="1:6" ht="42.75" x14ac:dyDescent="0.4">
      <c r="A2356" s="3">
        <v>9623</v>
      </c>
      <c r="B2356" s="3" t="str">
        <f t="shared" si="72"/>
        <v>9</v>
      </c>
      <c r="C2356" s="4" t="s">
        <v>863</v>
      </c>
      <c r="D2356" s="10" t="s">
        <v>2867</v>
      </c>
      <c r="E2356" s="4" t="s">
        <v>50</v>
      </c>
      <c r="F2356" s="2" t="str">
        <f t="shared" si="73"/>
        <v>Routine cognitive</v>
      </c>
    </row>
    <row r="2357" spans="1:6" ht="42.75" x14ac:dyDescent="0.4">
      <c r="A2357" s="3">
        <v>9624</v>
      </c>
      <c r="B2357" s="3" t="str">
        <f t="shared" si="72"/>
        <v>9</v>
      </c>
      <c r="C2357" s="4" t="s">
        <v>865</v>
      </c>
      <c r="D2357" s="8" t="s">
        <v>2868</v>
      </c>
      <c r="E2357" s="4" t="s">
        <v>106</v>
      </c>
      <c r="F2357" s="2" t="str">
        <f t="shared" si="73"/>
        <v>Non-routine manual</v>
      </c>
    </row>
    <row r="2358" spans="1:6" ht="28.5" x14ac:dyDescent="0.4">
      <c r="A2358" s="3">
        <v>9624</v>
      </c>
      <c r="B2358" s="3" t="str">
        <f t="shared" si="72"/>
        <v>9</v>
      </c>
      <c r="C2358" s="4" t="s">
        <v>865</v>
      </c>
      <c r="D2358" s="8" t="s">
        <v>2869</v>
      </c>
      <c r="E2358" s="4" t="s">
        <v>106</v>
      </c>
      <c r="F2358" s="2" t="str">
        <f t="shared" si="73"/>
        <v>Non-routine manual</v>
      </c>
    </row>
    <row r="2359" spans="1:6" ht="28.5" x14ac:dyDescent="0.4">
      <c r="A2359" s="3">
        <v>9624</v>
      </c>
      <c r="B2359" s="3" t="str">
        <f t="shared" si="72"/>
        <v>9</v>
      </c>
      <c r="C2359" s="4" t="s">
        <v>865</v>
      </c>
      <c r="D2359" s="8" t="s">
        <v>2870</v>
      </c>
      <c r="E2359" s="4" t="s">
        <v>106</v>
      </c>
      <c r="F2359" s="2" t="str">
        <f t="shared" si="73"/>
        <v>Non-routine manual</v>
      </c>
    </row>
    <row r="2360" spans="1:6" ht="42.75" x14ac:dyDescent="0.4">
      <c r="A2360" s="3">
        <v>9624</v>
      </c>
      <c r="B2360" s="3" t="str">
        <f t="shared" si="72"/>
        <v>9</v>
      </c>
      <c r="C2360" s="4" t="s">
        <v>865</v>
      </c>
      <c r="D2360" s="5" t="s">
        <v>2871</v>
      </c>
      <c r="E2360" s="4" t="s">
        <v>106</v>
      </c>
      <c r="F2360" s="2" t="str">
        <f t="shared" si="73"/>
        <v>Non-routine manual</v>
      </c>
    </row>
    <row r="2361" spans="1:6" ht="28.5" x14ac:dyDescent="0.4">
      <c r="A2361" s="3">
        <v>9624</v>
      </c>
      <c r="B2361" s="3" t="str">
        <f t="shared" si="72"/>
        <v>9</v>
      </c>
      <c r="C2361" s="4" t="s">
        <v>865</v>
      </c>
      <c r="D2361" s="8" t="s">
        <v>2872</v>
      </c>
      <c r="E2361" s="4" t="s">
        <v>106</v>
      </c>
      <c r="F2361" s="2" t="str">
        <f t="shared" si="73"/>
        <v>Non-routine manual</v>
      </c>
    </row>
    <row r="2362" spans="1:6" ht="57" x14ac:dyDescent="0.4">
      <c r="A2362" s="3">
        <v>9624</v>
      </c>
      <c r="B2362" s="3" t="str">
        <f t="shared" si="72"/>
        <v>9</v>
      </c>
      <c r="C2362" s="4" t="s">
        <v>865</v>
      </c>
      <c r="D2362" s="5" t="s">
        <v>2873</v>
      </c>
      <c r="E2362" s="4" t="s">
        <v>106</v>
      </c>
      <c r="F2362" s="2" t="str">
        <f t="shared" si="73"/>
        <v>Non-routine manual</v>
      </c>
    </row>
    <row r="2363" spans="1:6" ht="28.5" x14ac:dyDescent="0.4">
      <c r="A2363" s="3">
        <v>9629</v>
      </c>
      <c r="B2363" s="3" t="str">
        <f t="shared" si="72"/>
        <v>9</v>
      </c>
      <c r="C2363" s="4" t="s">
        <v>866</v>
      </c>
      <c r="D2363" s="8" t="s">
        <v>2874</v>
      </c>
      <c r="E2363" s="4" t="s">
        <v>50</v>
      </c>
      <c r="F2363" s="2" t="str">
        <f t="shared" si="73"/>
        <v>Routine cognitive</v>
      </c>
    </row>
    <row r="2364" spans="1:6" ht="42.75" x14ac:dyDescent="0.4">
      <c r="A2364" s="3">
        <v>9629</v>
      </c>
      <c r="B2364" s="3" t="str">
        <f t="shared" si="72"/>
        <v>9</v>
      </c>
      <c r="C2364" s="4" t="s">
        <v>866</v>
      </c>
      <c r="D2364" s="8" t="s">
        <v>2875</v>
      </c>
      <c r="E2364" s="4" t="s">
        <v>50</v>
      </c>
      <c r="F2364" s="2" t="str">
        <f t="shared" si="73"/>
        <v>Routine cognitive</v>
      </c>
    </row>
    <row r="2365" spans="1:6" ht="28.5" x14ac:dyDescent="0.4">
      <c r="A2365" s="3">
        <v>9629</v>
      </c>
      <c r="B2365" s="3" t="str">
        <f t="shared" si="72"/>
        <v>9</v>
      </c>
      <c r="C2365" s="4" t="s">
        <v>866</v>
      </c>
      <c r="D2365" s="8" t="s">
        <v>2876</v>
      </c>
      <c r="E2365" s="4" t="s">
        <v>50</v>
      </c>
      <c r="F2365" s="2" t="str">
        <f t="shared" si="73"/>
        <v>Routine cognitive</v>
      </c>
    </row>
    <row r="2366" spans="1:6" ht="28.5" x14ac:dyDescent="0.4">
      <c r="A2366" s="3">
        <v>9629</v>
      </c>
      <c r="B2366" s="3" t="str">
        <f t="shared" si="72"/>
        <v>9</v>
      </c>
      <c r="C2366" s="4" t="s">
        <v>866</v>
      </c>
      <c r="D2366" s="8" t="s">
        <v>2877</v>
      </c>
      <c r="E2366" s="4" t="s">
        <v>50</v>
      </c>
      <c r="F2366" s="2" t="str">
        <f t="shared" si="73"/>
        <v>Routine cognitive</v>
      </c>
    </row>
    <row r="2367" spans="1:6" ht="28.5" x14ac:dyDescent="0.4">
      <c r="A2367" s="3">
        <v>9629</v>
      </c>
      <c r="B2367" s="3" t="str">
        <f t="shared" si="72"/>
        <v>9</v>
      </c>
      <c r="C2367" s="4" t="s">
        <v>866</v>
      </c>
      <c r="D2367" s="4" t="s">
        <v>867</v>
      </c>
      <c r="E2367" s="4" t="s">
        <v>50</v>
      </c>
      <c r="F2367" s="2" t="str">
        <f t="shared" si="73"/>
        <v>Routine cognitive</v>
      </c>
    </row>
    <row r="2368" spans="1:6" ht="28.5" x14ac:dyDescent="0.4">
      <c r="A2368" s="3">
        <v>9629</v>
      </c>
      <c r="B2368" s="3" t="str">
        <f t="shared" si="72"/>
        <v>9</v>
      </c>
      <c r="C2368" s="4" t="s">
        <v>866</v>
      </c>
      <c r="D2368" s="8" t="s">
        <v>2878</v>
      </c>
      <c r="E2368" s="4" t="s">
        <v>106</v>
      </c>
      <c r="F2368" s="2" t="str">
        <f t="shared" si="73"/>
        <v>Non-routine manual</v>
      </c>
    </row>
    <row r="2369" spans="1:6" ht="28.5" x14ac:dyDescent="0.4">
      <c r="A2369" s="3">
        <v>9629</v>
      </c>
      <c r="B2369" s="3" t="str">
        <f t="shared" si="72"/>
        <v>9</v>
      </c>
      <c r="C2369" s="4" t="s">
        <v>866</v>
      </c>
      <c r="D2369" s="10" t="s">
        <v>2879</v>
      </c>
      <c r="E2369" s="4" t="s">
        <v>50</v>
      </c>
      <c r="F2369" s="2" t="str">
        <f t="shared" si="73"/>
        <v>Routine cognitive</v>
      </c>
    </row>
    <row r="2370" spans="1:6" ht="42.75" x14ac:dyDescent="0.4">
      <c r="A2370" s="3">
        <v>9629</v>
      </c>
      <c r="B2370" s="3" t="str">
        <f t="shared" si="72"/>
        <v>9</v>
      </c>
      <c r="C2370" s="4" t="s">
        <v>866</v>
      </c>
      <c r="D2370" s="5" t="s">
        <v>2880</v>
      </c>
      <c r="E2370" s="4" t="s">
        <v>50</v>
      </c>
      <c r="F2370" s="2" t="str">
        <f t="shared" si="73"/>
        <v>Routine cognitive</v>
      </c>
    </row>
    <row r="2371" spans="1:6" ht="28.5" x14ac:dyDescent="0.4">
      <c r="A2371" s="3">
        <v>1321</v>
      </c>
      <c r="B2371" s="3" t="str">
        <f t="shared" ref="B2371:B2434" si="74">LEFT(A2371,1)</f>
        <v>1</v>
      </c>
      <c r="C2371" s="4" t="s">
        <v>868</v>
      </c>
      <c r="D2371" s="8" t="s">
        <v>2881</v>
      </c>
      <c r="E2371" s="4" t="s">
        <v>4</v>
      </c>
      <c r="F2371" s="2" t="str">
        <f t="shared" ref="F2371:F2434" si="75">IF(E2371="Non-routine interpersonal","Non-routine cognitive",IF(E2371="Non-routine analytical","Non-routine cognitive",IF(E2371="Non-routine manual physical","Non-routine manual",E2371)))</f>
        <v>Non-routine cognitive</v>
      </c>
    </row>
    <row r="2372" spans="1:6" ht="42.75" x14ac:dyDescent="0.4">
      <c r="A2372" s="3">
        <v>1321</v>
      </c>
      <c r="B2372" s="3" t="str">
        <f t="shared" si="74"/>
        <v>1</v>
      </c>
      <c r="C2372" s="4" t="s">
        <v>868</v>
      </c>
      <c r="D2372" s="8" t="s">
        <v>2882</v>
      </c>
      <c r="E2372" s="4" t="s">
        <v>4</v>
      </c>
      <c r="F2372" s="2" t="str">
        <f t="shared" si="75"/>
        <v>Non-routine cognitive</v>
      </c>
    </row>
    <row r="2373" spans="1:6" ht="42.75" x14ac:dyDescent="0.4">
      <c r="A2373" s="3">
        <v>1321</v>
      </c>
      <c r="B2373" s="3" t="str">
        <f t="shared" si="74"/>
        <v>1</v>
      </c>
      <c r="C2373" s="4" t="s">
        <v>868</v>
      </c>
      <c r="D2373" s="5" t="s">
        <v>2883</v>
      </c>
      <c r="E2373" s="4" t="s">
        <v>4</v>
      </c>
      <c r="F2373" s="2" t="str">
        <f t="shared" si="75"/>
        <v>Non-routine cognitive</v>
      </c>
    </row>
    <row r="2374" spans="1:6" ht="42.75" x14ac:dyDescent="0.4">
      <c r="A2374" s="3">
        <v>1321</v>
      </c>
      <c r="B2374" s="3" t="str">
        <f t="shared" si="74"/>
        <v>1</v>
      </c>
      <c r="C2374" s="4" t="s">
        <v>868</v>
      </c>
      <c r="D2374" s="8" t="s">
        <v>2884</v>
      </c>
      <c r="E2374" s="4" t="s">
        <v>4</v>
      </c>
      <c r="F2374" s="2" t="str">
        <f t="shared" si="75"/>
        <v>Non-routine cognitive</v>
      </c>
    </row>
    <row r="2375" spans="1:6" ht="28.5" x14ac:dyDescent="0.4">
      <c r="A2375" s="3">
        <v>1321</v>
      </c>
      <c r="B2375" s="3" t="str">
        <f t="shared" si="74"/>
        <v>1</v>
      </c>
      <c r="C2375" s="4" t="s">
        <v>868</v>
      </c>
      <c r="D2375" s="10" t="s">
        <v>2885</v>
      </c>
      <c r="E2375" s="4" t="s">
        <v>3</v>
      </c>
      <c r="F2375" s="2" t="str">
        <f t="shared" si="75"/>
        <v>Non-routine cognitive</v>
      </c>
    </row>
    <row r="2376" spans="1:6" ht="28.5" x14ac:dyDescent="0.4">
      <c r="A2376" s="3">
        <v>1321</v>
      </c>
      <c r="B2376" s="3" t="str">
        <f t="shared" si="74"/>
        <v>1</v>
      </c>
      <c r="C2376" s="4" t="s">
        <v>868</v>
      </c>
      <c r="D2376" s="8" t="s">
        <v>1205</v>
      </c>
      <c r="E2376" s="4" t="s">
        <v>3</v>
      </c>
      <c r="F2376" s="2" t="str">
        <f t="shared" si="75"/>
        <v>Non-routine cognitive</v>
      </c>
    </row>
    <row r="2377" spans="1:6" ht="28.5" x14ac:dyDescent="0.4">
      <c r="A2377" s="3">
        <v>1321</v>
      </c>
      <c r="B2377" s="3" t="str">
        <f t="shared" si="74"/>
        <v>1</v>
      </c>
      <c r="C2377" s="4" t="s">
        <v>868</v>
      </c>
      <c r="D2377" s="5" t="s">
        <v>1206</v>
      </c>
      <c r="E2377" s="4" t="s">
        <v>4</v>
      </c>
      <c r="F2377" s="2" t="str">
        <f t="shared" si="75"/>
        <v>Non-routine cognitive</v>
      </c>
    </row>
    <row r="2378" spans="1:6" ht="28.5" x14ac:dyDescent="0.4">
      <c r="A2378" s="3">
        <v>1321</v>
      </c>
      <c r="B2378" s="3" t="str">
        <f t="shared" si="74"/>
        <v>1</v>
      </c>
      <c r="C2378" s="4" t="s">
        <v>868</v>
      </c>
      <c r="D2378" s="8" t="s">
        <v>2886</v>
      </c>
      <c r="E2378" s="4" t="s">
        <v>3</v>
      </c>
      <c r="F2378" s="2" t="str">
        <f t="shared" si="75"/>
        <v>Non-routine cognitive</v>
      </c>
    </row>
    <row r="2379" spans="1:6" ht="28.5" x14ac:dyDescent="0.4">
      <c r="A2379" s="3">
        <v>1321</v>
      </c>
      <c r="B2379" s="3" t="str">
        <f t="shared" si="74"/>
        <v>1</v>
      </c>
      <c r="C2379" s="4" t="s">
        <v>868</v>
      </c>
      <c r="D2379" s="8" t="s">
        <v>2887</v>
      </c>
      <c r="E2379" s="4" t="s">
        <v>4</v>
      </c>
      <c r="F2379" s="2" t="str">
        <f t="shared" si="75"/>
        <v>Non-routine cognitive</v>
      </c>
    </row>
    <row r="2380" spans="1:6" ht="42.75" x14ac:dyDescent="0.4">
      <c r="A2380" s="3">
        <v>1321</v>
      </c>
      <c r="B2380" s="3" t="str">
        <f t="shared" si="74"/>
        <v>1</v>
      </c>
      <c r="C2380" s="4" t="s">
        <v>868</v>
      </c>
      <c r="D2380" s="5" t="s">
        <v>2888</v>
      </c>
      <c r="E2380" s="4" t="s">
        <v>4</v>
      </c>
      <c r="F2380" s="2" t="str">
        <f t="shared" si="75"/>
        <v>Non-routine cognitive</v>
      </c>
    </row>
    <row r="2381" spans="1:6" ht="42.75" x14ac:dyDescent="0.4">
      <c r="A2381" s="3">
        <v>1321</v>
      </c>
      <c r="B2381" s="3" t="str">
        <f t="shared" si="74"/>
        <v>1</v>
      </c>
      <c r="C2381" s="4" t="s">
        <v>868</v>
      </c>
      <c r="D2381" s="5" t="s">
        <v>2889</v>
      </c>
      <c r="E2381" s="4" t="s">
        <v>3</v>
      </c>
      <c r="F2381" s="2" t="str">
        <f t="shared" si="75"/>
        <v>Non-routine cognitive</v>
      </c>
    </row>
    <row r="2382" spans="1:6" ht="28.5" x14ac:dyDescent="0.4">
      <c r="A2382" s="3">
        <v>1321</v>
      </c>
      <c r="B2382" s="3" t="str">
        <f t="shared" si="74"/>
        <v>1</v>
      </c>
      <c r="C2382" s="4" t="s">
        <v>868</v>
      </c>
      <c r="D2382" s="8" t="s">
        <v>1225</v>
      </c>
      <c r="E2382" s="4" t="s">
        <v>3</v>
      </c>
      <c r="F2382" s="2" t="str">
        <f t="shared" si="75"/>
        <v>Non-routine cognitive</v>
      </c>
    </row>
    <row r="2383" spans="1:6" ht="28.5" x14ac:dyDescent="0.4">
      <c r="A2383" s="3">
        <v>1342</v>
      </c>
      <c r="B2383" s="3" t="str">
        <f t="shared" si="74"/>
        <v>1</v>
      </c>
      <c r="C2383" s="4" t="s">
        <v>869</v>
      </c>
      <c r="D2383" s="8" t="s">
        <v>2890</v>
      </c>
      <c r="E2383" s="4" t="s">
        <v>3</v>
      </c>
      <c r="F2383" s="2" t="str">
        <f t="shared" si="75"/>
        <v>Non-routine cognitive</v>
      </c>
    </row>
    <row r="2384" spans="1:6" ht="42.75" x14ac:dyDescent="0.4">
      <c r="A2384" s="3">
        <v>1342</v>
      </c>
      <c r="B2384" s="3" t="str">
        <f t="shared" si="74"/>
        <v>1</v>
      </c>
      <c r="C2384" s="4" t="s">
        <v>869</v>
      </c>
      <c r="D2384" s="8" t="s">
        <v>2891</v>
      </c>
      <c r="E2384" s="4" t="s">
        <v>3</v>
      </c>
      <c r="F2384" s="2" t="str">
        <f t="shared" si="75"/>
        <v>Non-routine cognitive</v>
      </c>
    </row>
    <row r="2385" spans="1:6" ht="28.5" x14ac:dyDescent="0.4">
      <c r="A2385" s="3">
        <v>1342</v>
      </c>
      <c r="B2385" s="3" t="str">
        <f t="shared" si="74"/>
        <v>1</v>
      </c>
      <c r="C2385" s="4" t="s">
        <v>869</v>
      </c>
      <c r="D2385" s="8" t="s">
        <v>2892</v>
      </c>
      <c r="E2385" s="4" t="s">
        <v>4</v>
      </c>
      <c r="F2385" s="2" t="str">
        <f t="shared" si="75"/>
        <v>Non-routine cognitive</v>
      </c>
    </row>
    <row r="2386" spans="1:6" ht="28.5" x14ac:dyDescent="0.4">
      <c r="A2386" s="3">
        <v>1342</v>
      </c>
      <c r="B2386" s="3" t="str">
        <f t="shared" si="74"/>
        <v>1</v>
      </c>
      <c r="C2386" s="4" t="s">
        <v>869</v>
      </c>
      <c r="D2386" s="10" t="s">
        <v>2893</v>
      </c>
      <c r="E2386" s="4" t="s">
        <v>3</v>
      </c>
      <c r="F2386" s="2" t="str">
        <f t="shared" si="75"/>
        <v>Non-routine cognitive</v>
      </c>
    </row>
    <row r="2387" spans="1:6" ht="57" x14ac:dyDescent="0.4">
      <c r="A2387" s="3">
        <v>1342</v>
      </c>
      <c r="B2387" s="3" t="str">
        <f t="shared" si="74"/>
        <v>1</v>
      </c>
      <c r="C2387" s="4" t="s">
        <v>869</v>
      </c>
      <c r="D2387" s="5" t="s">
        <v>2894</v>
      </c>
      <c r="E2387" s="4" t="s">
        <v>4</v>
      </c>
      <c r="F2387" s="2" t="str">
        <f t="shared" si="75"/>
        <v>Non-routine cognitive</v>
      </c>
    </row>
    <row r="2388" spans="1:6" ht="71.25" x14ac:dyDescent="0.4">
      <c r="A2388" s="3">
        <v>1342</v>
      </c>
      <c r="B2388" s="3" t="str">
        <f t="shared" si="74"/>
        <v>1</v>
      </c>
      <c r="C2388" s="4" t="s">
        <v>869</v>
      </c>
      <c r="D2388" s="5" t="s">
        <v>2895</v>
      </c>
      <c r="E2388" s="4" t="s">
        <v>50</v>
      </c>
      <c r="F2388" s="2" t="str">
        <f t="shared" si="75"/>
        <v>Routine cognitive</v>
      </c>
    </row>
    <row r="2389" spans="1:6" ht="42.75" x14ac:dyDescent="0.4">
      <c r="A2389" s="3">
        <v>1342</v>
      </c>
      <c r="B2389" s="3" t="str">
        <f t="shared" si="74"/>
        <v>1</v>
      </c>
      <c r="C2389" s="4" t="s">
        <v>869</v>
      </c>
      <c r="D2389" s="5" t="s">
        <v>2896</v>
      </c>
      <c r="E2389" s="4" t="s">
        <v>3</v>
      </c>
      <c r="F2389" s="2" t="str">
        <f t="shared" si="75"/>
        <v>Non-routine cognitive</v>
      </c>
    </row>
    <row r="2390" spans="1:6" ht="57" x14ac:dyDescent="0.4">
      <c r="A2390" s="3">
        <v>1342</v>
      </c>
      <c r="B2390" s="3" t="str">
        <f t="shared" si="74"/>
        <v>1</v>
      </c>
      <c r="C2390" s="4" t="s">
        <v>869</v>
      </c>
      <c r="D2390" s="5" t="s">
        <v>2897</v>
      </c>
      <c r="E2390" s="4" t="s">
        <v>3</v>
      </c>
      <c r="F2390" s="2" t="str">
        <f t="shared" si="75"/>
        <v>Non-routine cognitive</v>
      </c>
    </row>
    <row r="2391" spans="1:6" ht="42.75" x14ac:dyDescent="0.4">
      <c r="A2391" s="3">
        <v>1342</v>
      </c>
      <c r="B2391" s="3" t="str">
        <f t="shared" si="74"/>
        <v>1</v>
      </c>
      <c r="C2391" s="4" t="s">
        <v>869</v>
      </c>
      <c r="D2391" s="10" t="s">
        <v>2898</v>
      </c>
      <c r="E2391" s="4" t="s">
        <v>4</v>
      </c>
      <c r="F2391" s="2" t="str">
        <f t="shared" si="75"/>
        <v>Non-routine cognitive</v>
      </c>
    </row>
    <row r="2392" spans="1:6" ht="28.5" x14ac:dyDescent="0.4">
      <c r="A2392" s="3">
        <v>1342</v>
      </c>
      <c r="B2392" s="3" t="str">
        <f t="shared" si="74"/>
        <v>1</v>
      </c>
      <c r="C2392" s="4" t="s">
        <v>869</v>
      </c>
      <c r="D2392" s="8" t="s">
        <v>2899</v>
      </c>
      <c r="E2392" s="4" t="s">
        <v>3</v>
      </c>
      <c r="F2392" s="2" t="str">
        <f t="shared" si="75"/>
        <v>Non-routine cognitive</v>
      </c>
    </row>
    <row r="2393" spans="1:6" ht="28.5" x14ac:dyDescent="0.4">
      <c r="A2393" s="3">
        <v>1343</v>
      </c>
      <c r="B2393" s="3" t="str">
        <f t="shared" si="74"/>
        <v>1</v>
      </c>
      <c r="C2393" s="4" t="s">
        <v>870</v>
      </c>
      <c r="D2393" s="4" t="s">
        <v>71</v>
      </c>
      <c r="E2393" s="4" t="s">
        <v>3</v>
      </c>
      <c r="F2393" s="2" t="str">
        <f t="shared" si="75"/>
        <v>Non-routine cognitive</v>
      </c>
    </row>
    <row r="2394" spans="1:6" ht="42.75" x14ac:dyDescent="0.4">
      <c r="A2394" s="3">
        <v>1343</v>
      </c>
      <c r="B2394" s="3" t="str">
        <f t="shared" si="74"/>
        <v>1</v>
      </c>
      <c r="C2394" s="4" t="s">
        <v>870</v>
      </c>
      <c r="D2394" s="8" t="s">
        <v>2891</v>
      </c>
      <c r="E2394" s="4" t="s">
        <v>3</v>
      </c>
      <c r="F2394" s="2" t="str">
        <f t="shared" si="75"/>
        <v>Non-routine cognitive</v>
      </c>
    </row>
    <row r="2395" spans="1:6" ht="28.5" x14ac:dyDescent="0.4">
      <c r="A2395" s="3">
        <v>1343</v>
      </c>
      <c r="B2395" s="3" t="str">
        <f t="shared" si="74"/>
        <v>1</v>
      </c>
      <c r="C2395" s="4" t="s">
        <v>870</v>
      </c>
      <c r="D2395" s="8" t="s">
        <v>2892</v>
      </c>
      <c r="E2395" s="4" t="s">
        <v>4</v>
      </c>
      <c r="F2395" s="2" t="str">
        <f t="shared" si="75"/>
        <v>Non-routine cognitive</v>
      </c>
    </row>
    <row r="2396" spans="1:6" x14ac:dyDescent="0.4">
      <c r="A2396" s="3">
        <v>1343</v>
      </c>
      <c r="B2396" s="3" t="str">
        <f t="shared" si="74"/>
        <v>1</v>
      </c>
      <c r="C2396" s="4" t="s">
        <v>870</v>
      </c>
      <c r="D2396" s="7" t="s">
        <v>871</v>
      </c>
      <c r="E2396" s="4" t="s">
        <v>3</v>
      </c>
      <c r="F2396" s="2" t="str">
        <f t="shared" si="75"/>
        <v>Non-routine cognitive</v>
      </c>
    </row>
    <row r="2397" spans="1:6" ht="57" x14ac:dyDescent="0.4">
      <c r="A2397" s="3">
        <v>1343</v>
      </c>
      <c r="B2397" s="3" t="str">
        <f t="shared" si="74"/>
        <v>1</v>
      </c>
      <c r="C2397" s="4" t="s">
        <v>870</v>
      </c>
      <c r="D2397" s="5" t="s">
        <v>2900</v>
      </c>
      <c r="E2397" s="4" t="s">
        <v>4</v>
      </c>
      <c r="F2397" s="2" t="str">
        <f t="shared" si="75"/>
        <v>Non-routine cognitive</v>
      </c>
    </row>
    <row r="2398" spans="1:6" ht="28.5" x14ac:dyDescent="0.4">
      <c r="A2398" s="3">
        <v>1343</v>
      </c>
      <c r="B2398" s="3" t="str">
        <f t="shared" si="74"/>
        <v>1</v>
      </c>
      <c r="C2398" s="4" t="s">
        <v>870</v>
      </c>
      <c r="D2398" s="8" t="s">
        <v>2901</v>
      </c>
      <c r="E2398" s="4" t="s">
        <v>50</v>
      </c>
      <c r="F2398" s="2" t="str">
        <f t="shared" si="75"/>
        <v>Routine cognitive</v>
      </c>
    </row>
    <row r="2399" spans="1:6" ht="42.75" x14ac:dyDescent="0.4">
      <c r="A2399" s="3">
        <v>1343</v>
      </c>
      <c r="B2399" s="3" t="str">
        <f t="shared" si="74"/>
        <v>1</v>
      </c>
      <c r="C2399" s="4" t="s">
        <v>870</v>
      </c>
      <c r="D2399" s="5" t="s">
        <v>2902</v>
      </c>
      <c r="E2399" s="4" t="s">
        <v>4</v>
      </c>
      <c r="F2399" s="2" t="str">
        <f t="shared" si="75"/>
        <v>Non-routine cognitive</v>
      </c>
    </row>
    <row r="2400" spans="1:6" ht="42.75" x14ac:dyDescent="0.4">
      <c r="A2400" s="3">
        <v>1343</v>
      </c>
      <c r="B2400" s="3" t="str">
        <f t="shared" si="74"/>
        <v>1</v>
      </c>
      <c r="C2400" s="4" t="s">
        <v>870</v>
      </c>
      <c r="D2400" s="5" t="s">
        <v>2903</v>
      </c>
      <c r="E2400" s="4" t="s">
        <v>3</v>
      </c>
      <c r="F2400" s="2" t="str">
        <f t="shared" si="75"/>
        <v>Non-routine cognitive</v>
      </c>
    </row>
    <row r="2401" spans="1:6" ht="42.75" x14ac:dyDescent="0.4">
      <c r="A2401" s="3">
        <v>1343</v>
      </c>
      <c r="B2401" s="3" t="str">
        <f t="shared" si="74"/>
        <v>1</v>
      </c>
      <c r="C2401" s="4" t="s">
        <v>870</v>
      </c>
      <c r="D2401" s="10" t="s">
        <v>2898</v>
      </c>
      <c r="E2401" s="4" t="s">
        <v>4</v>
      </c>
      <c r="F2401" s="2" t="str">
        <f t="shared" si="75"/>
        <v>Non-routine cognitive</v>
      </c>
    </row>
    <row r="2402" spans="1:6" ht="42.75" x14ac:dyDescent="0.4">
      <c r="A2402" s="3">
        <v>1343</v>
      </c>
      <c r="B2402" s="3" t="str">
        <f t="shared" si="74"/>
        <v>1</v>
      </c>
      <c r="C2402" s="4" t="s">
        <v>870</v>
      </c>
      <c r="D2402" s="8" t="s">
        <v>2904</v>
      </c>
      <c r="E2402" s="4" t="s">
        <v>3</v>
      </c>
      <c r="F2402" s="2" t="str">
        <f t="shared" si="75"/>
        <v>Non-routine cognitive</v>
      </c>
    </row>
    <row r="2403" spans="1:6" ht="28.5" x14ac:dyDescent="0.4">
      <c r="A2403" s="3">
        <v>1344</v>
      </c>
      <c r="B2403" s="3" t="str">
        <f t="shared" si="74"/>
        <v>1</v>
      </c>
      <c r="C2403" s="4" t="s">
        <v>872</v>
      </c>
      <c r="D2403" s="5" t="s">
        <v>2905</v>
      </c>
      <c r="E2403" s="4" t="s">
        <v>3</v>
      </c>
      <c r="F2403" s="2" t="str">
        <f t="shared" si="75"/>
        <v>Non-routine cognitive</v>
      </c>
    </row>
    <row r="2404" spans="1:6" ht="42.75" x14ac:dyDescent="0.4">
      <c r="A2404" s="3">
        <v>1344</v>
      </c>
      <c r="B2404" s="3" t="str">
        <f t="shared" si="74"/>
        <v>1</v>
      </c>
      <c r="C2404" s="4" t="s">
        <v>872</v>
      </c>
      <c r="D2404" s="8" t="s">
        <v>1263</v>
      </c>
      <c r="E2404" s="4" t="s">
        <v>4</v>
      </c>
      <c r="F2404" s="2" t="str">
        <f t="shared" si="75"/>
        <v>Non-routine cognitive</v>
      </c>
    </row>
    <row r="2405" spans="1:6" ht="28.5" x14ac:dyDescent="0.4">
      <c r="A2405" s="3">
        <v>1344</v>
      </c>
      <c r="B2405" s="3" t="str">
        <f t="shared" si="74"/>
        <v>1</v>
      </c>
      <c r="C2405" s="4" t="s">
        <v>872</v>
      </c>
      <c r="D2405" s="8" t="s">
        <v>2906</v>
      </c>
      <c r="E2405" s="4" t="s">
        <v>4</v>
      </c>
      <c r="F2405" s="2" t="str">
        <f t="shared" si="75"/>
        <v>Non-routine cognitive</v>
      </c>
    </row>
    <row r="2406" spans="1:6" ht="42.75" x14ac:dyDescent="0.4">
      <c r="A2406" s="3">
        <v>1344</v>
      </c>
      <c r="B2406" s="3" t="str">
        <f t="shared" si="74"/>
        <v>1</v>
      </c>
      <c r="C2406" s="4" t="s">
        <v>872</v>
      </c>
      <c r="D2406" s="8" t="s">
        <v>2907</v>
      </c>
      <c r="E2406" s="4" t="s">
        <v>4</v>
      </c>
      <c r="F2406" s="2" t="str">
        <f t="shared" si="75"/>
        <v>Non-routine cognitive</v>
      </c>
    </row>
    <row r="2407" spans="1:6" ht="57" x14ac:dyDescent="0.4">
      <c r="A2407" s="3">
        <v>1344</v>
      </c>
      <c r="B2407" s="3" t="str">
        <f t="shared" si="74"/>
        <v>1</v>
      </c>
      <c r="C2407" s="4" t="s">
        <v>872</v>
      </c>
      <c r="D2407" s="8" t="s">
        <v>2908</v>
      </c>
      <c r="E2407" s="4" t="s">
        <v>3</v>
      </c>
      <c r="F2407" s="2" t="str">
        <f t="shared" si="75"/>
        <v>Non-routine cognitive</v>
      </c>
    </row>
    <row r="2408" spans="1:6" ht="28.5" x14ac:dyDescent="0.4">
      <c r="A2408" s="3">
        <v>1344</v>
      </c>
      <c r="B2408" s="3" t="str">
        <f t="shared" si="74"/>
        <v>1</v>
      </c>
      <c r="C2408" s="4" t="s">
        <v>872</v>
      </c>
      <c r="D2408" s="8" t="s">
        <v>2909</v>
      </c>
      <c r="E2408" s="4" t="s">
        <v>4</v>
      </c>
      <c r="F2408" s="2" t="str">
        <f t="shared" si="75"/>
        <v>Non-routine cognitive</v>
      </c>
    </row>
    <row r="2409" spans="1:6" ht="42.75" x14ac:dyDescent="0.4">
      <c r="A2409" s="3">
        <v>1344</v>
      </c>
      <c r="B2409" s="3" t="str">
        <f t="shared" si="74"/>
        <v>1</v>
      </c>
      <c r="C2409" s="4" t="s">
        <v>872</v>
      </c>
      <c r="D2409" s="8" t="s">
        <v>2910</v>
      </c>
      <c r="E2409" s="4" t="s">
        <v>3</v>
      </c>
      <c r="F2409" s="2" t="str">
        <f t="shared" si="75"/>
        <v>Non-routine cognitive</v>
      </c>
    </row>
    <row r="2410" spans="1:6" ht="28.5" x14ac:dyDescent="0.4">
      <c r="A2410" s="3">
        <v>1344</v>
      </c>
      <c r="B2410" s="3" t="str">
        <f t="shared" si="74"/>
        <v>1</v>
      </c>
      <c r="C2410" s="4" t="s">
        <v>872</v>
      </c>
      <c r="D2410" s="8" t="s">
        <v>1160</v>
      </c>
      <c r="E2410" s="4" t="s">
        <v>4</v>
      </c>
      <c r="F2410" s="2" t="str">
        <f t="shared" si="75"/>
        <v>Non-routine cognitive</v>
      </c>
    </row>
    <row r="2411" spans="1:6" ht="28.5" x14ac:dyDescent="0.4">
      <c r="A2411" s="3">
        <v>1344</v>
      </c>
      <c r="B2411" s="3" t="str">
        <f t="shared" si="74"/>
        <v>1</v>
      </c>
      <c r="C2411" s="4" t="s">
        <v>872</v>
      </c>
      <c r="D2411" s="8" t="s">
        <v>1231</v>
      </c>
      <c r="E2411" s="4" t="s">
        <v>3</v>
      </c>
      <c r="F2411" s="2" t="str">
        <f t="shared" si="75"/>
        <v>Non-routine cognitive</v>
      </c>
    </row>
    <row r="2412" spans="1:6" ht="28.5" x14ac:dyDescent="0.4">
      <c r="A2412" s="3">
        <v>1344</v>
      </c>
      <c r="B2412" s="3" t="str">
        <f t="shared" si="74"/>
        <v>1</v>
      </c>
      <c r="C2412" s="4" t="s">
        <v>872</v>
      </c>
      <c r="D2412" s="8" t="s">
        <v>1161</v>
      </c>
      <c r="E2412" s="4" t="s">
        <v>3</v>
      </c>
      <c r="F2412" s="2" t="str">
        <f t="shared" si="75"/>
        <v>Non-routine cognitive</v>
      </c>
    </row>
    <row r="2413" spans="1:6" ht="42.75" x14ac:dyDescent="0.4">
      <c r="A2413" s="3">
        <v>1411</v>
      </c>
      <c r="B2413" s="3" t="str">
        <f t="shared" si="74"/>
        <v>1</v>
      </c>
      <c r="C2413" s="4" t="s">
        <v>873</v>
      </c>
      <c r="D2413" s="5" t="s">
        <v>2911</v>
      </c>
      <c r="E2413" s="4" t="s">
        <v>3</v>
      </c>
      <c r="F2413" s="2" t="str">
        <f t="shared" si="75"/>
        <v>Non-routine cognitive</v>
      </c>
    </row>
    <row r="2414" spans="1:6" ht="28.5" x14ac:dyDescent="0.4">
      <c r="A2414" s="3">
        <v>1411</v>
      </c>
      <c r="B2414" s="3" t="str">
        <f t="shared" si="74"/>
        <v>1</v>
      </c>
      <c r="C2414" s="4" t="s">
        <v>873</v>
      </c>
      <c r="D2414" s="8" t="s">
        <v>2912</v>
      </c>
      <c r="E2414" s="4" t="s">
        <v>3</v>
      </c>
      <c r="F2414" s="2" t="str">
        <f t="shared" si="75"/>
        <v>Non-routine cognitive</v>
      </c>
    </row>
    <row r="2415" spans="1:6" ht="28.5" x14ac:dyDescent="0.4">
      <c r="A2415" s="3">
        <v>1411</v>
      </c>
      <c r="B2415" s="3" t="str">
        <f t="shared" si="74"/>
        <v>1</v>
      </c>
      <c r="C2415" s="4" t="s">
        <v>873</v>
      </c>
      <c r="D2415" s="8" t="s">
        <v>2913</v>
      </c>
      <c r="E2415" s="4" t="s">
        <v>3</v>
      </c>
      <c r="F2415" s="2" t="str">
        <f t="shared" si="75"/>
        <v>Non-routine cognitive</v>
      </c>
    </row>
    <row r="2416" spans="1:6" ht="28.5" x14ac:dyDescent="0.4">
      <c r="A2416" s="3">
        <v>1411</v>
      </c>
      <c r="B2416" s="3" t="str">
        <f t="shared" si="74"/>
        <v>1</v>
      </c>
      <c r="C2416" s="4" t="s">
        <v>873</v>
      </c>
      <c r="D2416" s="8" t="s">
        <v>2914</v>
      </c>
      <c r="E2416" s="4" t="s">
        <v>50</v>
      </c>
      <c r="F2416" s="2" t="str">
        <f t="shared" si="75"/>
        <v>Routine cognitive</v>
      </c>
    </row>
    <row r="2417" spans="1:6" x14ac:dyDescent="0.4">
      <c r="A2417" s="3">
        <v>1411</v>
      </c>
      <c r="B2417" s="3" t="str">
        <f t="shared" si="74"/>
        <v>1</v>
      </c>
      <c r="C2417" s="4" t="s">
        <v>873</v>
      </c>
      <c r="D2417" s="6" t="s">
        <v>874</v>
      </c>
      <c r="E2417" s="4" t="s">
        <v>4</v>
      </c>
      <c r="F2417" s="2" t="str">
        <f t="shared" si="75"/>
        <v>Non-routine cognitive</v>
      </c>
    </row>
    <row r="2418" spans="1:6" x14ac:dyDescent="0.4">
      <c r="A2418" s="3">
        <v>1411</v>
      </c>
      <c r="B2418" s="3" t="str">
        <f t="shared" si="74"/>
        <v>1</v>
      </c>
      <c r="C2418" s="4" t="s">
        <v>873</v>
      </c>
      <c r="D2418" s="6" t="s">
        <v>875</v>
      </c>
      <c r="E2418" s="4" t="s">
        <v>3</v>
      </c>
      <c r="F2418" s="2" t="str">
        <f t="shared" si="75"/>
        <v>Non-routine cognitive</v>
      </c>
    </row>
    <row r="2419" spans="1:6" x14ac:dyDescent="0.4">
      <c r="A2419" s="3">
        <v>1411</v>
      </c>
      <c r="B2419" s="3" t="str">
        <f t="shared" si="74"/>
        <v>1</v>
      </c>
      <c r="C2419" s="4" t="s">
        <v>873</v>
      </c>
      <c r="D2419" s="6" t="s">
        <v>876</v>
      </c>
      <c r="E2419" s="4" t="s">
        <v>4</v>
      </c>
      <c r="F2419" s="2" t="str">
        <f t="shared" si="75"/>
        <v>Non-routine cognitive</v>
      </c>
    </row>
    <row r="2420" spans="1:6" ht="28.5" x14ac:dyDescent="0.4">
      <c r="A2420" s="3">
        <v>1411</v>
      </c>
      <c r="B2420" s="3" t="str">
        <f t="shared" si="74"/>
        <v>1</v>
      </c>
      <c r="C2420" s="4" t="s">
        <v>873</v>
      </c>
      <c r="D2420" s="10" t="s">
        <v>2915</v>
      </c>
      <c r="E2420" s="4" t="s">
        <v>3</v>
      </c>
      <c r="F2420" s="2" t="str">
        <f t="shared" si="75"/>
        <v>Non-routine cognitive</v>
      </c>
    </row>
    <row r="2421" spans="1:6" ht="28.5" x14ac:dyDescent="0.4">
      <c r="A2421" s="3">
        <v>1411</v>
      </c>
      <c r="B2421" s="3" t="str">
        <f t="shared" si="74"/>
        <v>1</v>
      </c>
      <c r="C2421" s="4" t="s">
        <v>873</v>
      </c>
      <c r="D2421" s="8" t="s">
        <v>2916</v>
      </c>
      <c r="E2421" s="4" t="s">
        <v>50</v>
      </c>
      <c r="F2421" s="2" t="str">
        <f t="shared" si="75"/>
        <v>Routine cognitive</v>
      </c>
    </row>
    <row r="2422" spans="1:6" ht="28.5" x14ac:dyDescent="0.4">
      <c r="A2422" s="3">
        <v>1411</v>
      </c>
      <c r="B2422" s="3" t="str">
        <f t="shared" si="74"/>
        <v>1</v>
      </c>
      <c r="C2422" s="4" t="s">
        <v>873</v>
      </c>
      <c r="D2422" s="5" t="s">
        <v>2917</v>
      </c>
      <c r="E2422" s="4" t="s">
        <v>50</v>
      </c>
      <c r="F2422" s="2" t="str">
        <f t="shared" si="75"/>
        <v>Routine cognitive</v>
      </c>
    </row>
    <row r="2423" spans="1:6" ht="57" x14ac:dyDescent="0.4">
      <c r="A2423" s="3">
        <v>2111</v>
      </c>
      <c r="B2423" s="3" t="str">
        <f t="shared" si="74"/>
        <v>2</v>
      </c>
      <c r="C2423" s="4" t="s">
        <v>877</v>
      </c>
      <c r="D2423" s="5" t="s">
        <v>2918</v>
      </c>
      <c r="E2423" s="4" t="s">
        <v>4</v>
      </c>
      <c r="F2423" s="2" t="str">
        <f t="shared" si="75"/>
        <v>Non-routine cognitive</v>
      </c>
    </row>
    <row r="2424" spans="1:6" ht="85.5" x14ac:dyDescent="0.4">
      <c r="A2424" s="3">
        <v>2111</v>
      </c>
      <c r="B2424" s="3" t="str">
        <f t="shared" si="74"/>
        <v>2</v>
      </c>
      <c r="C2424" s="4" t="s">
        <v>877</v>
      </c>
      <c r="D2424" s="5" t="s">
        <v>2919</v>
      </c>
      <c r="E2424" s="4" t="s">
        <v>4</v>
      </c>
      <c r="F2424" s="2" t="str">
        <f t="shared" si="75"/>
        <v>Non-routine cognitive</v>
      </c>
    </row>
    <row r="2425" spans="1:6" ht="42.75" x14ac:dyDescent="0.4">
      <c r="A2425" s="3">
        <v>2111</v>
      </c>
      <c r="B2425" s="3" t="str">
        <f t="shared" si="74"/>
        <v>2</v>
      </c>
      <c r="C2425" s="4" t="s">
        <v>877</v>
      </c>
      <c r="D2425" s="5" t="s">
        <v>2920</v>
      </c>
      <c r="E2425" s="4" t="s">
        <v>4</v>
      </c>
      <c r="F2425" s="2" t="str">
        <f t="shared" si="75"/>
        <v>Non-routine cognitive</v>
      </c>
    </row>
    <row r="2426" spans="1:6" ht="71.25" x14ac:dyDescent="0.4">
      <c r="A2426" s="3">
        <v>2111</v>
      </c>
      <c r="B2426" s="3" t="str">
        <f t="shared" si="74"/>
        <v>2</v>
      </c>
      <c r="C2426" s="4" t="s">
        <v>877</v>
      </c>
      <c r="D2426" s="8" t="s">
        <v>2921</v>
      </c>
      <c r="E2426" s="4" t="s">
        <v>4</v>
      </c>
      <c r="F2426" s="2" t="str">
        <f t="shared" si="75"/>
        <v>Non-routine cognitive</v>
      </c>
    </row>
    <row r="2427" spans="1:6" ht="57" x14ac:dyDescent="0.4">
      <c r="A2427" s="3">
        <v>2111</v>
      </c>
      <c r="B2427" s="3" t="str">
        <f t="shared" si="74"/>
        <v>2</v>
      </c>
      <c r="C2427" s="4" t="s">
        <v>877</v>
      </c>
      <c r="D2427" s="5" t="s">
        <v>2922</v>
      </c>
      <c r="E2427" s="4" t="s">
        <v>50</v>
      </c>
      <c r="F2427" s="2" t="str">
        <f t="shared" si="75"/>
        <v>Routine cognitive</v>
      </c>
    </row>
    <row r="2428" spans="1:6" ht="42.75" x14ac:dyDescent="0.4">
      <c r="A2428" s="3">
        <v>2111</v>
      </c>
      <c r="B2428" s="3" t="str">
        <f t="shared" si="74"/>
        <v>2</v>
      </c>
      <c r="C2428" s="4" t="s">
        <v>877</v>
      </c>
      <c r="D2428" s="5" t="s">
        <v>2923</v>
      </c>
      <c r="E2428" s="4" t="s">
        <v>50</v>
      </c>
      <c r="F2428" s="2" t="str">
        <f t="shared" si="75"/>
        <v>Routine cognitive</v>
      </c>
    </row>
    <row r="2429" spans="1:6" ht="42.75" x14ac:dyDescent="0.4">
      <c r="A2429" s="3">
        <v>2111</v>
      </c>
      <c r="B2429" s="3" t="str">
        <f t="shared" si="74"/>
        <v>2</v>
      </c>
      <c r="C2429" s="4" t="s">
        <v>877</v>
      </c>
      <c r="D2429" s="5" t="s">
        <v>2924</v>
      </c>
      <c r="E2429" s="4" t="s">
        <v>50</v>
      </c>
      <c r="F2429" s="2" t="str">
        <f t="shared" si="75"/>
        <v>Routine cognitive</v>
      </c>
    </row>
    <row r="2430" spans="1:6" ht="57" x14ac:dyDescent="0.4">
      <c r="A2430" s="3">
        <v>2111</v>
      </c>
      <c r="B2430" s="3" t="str">
        <f t="shared" si="74"/>
        <v>2</v>
      </c>
      <c r="C2430" s="4" t="s">
        <v>877</v>
      </c>
      <c r="D2430" s="5" t="s">
        <v>2925</v>
      </c>
      <c r="E2430" s="4" t="s">
        <v>4</v>
      </c>
      <c r="F2430" s="2" t="str">
        <f t="shared" si="75"/>
        <v>Non-routine cognitive</v>
      </c>
    </row>
    <row r="2431" spans="1:6" ht="71.25" x14ac:dyDescent="0.4">
      <c r="A2431" s="3">
        <v>2111</v>
      </c>
      <c r="B2431" s="3" t="str">
        <f t="shared" si="74"/>
        <v>2</v>
      </c>
      <c r="C2431" s="4" t="s">
        <v>877</v>
      </c>
      <c r="D2431" s="5" t="s">
        <v>2926</v>
      </c>
      <c r="E2431" s="4" t="s">
        <v>4</v>
      </c>
      <c r="F2431" s="2" t="str">
        <f t="shared" si="75"/>
        <v>Non-routine cognitive</v>
      </c>
    </row>
    <row r="2432" spans="1:6" ht="42.75" x14ac:dyDescent="0.4">
      <c r="A2432" s="3">
        <v>2111</v>
      </c>
      <c r="B2432" s="3" t="str">
        <f t="shared" si="74"/>
        <v>2</v>
      </c>
      <c r="C2432" s="4" t="s">
        <v>877</v>
      </c>
      <c r="D2432" s="5" t="s">
        <v>2927</v>
      </c>
      <c r="E2432" s="4" t="s">
        <v>4</v>
      </c>
      <c r="F2432" s="2" t="str">
        <f t="shared" si="75"/>
        <v>Non-routine cognitive</v>
      </c>
    </row>
    <row r="2433" spans="1:6" x14ac:dyDescent="0.4">
      <c r="A2433" s="3">
        <v>2111</v>
      </c>
      <c r="B2433" s="3" t="str">
        <f t="shared" si="74"/>
        <v>2</v>
      </c>
      <c r="C2433" s="4" t="s">
        <v>877</v>
      </c>
      <c r="D2433" s="6" t="s">
        <v>878</v>
      </c>
      <c r="E2433" s="4" t="s">
        <v>4</v>
      </c>
      <c r="F2433" s="2" t="str">
        <f t="shared" si="75"/>
        <v>Non-routine cognitive</v>
      </c>
    </row>
    <row r="2434" spans="1:6" ht="71.25" x14ac:dyDescent="0.4">
      <c r="A2434" s="3">
        <v>2112</v>
      </c>
      <c r="B2434" s="3" t="str">
        <f t="shared" si="74"/>
        <v>2</v>
      </c>
      <c r="C2434" s="4" t="s">
        <v>879</v>
      </c>
      <c r="D2434" s="5" t="s">
        <v>2928</v>
      </c>
      <c r="E2434" s="4" t="s">
        <v>4</v>
      </c>
      <c r="F2434" s="2" t="str">
        <f t="shared" si="75"/>
        <v>Non-routine cognitive</v>
      </c>
    </row>
    <row r="2435" spans="1:6" ht="42.75" x14ac:dyDescent="0.4">
      <c r="A2435" s="3">
        <v>2112</v>
      </c>
      <c r="B2435" s="3" t="str">
        <f t="shared" ref="B2435:B2498" si="76">LEFT(A2435,1)</f>
        <v>2</v>
      </c>
      <c r="C2435" s="4" t="s">
        <v>879</v>
      </c>
      <c r="D2435" s="5" t="s">
        <v>2929</v>
      </c>
      <c r="E2435" s="4" t="s">
        <v>4</v>
      </c>
      <c r="F2435" s="2" t="str">
        <f t="shared" ref="F2435:F2498" si="77">IF(E2435="Non-routine interpersonal","Non-routine cognitive",IF(E2435="Non-routine analytical","Non-routine cognitive",IF(E2435="Non-routine manual physical","Non-routine manual",E2435)))</f>
        <v>Non-routine cognitive</v>
      </c>
    </row>
    <row r="2436" spans="1:6" ht="85.5" x14ac:dyDescent="0.4">
      <c r="A2436" s="3">
        <v>2112</v>
      </c>
      <c r="B2436" s="3" t="str">
        <f t="shared" si="76"/>
        <v>2</v>
      </c>
      <c r="C2436" s="4" t="s">
        <v>879</v>
      </c>
      <c r="D2436" s="5" t="s">
        <v>2930</v>
      </c>
      <c r="E2436" s="4" t="s">
        <v>4</v>
      </c>
      <c r="F2436" s="2" t="str">
        <f t="shared" si="77"/>
        <v>Non-routine cognitive</v>
      </c>
    </row>
    <row r="2437" spans="1:6" ht="42.75" x14ac:dyDescent="0.4">
      <c r="A2437" s="3">
        <v>2112</v>
      </c>
      <c r="B2437" s="3" t="str">
        <f t="shared" si="76"/>
        <v>2</v>
      </c>
      <c r="C2437" s="4" t="s">
        <v>879</v>
      </c>
      <c r="D2437" s="8" t="s">
        <v>2931</v>
      </c>
      <c r="E2437" s="4" t="s">
        <v>50</v>
      </c>
      <c r="F2437" s="2" t="str">
        <f t="shared" si="77"/>
        <v>Routine cognitive</v>
      </c>
    </row>
    <row r="2438" spans="1:6" ht="42.75" x14ac:dyDescent="0.4">
      <c r="A2438" s="3">
        <v>2112</v>
      </c>
      <c r="B2438" s="3" t="str">
        <f t="shared" si="76"/>
        <v>2</v>
      </c>
      <c r="C2438" s="4" t="s">
        <v>879</v>
      </c>
      <c r="D2438" s="5" t="s">
        <v>2932</v>
      </c>
      <c r="E2438" s="4" t="s">
        <v>4</v>
      </c>
      <c r="F2438" s="2" t="str">
        <f t="shared" si="77"/>
        <v>Non-routine cognitive</v>
      </c>
    </row>
    <row r="2439" spans="1:6" ht="28.5" x14ac:dyDescent="0.4">
      <c r="A2439" s="3">
        <v>2112</v>
      </c>
      <c r="B2439" s="3" t="str">
        <f t="shared" si="76"/>
        <v>2</v>
      </c>
      <c r="C2439" s="4" t="s">
        <v>879</v>
      </c>
      <c r="D2439" s="8" t="s">
        <v>2933</v>
      </c>
      <c r="E2439" s="4" t="s">
        <v>4</v>
      </c>
      <c r="F2439" s="2" t="str">
        <f t="shared" si="77"/>
        <v>Non-routine cognitive</v>
      </c>
    </row>
    <row r="2440" spans="1:6" ht="57" x14ac:dyDescent="0.4">
      <c r="A2440" s="3">
        <v>2112</v>
      </c>
      <c r="B2440" s="3" t="str">
        <f t="shared" si="76"/>
        <v>2</v>
      </c>
      <c r="C2440" s="4" t="s">
        <v>879</v>
      </c>
      <c r="D2440" s="5" t="s">
        <v>2934</v>
      </c>
      <c r="E2440" s="4" t="s">
        <v>4</v>
      </c>
      <c r="F2440" s="2" t="str">
        <f t="shared" si="77"/>
        <v>Non-routine cognitive</v>
      </c>
    </row>
    <row r="2441" spans="1:6" ht="57" x14ac:dyDescent="0.4">
      <c r="A2441" s="3">
        <v>2112</v>
      </c>
      <c r="B2441" s="3" t="str">
        <f t="shared" si="76"/>
        <v>2</v>
      </c>
      <c r="C2441" s="4" t="s">
        <v>879</v>
      </c>
      <c r="D2441" s="5" t="s">
        <v>2935</v>
      </c>
      <c r="E2441" s="4" t="s">
        <v>4</v>
      </c>
      <c r="F2441" s="2" t="str">
        <f t="shared" si="77"/>
        <v>Non-routine cognitive</v>
      </c>
    </row>
    <row r="2442" spans="1:6" ht="57" x14ac:dyDescent="0.4">
      <c r="A2442" s="3">
        <v>2112</v>
      </c>
      <c r="B2442" s="3" t="str">
        <f t="shared" si="76"/>
        <v>2</v>
      </c>
      <c r="C2442" s="4" t="s">
        <v>879</v>
      </c>
      <c r="D2442" s="5" t="s">
        <v>2936</v>
      </c>
      <c r="E2442" s="4" t="s">
        <v>4</v>
      </c>
      <c r="F2442" s="2" t="str">
        <f t="shared" si="77"/>
        <v>Non-routine cognitive</v>
      </c>
    </row>
    <row r="2443" spans="1:6" ht="42.75" x14ac:dyDescent="0.4">
      <c r="A2443" s="3">
        <v>2113</v>
      </c>
      <c r="B2443" s="3" t="str">
        <f t="shared" si="76"/>
        <v>2</v>
      </c>
      <c r="C2443" s="4" t="s">
        <v>880</v>
      </c>
      <c r="D2443" s="5" t="s">
        <v>2937</v>
      </c>
      <c r="E2443" s="4" t="s">
        <v>4</v>
      </c>
      <c r="F2443" s="2" t="str">
        <f t="shared" si="77"/>
        <v>Non-routine cognitive</v>
      </c>
    </row>
    <row r="2444" spans="1:6" ht="42.75" x14ac:dyDescent="0.4">
      <c r="A2444" s="3">
        <v>2113</v>
      </c>
      <c r="B2444" s="3" t="str">
        <f t="shared" si="76"/>
        <v>2</v>
      </c>
      <c r="C2444" s="4" t="s">
        <v>880</v>
      </c>
      <c r="D2444" s="5" t="s">
        <v>2938</v>
      </c>
      <c r="E2444" s="4" t="s">
        <v>4</v>
      </c>
      <c r="F2444" s="2" t="str">
        <f t="shared" si="77"/>
        <v>Non-routine cognitive</v>
      </c>
    </row>
    <row r="2445" spans="1:6" ht="42.75" x14ac:dyDescent="0.4">
      <c r="A2445" s="3">
        <v>2113</v>
      </c>
      <c r="B2445" s="3" t="str">
        <f t="shared" si="76"/>
        <v>2</v>
      </c>
      <c r="C2445" s="4" t="s">
        <v>880</v>
      </c>
      <c r="D2445" s="5" t="s">
        <v>2939</v>
      </c>
      <c r="E2445" s="4" t="s">
        <v>4</v>
      </c>
      <c r="F2445" s="2" t="str">
        <f t="shared" si="77"/>
        <v>Non-routine cognitive</v>
      </c>
    </row>
    <row r="2446" spans="1:6" ht="28.5" x14ac:dyDescent="0.4">
      <c r="A2446" s="3">
        <v>2113</v>
      </c>
      <c r="B2446" s="3" t="str">
        <f t="shared" si="76"/>
        <v>2</v>
      </c>
      <c r="C2446" s="4" t="s">
        <v>880</v>
      </c>
      <c r="D2446" s="6" t="s">
        <v>3670</v>
      </c>
      <c r="E2446" s="4" t="s">
        <v>4</v>
      </c>
      <c r="F2446" s="2" t="str">
        <f t="shared" si="77"/>
        <v>Non-routine cognitive</v>
      </c>
    </row>
    <row r="2447" spans="1:6" ht="42.75" x14ac:dyDescent="0.4">
      <c r="A2447" s="3">
        <v>2113</v>
      </c>
      <c r="B2447" s="3" t="str">
        <f t="shared" si="76"/>
        <v>2</v>
      </c>
      <c r="C2447" s="4" t="s">
        <v>880</v>
      </c>
      <c r="D2447" s="5" t="s">
        <v>2940</v>
      </c>
      <c r="E2447" s="4" t="s">
        <v>3</v>
      </c>
      <c r="F2447" s="2" t="str">
        <f t="shared" si="77"/>
        <v>Non-routine cognitive</v>
      </c>
    </row>
    <row r="2448" spans="1:6" ht="28.5" x14ac:dyDescent="0.4">
      <c r="A2448" s="3">
        <v>2113</v>
      </c>
      <c r="B2448" s="3" t="str">
        <f t="shared" si="76"/>
        <v>2</v>
      </c>
      <c r="C2448" s="4" t="s">
        <v>880</v>
      </c>
      <c r="D2448" s="8" t="s">
        <v>2941</v>
      </c>
      <c r="E2448" s="4" t="s">
        <v>4</v>
      </c>
      <c r="F2448" s="2" t="str">
        <f t="shared" si="77"/>
        <v>Non-routine cognitive</v>
      </c>
    </row>
    <row r="2449" spans="1:6" ht="28.5" x14ac:dyDescent="0.4">
      <c r="A2449" s="3">
        <v>2113</v>
      </c>
      <c r="B2449" s="3" t="str">
        <f t="shared" si="76"/>
        <v>2</v>
      </c>
      <c r="C2449" s="4" t="s">
        <v>880</v>
      </c>
      <c r="D2449" s="10" t="s">
        <v>2942</v>
      </c>
      <c r="E2449" s="4" t="s">
        <v>4</v>
      </c>
      <c r="F2449" s="2" t="str">
        <f t="shared" si="77"/>
        <v>Non-routine cognitive</v>
      </c>
    </row>
    <row r="2450" spans="1:6" ht="42.75" x14ac:dyDescent="0.4">
      <c r="A2450" s="3">
        <v>2113</v>
      </c>
      <c r="B2450" s="3" t="str">
        <f t="shared" si="76"/>
        <v>2</v>
      </c>
      <c r="C2450" s="4" t="s">
        <v>880</v>
      </c>
      <c r="D2450" s="5" t="s">
        <v>2943</v>
      </c>
      <c r="E2450" s="4" t="s">
        <v>4</v>
      </c>
      <c r="F2450" s="2" t="str">
        <f t="shared" si="77"/>
        <v>Non-routine cognitive</v>
      </c>
    </row>
    <row r="2451" spans="1:6" x14ac:dyDescent="0.4">
      <c r="A2451" s="3">
        <v>2113</v>
      </c>
      <c r="B2451" s="3" t="str">
        <f t="shared" si="76"/>
        <v>2</v>
      </c>
      <c r="C2451" s="4" t="s">
        <v>880</v>
      </c>
      <c r="D2451" s="6" t="s">
        <v>881</v>
      </c>
      <c r="E2451" s="4" t="s">
        <v>4</v>
      </c>
      <c r="F2451" s="2" t="str">
        <f t="shared" si="77"/>
        <v>Non-routine cognitive</v>
      </c>
    </row>
    <row r="2452" spans="1:6" ht="42.75" x14ac:dyDescent="0.4">
      <c r="A2452" s="3">
        <v>2114</v>
      </c>
      <c r="B2452" s="3" t="str">
        <f t="shared" si="76"/>
        <v>2</v>
      </c>
      <c r="C2452" s="4" t="s">
        <v>882</v>
      </c>
      <c r="D2452" s="5" t="s">
        <v>2944</v>
      </c>
      <c r="E2452" s="4" t="s">
        <v>4</v>
      </c>
      <c r="F2452" s="2" t="str">
        <f t="shared" si="77"/>
        <v>Non-routine cognitive</v>
      </c>
    </row>
    <row r="2453" spans="1:6" ht="71.25" x14ac:dyDescent="0.4">
      <c r="A2453" s="3">
        <v>2114</v>
      </c>
      <c r="B2453" s="3" t="str">
        <f t="shared" si="76"/>
        <v>2</v>
      </c>
      <c r="C2453" s="4" t="s">
        <v>882</v>
      </c>
      <c r="D2453" s="5" t="s">
        <v>2945</v>
      </c>
      <c r="E2453" s="4" t="s">
        <v>4</v>
      </c>
      <c r="F2453" s="2" t="str">
        <f t="shared" si="77"/>
        <v>Non-routine cognitive</v>
      </c>
    </row>
    <row r="2454" spans="1:6" ht="42.75" x14ac:dyDescent="0.4">
      <c r="A2454" s="3">
        <v>2114</v>
      </c>
      <c r="B2454" s="3" t="str">
        <f t="shared" si="76"/>
        <v>2</v>
      </c>
      <c r="C2454" s="4" t="s">
        <v>882</v>
      </c>
      <c r="D2454" s="8" t="s">
        <v>2946</v>
      </c>
      <c r="E2454" s="4" t="s">
        <v>4</v>
      </c>
      <c r="F2454" s="2" t="str">
        <f t="shared" si="77"/>
        <v>Non-routine cognitive</v>
      </c>
    </row>
    <row r="2455" spans="1:6" ht="57" x14ac:dyDescent="0.4">
      <c r="A2455" s="3">
        <v>2114</v>
      </c>
      <c r="B2455" s="3" t="str">
        <f t="shared" si="76"/>
        <v>2</v>
      </c>
      <c r="C2455" s="4" t="s">
        <v>882</v>
      </c>
      <c r="D2455" s="5" t="s">
        <v>2947</v>
      </c>
      <c r="E2455" s="4" t="s">
        <v>4</v>
      </c>
      <c r="F2455" s="2" t="str">
        <f t="shared" si="77"/>
        <v>Non-routine cognitive</v>
      </c>
    </row>
    <row r="2456" spans="1:6" ht="42.75" x14ac:dyDescent="0.4">
      <c r="A2456" s="3">
        <v>2114</v>
      </c>
      <c r="B2456" s="3" t="str">
        <f t="shared" si="76"/>
        <v>2</v>
      </c>
      <c r="C2456" s="4" t="s">
        <v>882</v>
      </c>
      <c r="D2456" s="8" t="s">
        <v>2948</v>
      </c>
      <c r="E2456" s="4" t="s">
        <v>4</v>
      </c>
      <c r="F2456" s="2" t="str">
        <f t="shared" si="77"/>
        <v>Non-routine cognitive</v>
      </c>
    </row>
    <row r="2457" spans="1:6" ht="57" x14ac:dyDescent="0.4">
      <c r="A2457" s="3">
        <v>2114</v>
      </c>
      <c r="B2457" s="3" t="str">
        <f t="shared" si="76"/>
        <v>2</v>
      </c>
      <c r="C2457" s="4" t="s">
        <v>882</v>
      </c>
      <c r="D2457" s="5" t="s">
        <v>2949</v>
      </c>
      <c r="E2457" s="4" t="s">
        <v>4</v>
      </c>
      <c r="F2457" s="2" t="str">
        <f t="shared" si="77"/>
        <v>Non-routine cognitive</v>
      </c>
    </row>
    <row r="2458" spans="1:6" ht="42.75" x14ac:dyDescent="0.4">
      <c r="A2458" s="3">
        <v>2114</v>
      </c>
      <c r="B2458" s="3" t="str">
        <f t="shared" si="76"/>
        <v>2</v>
      </c>
      <c r="C2458" s="4" t="s">
        <v>882</v>
      </c>
      <c r="D2458" s="8" t="s">
        <v>2950</v>
      </c>
      <c r="E2458" s="4" t="s">
        <v>4</v>
      </c>
      <c r="F2458" s="2" t="str">
        <f t="shared" si="77"/>
        <v>Non-routine cognitive</v>
      </c>
    </row>
    <row r="2459" spans="1:6" ht="42.75" x14ac:dyDescent="0.4">
      <c r="A2459" s="3">
        <v>2114</v>
      </c>
      <c r="B2459" s="3" t="str">
        <f t="shared" si="76"/>
        <v>2</v>
      </c>
      <c r="C2459" s="4" t="s">
        <v>882</v>
      </c>
      <c r="D2459" s="5" t="s">
        <v>2951</v>
      </c>
      <c r="E2459" s="4" t="s">
        <v>4</v>
      </c>
      <c r="F2459" s="2" t="str">
        <f t="shared" si="77"/>
        <v>Non-routine cognitive</v>
      </c>
    </row>
    <row r="2460" spans="1:6" ht="42.75" x14ac:dyDescent="0.4">
      <c r="A2460" s="3">
        <v>2114</v>
      </c>
      <c r="B2460" s="3" t="str">
        <f t="shared" si="76"/>
        <v>2</v>
      </c>
      <c r="C2460" s="4" t="s">
        <v>882</v>
      </c>
      <c r="D2460" s="5" t="s">
        <v>2952</v>
      </c>
      <c r="E2460" s="4" t="s">
        <v>4</v>
      </c>
      <c r="F2460" s="2" t="str">
        <f t="shared" si="77"/>
        <v>Non-routine cognitive</v>
      </c>
    </row>
    <row r="2461" spans="1:6" ht="42.75" x14ac:dyDescent="0.4">
      <c r="A2461" s="3">
        <v>2114</v>
      </c>
      <c r="B2461" s="3" t="str">
        <f t="shared" si="76"/>
        <v>2</v>
      </c>
      <c r="C2461" s="4" t="s">
        <v>882</v>
      </c>
      <c r="D2461" s="5" t="s">
        <v>2953</v>
      </c>
      <c r="E2461" s="4" t="s">
        <v>4</v>
      </c>
      <c r="F2461" s="2" t="str">
        <f t="shared" si="77"/>
        <v>Non-routine cognitive</v>
      </c>
    </row>
    <row r="2462" spans="1:6" ht="28.5" x14ac:dyDescent="0.4">
      <c r="A2462" s="3">
        <v>2114</v>
      </c>
      <c r="B2462" s="3" t="str">
        <f t="shared" si="76"/>
        <v>2</v>
      </c>
      <c r="C2462" s="4" t="s">
        <v>882</v>
      </c>
      <c r="D2462" s="8" t="s">
        <v>2954</v>
      </c>
      <c r="E2462" s="4" t="s">
        <v>4</v>
      </c>
      <c r="F2462" s="2" t="str">
        <f t="shared" si="77"/>
        <v>Non-routine cognitive</v>
      </c>
    </row>
    <row r="2463" spans="1:6" ht="42.75" x14ac:dyDescent="0.4">
      <c r="A2463" s="3">
        <v>2114</v>
      </c>
      <c r="B2463" s="3" t="str">
        <f t="shared" si="76"/>
        <v>2</v>
      </c>
      <c r="C2463" s="4" t="s">
        <v>882</v>
      </c>
      <c r="D2463" s="5" t="s">
        <v>2955</v>
      </c>
      <c r="E2463" s="4" t="s">
        <v>4</v>
      </c>
      <c r="F2463" s="2" t="str">
        <f t="shared" si="77"/>
        <v>Non-routine cognitive</v>
      </c>
    </row>
    <row r="2464" spans="1:6" ht="28.5" x14ac:dyDescent="0.4">
      <c r="A2464" s="3">
        <v>2120</v>
      </c>
      <c r="B2464" s="3" t="str">
        <f t="shared" si="76"/>
        <v>2</v>
      </c>
      <c r="C2464" s="4" t="s">
        <v>883</v>
      </c>
      <c r="D2464" s="8" t="s">
        <v>2956</v>
      </c>
      <c r="E2464" s="4" t="s">
        <v>4</v>
      </c>
      <c r="F2464" s="2" t="str">
        <f t="shared" si="77"/>
        <v>Non-routine cognitive</v>
      </c>
    </row>
    <row r="2465" spans="1:6" ht="42.75" x14ac:dyDescent="0.4">
      <c r="A2465" s="3">
        <v>2120</v>
      </c>
      <c r="B2465" s="3" t="str">
        <f t="shared" si="76"/>
        <v>2</v>
      </c>
      <c r="C2465" s="4" t="s">
        <v>883</v>
      </c>
      <c r="D2465" s="8" t="s">
        <v>2957</v>
      </c>
      <c r="E2465" s="4" t="s">
        <v>4</v>
      </c>
      <c r="F2465" s="2" t="str">
        <f t="shared" si="77"/>
        <v>Non-routine cognitive</v>
      </c>
    </row>
    <row r="2466" spans="1:6" ht="57" x14ac:dyDescent="0.4">
      <c r="A2466" s="3">
        <v>2120</v>
      </c>
      <c r="B2466" s="3" t="str">
        <f t="shared" si="76"/>
        <v>2</v>
      </c>
      <c r="C2466" s="4" t="s">
        <v>883</v>
      </c>
      <c r="D2466" s="5" t="s">
        <v>2958</v>
      </c>
      <c r="E2466" s="4" t="s">
        <v>4</v>
      </c>
      <c r="F2466" s="2" t="str">
        <f t="shared" si="77"/>
        <v>Non-routine cognitive</v>
      </c>
    </row>
    <row r="2467" spans="1:6" ht="57" x14ac:dyDescent="0.4">
      <c r="A2467" s="3">
        <v>2120</v>
      </c>
      <c r="B2467" s="3" t="str">
        <f t="shared" si="76"/>
        <v>2</v>
      </c>
      <c r="C2467" s="4" t="s">
        <v>883</v>
      </c>
      <c r="D2467" s="5" t="s">
        <v>2959</v>
      </c>
      <c r="E2467" s="4" t="s">
        <v>4</v>
      </c>
      <c r="F2467" s="2" t="str">
        <f t="shared" si="77"/>
        <v>Non-routine cognitive</v>
      </c>
    </row>
    <row r="2468" spans="1:6" ht="42.75" x14ac:dyDescent="0.4">
      <c r="A2468" s="3">
        <v>2120</v>
      </c>
      <c r="B2468" s="3" t="str">
        <f t="shared" si="76"/>
        <v>2</v>
      </c>
      <c r="C2468" s="4" t="s">
        <v>883</v>
      </c>
      <c r="D2468" s="8" t="s">
        <v>2960</v>
      </c>
      <c r="E2468" s="4" t="s">
        <v>4</v>
      </c>
      <c r="F2468" s="2" t="str">
        <f t="shared" si="77"/>
        <v>Non-routine cognitive</v>
      </c>
    </row>
    <row r="2469" spans="1:6" ht="42.75" x14ac:dyDescent="0.4">
      <c r="A2469" s="3">
        <v>2120</v>
      </c>
      <c r="B2469" s="3" t="str">
        <f t="shared" si="76"/>
        <v>2</v>
      </c>
      <c r="C2469" s="4" t="s">
        <v>883</v>
      </c>
      <c r="D2469" s="10" t="s">
        <v>2961</v>
      </c>
      <c r="E2469" s="4" t="s">
        <v>4</v>
      </c>
      <c r="F2469" s="2" t="str">
        <f t="shared" si="77"/>
        <v>Non-routine cognitive</v>
      </c>
    </row>
    <row r="2470" spans="1:6" ht="42.75" x14ac:dyDescent="0.4">
      <c r="A2470" s="3">
        <v>2120</v>
      </c>
      <c r="B2470" s="3" t="str">
        <f t="shared" si="76"/>
        <v>2</v>
      </c>
      <c r="C2470" s="4" t="s">
        <v>883</v>
      </c>
      <c r="D2470" s="8" t="s">
        <v>2962</v>
      </c>
      <c r="E2470" s="4" t="s">
        <v>4</v>
      </c>
      <c r="F2470" s="2" t="str">
        <f t="shared" si="77"/>
        <v>Non-routine cognitive</v>
      </c>
    </row>
    <row r="2471" spans="1:6" ht="57" x14ac:dyDescent="0.4">
      <c r="A2471" s="3">
        <v>2120</v>
      </c>
      <c r="B2471" s="3" t="str">
        <f t="shared" si="76"/>
        <v>2</v>
      </c>
      <c r="C2471" s="4" t="s">
        <v>883</v>
      </c>
      <c r="D2471" s="5" t="s">
        <v>2963</v>
      </c>
      <c r="E2471" s="4" t="s">
        <v>4</v>
      </c>
      <c r="F2471" s="2" t="str">
        <f t="shared" si="77"/>
        <v>Non-routine cognitive</v>
      </c>
    </row>
    <row r="2472" spans="1:6" ht="28.5" x14ac:dyDescent="0.4">
      <c r="A2472" s="3">
        <v>2120</v>
      </c>
      <c r="B2472" s="3" t="str">
        <f t="shared" si="76"/>
        <v>2</v>
      </c>
      <c r="C2472" s="4" t="s">
        <v>883</v>
      </c>
      <c r="D2472" s="6" t="s">
        <v>884</v>
      </c>
      <c r="E2472" s="4" t="s">
        <v>4</v>
      </c>
      <c r="F2472" s="2" t="str">
        <f t="shared" si="77"/>
        <v>Non-routine cognitive</v>
      </c>
    </row>
    <row r="2473" spans="1:6" ht="28.5" x14ac:dyDescent="0.4">
      <c r="A2473" s="3">
        <v>2120</v>
      </c>
      <c r="B2473" s="3" t="str">
        <f t="shared" si="76"/>
        <v>2</v>
      </c>
      <c r="C2473" s="4" t="s">
        <v>883</v>
      </c>
      <c r="D2473" s="10" t="s">
        <v>2964</v>
      </c>
      <c r="E2473" s="4" t="s">
        <v>3</v>
      </c>
      <c r="F2473" s="2" t="str">
        <f t="shared" si="77"/>
        <v>Non-routine cognitive</v>
      </c>
    </row>
    <row r="2474" spans="1:6" ht="99.75" x14ac:dyDescent="0.4">
      <c r="A2474" s="3">
        <v>2131</v>
      </c>
      <c r="B2474" s="3" t="str">
        <f t="shared" si="76"/>
        <v>2</v>
      </c>
      <c r="C2474" s="4" t="s">
        <v>885</v>
      </c>
      <c r="D2474" s="5" t="s">
        <v>2965</v>
      </c>
      <c r="E2474" s="4" t="s">
        <v>4</v>
      </c>
      <c r="F2474" s="2" t="str">
        <f t="shared" si="77"/>
        <v>Non-routine cognitive</v>
      </c>
    </row>
    <row r="2475" spans="1:6" ht="28.5" x14ac:dyDescent="0.4">
      <c r="A2475" s="3">
        <v>2131</v>
      </c>
      <c r="B2475" s="3" t="str">
        <f t="shared" si="76"/>
        <v>2</v>
      </c>
      <c r="C2475" s="4" t="s">
        <v>885</v>
      </c>
      <c r="D2475" s="6" t="s">
        <v>886</v>
      </c>
      <c r="E2475" s="4" t="s">
        <v>4</v>
      </c>
      <c r="F2475" s="2" t="str">
        <f t="shared" si="77"/>
        <v>Non-routine cognitive</v>
      </c>
    </row>
    <row r="2476" spans="1:6" ht="57" x14ac:dyDescent="0.4">
      <c r="A2476" s="3">
        <v>2131</v>
      </c>
      <c r="B2476" s="3" t="str">
        <f t="shared" si="76"/>
        <v>2</v>
      </c>
      <c r="C2476" s="4" t="s">
        <v>885</v>
      </c>
      <c r="D2476" s="5" t="s">
        <v>2966</v>
      </c>
      <c r="E2476" s="4" t="s">
        <v>4</v>
      </c>
      <c r="F2476" s="2" t="str">
        <f t="shared" si="77"/>
        <v>Non-routine cognitive</v>
      </c>
    </row>
    <row r="2477" spans="1:6" ht="85.5" x14ac:dyDescent="0.4">
      <c r="A2477" s="3">
        <v>2131</v>
      </c>
      <c r="B2477" s="3" t="str">
        <f t="shared" si="76"/>
        <v>2</v>
      </c>
      <c r="C2477" s="4" t="s">
        <v>885</v>
      </c>
      <c r="D2477" s="5" t="s">
        <v>2967</v>
      </c>
      <c r="E2477" s="4" t="s">
        <v>4</v>
      </c>
      <c r="F2477" s="2" t="str">
        <f t="shared" si="77"/>
        <v>Non-routine cognitive</v>
      </c>
    </row>
    <row r="2478" spans="1:6" ht="28.5" x14ac:dyDescent="0.4">
      <c r="A2478" s="3">
        <v>2131</v>
      </c>
      <c r="B2478" s="3" t="str">
        <f t="shared" si="76"/>
        <v>2</v>
      </c>
      <c r="C2478" s="4" t="s">
        <v>885</v>
      </c>
      <c r="D2478" s="10" t="s">
        <v>2968</v>
      </c>
      <c r="E2478" s="4" t="s">
        <v>50</v>
      </c>
      <c r="F2478" s="2" t="str">
        <f t="shared" si="77"/>
        <v>Routine cognitive</v>
      </c>
    </row>
    <row r="2479" spans="1:6" ht="57" x14ac:dyDescent="0.4">
      <c r="A2479" s="3">
        <v>2131</v>
      </c>
      <c r="B2479" s="3" t="str">
        <f t="shared" si="76"/>
        <v>2</v>
      </c>
      <c r="C2479" s="4" t="s">
        <v>885</v>
      </c>
      <c r="D2479" s="5" t="s">
        <v>2969</v>
      </c>
      <c r="E2479" s="4" t="s">
        <v>4</v>
      </c>
      <c r="F2479" s="2" t="str">
        <f t="shared" si="77"/>
        <v>Non-routine cognitive</v>
      </c>
    </row>
    <row r="2480" spans="1:6" ht="28.5" x14ac:dyDescent="0.4">
      <c r="A2480" s="3">
        <v>2131</v>
      </c>
      <c r="B2480" s="3" t="str">
        <f t="shared" si="76"/>
        <v>2</v>
      </c>
      <c r="C2480" s="4" t="s">
        <v>885</v>
      </c>
      <c r="D2480" s="5" t="s">
        <v>2970</v>
      </c>
      <c r="E2480" s="4" t="s">
        <v>4</v>
      </c>
      <c r="F2480" s="2" t="str">
        <f t="shared" si="77"/>
        <v>Non-routine cognitive</v>
      </c>
    </row>
    <row r="2481" spans="1:6" ht="57" x14ac:dyDescent="0.4">
      <c r="A2481" s="3">
        <v>2131</v>
      </c>
      <c r="B2481" s="3" t="str">
        <f t="shared" si="76"/>
        <v>2</v>
      </c>
      <c r="C2481" s="4" t="s">
        <v>885</v>
      </c>
      <c r="D2481" s="5" t="s">
        <v>2971</v>
      </c>
      <c r="E2481" s="4" t="s">
        <v>4</v>
      </c>
      <c r="F2481" s="2" t="str">
        <f t="shared" si="77"/>
        <v>Non-routine cognitive</v>
      </c>
    </row>
    <row r="2482" spans="1:6" ht="71.25" x14ac:dyDescent="0.4">
      <c r="A2482" s="3">
        <v>2133</v>
      </c>
      <c r="B2482" s="3" t="str">
        <f t="shared" si="76"/>
        <v>2</v>
      </c>
      <c r="C2482" s="4" t="s">
        <v>887</v>
      </c>
      <c r="D2482" s="5" t="s">
        <v>2972</v>
      </c>
      <c r="E2482" s="4" t="s">
        <v>4</v>
      </c>
      <c r="F2482" s="2" t="str">
        <f t="shared" si="77"/>
        <v>Non-routine cognitive</v>
      </c>
    </row>
    <row r="2483" spans="1:6" ht="42.75" x14ac:dyDescent="0.4">
      <c r="A2483" s="3">
        <v>2133</v>
      </c>
      <c r="B2483" s="3" t="str">
        <f t="shared" si="76"/>
        <v>2</v>
      </c>
      <c r="C2483" s="4" t="s">
        <v>887</v>
      </c>
      <c r="D2483" s="5" t="s">
        <v>2973</v>
      </c>
      <c r="E2483" s="4" t="s">
        <v>4</v>
      </c>
      <c r="F2483" s="2" t="str">
        <f t="shared" si="77"/>
        <v>Non-routine cognitive</v>
      </c>
    </row>
    <row r="2484" spans="1:6" ht="57" x14ac:dyDescent="0.4">
      <c r="A2484" s="3">
        <v>2133</v>
      </c>
      <c r="B2484" s="3" t="str">
        <f t="shared" si="76"/>
        <v>2</v>
      </c>
      <c r="C2484" s="4" t="s">
        <v>887</v>
      </c>
      <c r="D2484" s="5" t="s">
        <v>2974</v>
      </c>
      <c r="E2484" s="4" t="s">
        <v>3</v>
      </c>
      <c r="F2484" s="2" t="str">
        <f t="shared" si="77"/>
        <v>Non-routine cognitive</v>
      </c>
    </row>
    <row r="2485" spans="1:6" ht="42.75" x14ac:dyDescent="0.4">
      <c r="A2485" s="3">
        <v>2133</v>
      </c>
      <c r="B2485" s="3" t="str">
        <f t="shared" si="76"/>
        <v>2</v>
      </c>
      <c r="C2485" s="4" t="s">
        <v>887</v>
      </c>
      <c r="D2485" s="8" t="s">
        <v>2975</v>
      </c>
      <c r="E2485" s="4" t="s">
        <v>50</v>
      </c>
      <c r="F2485" s="2" t="str">
        <f t="shared" si="77"/>
        <v>Routine cognitive</v>
      </c>
    </row>
    <row r="2486" spans="1:6" ht="57" x14ac:dyDescent="0.4">
      <c r="A2486" s="3">
        <v>2133</v>
      </c>
      <c r="B2486" s="3" t="str">
        <f t="shared" si="76"/>
        <v>2</v>
      </c>
      <c r="C2486" s="4" t="s">
        <v>887</v>
      </c>
      <c r="D2486" s="5" t="s">
        <v>2976</v>
      </c>
      <c r="E2486" s="4" t="s">
        <v>4</v>
      </c>
      <c r="F2486" s="2" t="str">
        <f t="shared" si="77"/>
        <v>Non-routine cognitive</v>
      </c>
    </row>
    <row r="2487" spans="1:6" ht="57" x14ac:dyDescent="0.4">
      <c r="A2487" s="3">
        <v>2133</v>
      </c>
      <c r="B2487" s="3" t="str">
        <f t="shared" si="76"/>
        <v>2</v>
      </c>
      <c r="C2487" s="4" t="s">
        <v>887</v>
      </c>
      <c r="D2487" s="5" t="s">
        <v>2977</v>
      </c>
      <c r="E2487" s="4" t="s">
        <v>4</v>
      </c>
      <c r="F2487" s="2" t="str">
        <f t="shared" si="77"/>
        <v>Non-routine cognitive</v>
      </c>
    </row>
    <row r="2488" spans="1:6" ht="28.5" x14ac:dyDescent="0.4">
      <c r="A2488" s="3">
        <v>2133</v>
      </c>
      <c r="B2488" s="3" t="str">
        <f t="shared" si="76"/>
        <v>2</v>
      </c>
      <c r="C2488" s="5" t="s">
        <v>2978</v>
      </c>
      <c r="D2488" s="6" t="s">
        <v>888</v>
      </c>
      <c r="E2488" s="4" t="s">
        <v>4</v>
      </c>
      <c r="F2488" s="2" t="str">
        <f t="shared" si="77"/>
        <v>Non-routine cognitive</v>
      </c>
    </row>
    <row r="2489" spans="1:6" ht="42.75" x14ac:dyDescent="0.4">
      <c r="A2489" s="3">
        <v>2143</v>
      </c>
      <c r="B2489" s="3" t="str">
        <f t="shared" si="76"/>
        <v>2</v>
      </c>
      <c r="C2489" s="4" t="s">
        <v>889</v>
      </c>
      <c r="D2489" s="5" t="s">
        <v>2979</v>
      </c>
      <c r="E2489" s="4" t="s">
        <v>4</v>
      </c>
      <c r="F2489" s="2" t="str">
        <f t="shared" si="77"/>
        <v>Non-routine cognitive</v>
      </c>
    </row>
    <row r="2490" spans="1:6" ht="42.75" x14ac:dyDescent="0.4">
      <c r="A2490" s="3">
        <v>2143</v>
      </c>
      <c r="B2490" s="3" t="str">
        <f t="shared" si="76"/>
        <v>2</v>
      </c>
      <c r="C2490" s="4" t="s">
        <v>889</v>
      </c>
      <c r="D2490" s="8" t="s">
        <v>2980</v>
      </c>
      <c r="E2490" s="4" t="s">
        <v>50</v>
      </c>
      <c r="F2490" s="2" t="str">
        <f t="shared" si="77"/>
        <v>Routine cognitive</v>
      </c>
    </row>
    <row r="2491" spans="1:6" ht="57" x14ac:dyDescent="0.4">
      <c r="A2491" s="3">
        <v>2143</v>
      </c>
      <c r="B2491" s="3" t="str">
        <f t="shared" si="76"/>
        <v>2</v>
      </c>
      <c r="C2491" s="4" t="s">
        <v>889</v>
      </c>
      <c r="D2491" s="5" t="s">
        <v>2981</v>
      </c>
      <c r="E2491" s="4" t="s">
        <v>3</v>
      </c>
      <c r="F2491" s="2" t="str">
        <f t="shared" si="77"/>
        <v>Non-routine cognitive</v>
      </c>
    </row>
    <row r="2492" spans="1:6" ht="42.75" x14ac:dyDescent="0.4">
      <c r="A2492" s="3">
        <v>2143</v>
      </c>
      <c r="B2492" s="3" t="str">
        <f t="shared" si="76"/>
        <v>2</v>
      </c>
      <c r="C2492" s="4" t="s">
        <v>889</v>
      </c>
      <c r="D2492" s="5" t="s">
        <v>2982</v>
      </c>
      <c r="E2492" s="4" t="s">
        <v>4</v>
      </c>
      <c r="F2492" s="2" t="str">
        <f t="shared" si="77"/>
        <v>Non-routine cognitive</v>
      </c>
    </row>
    <row r="2493" spans="1:6" ht="42.75" x14ac:dyDescent="0.4">
      <c r="A2493" s="3">
        <v>2143</v>
      </c>
      <c r="B2493" s="3" t="str">
        <f t="shared" si="76"/>
        <v>2</v>
      </c>
      <c r="C2493" s="4" t="s">
        <v>889</v>
      </c>
      <c r="D2493" s="5" t="s">
        <v>2983</v>
      </c>
      <c r="E2493" s="4" t="s">
        <v>50</v>
      </c>
      <c r="F2493" s="2" t="str">
        <f t="shared" si="77"/>
        <v>Routine cognitive</v>
      </c>
    </row>
    <row r="2494" spans="1:6" ht="42.75" x14ac:dyDescent="0.4">
      <c r="A2494" s="3">
        <v>2143</v>
      </c>
      <c r="B2494" s="3" t="str">
        <f t="shared" si="76"/>
        <v>2</v>
      </c>
      <c r="C2494" s="4" t="s">
        <v>889</v>
      </c>
      <c r="D2494" s="5" t="s">
        <v>2984</v>
      </c>
      <c r="E2494" s="4" t="s">
        <v>4</v>
      </c>
      <c r="F2494" s="2" t="str">
        <f t="shared" si="77"/>
        <v>Non-routine cognitive</v>
      </c>
    </row>
    <row r="2495" spans="1:6" ht="28.5" x14ac:dyDescent="0.4">
      <c r="A2495" s="3">
        <v>2143</v>
      </c>
      <c r="B2495" s="3" t="str">
        <f t="shared" si="76"/>
        <v>2</v>
      </c>
      <c r="C2495" s="4" t="s">
        <v>889</v>
      </c>
      <c r="D2495" s="8" t="s">
        <v>2985</v>
      </c>
      <c r="E2495" s="4" t="s">
        <v>4</v>
      </c>
      <c r="F2495" s="2" t="str">
        <f t="shared" si="77"/>
        <v>Non-routine cognitive</v>
      </c>
    </row>
    <row r="2496" spans="1:6" ht="42.75" x14ac:dyDescent="0.4">
      <c r="A2496" s="3">
        <v>2143</v>
      </c>
      <c r="B2496" s="3" t="str">
        <f t="shared" si="76"/>
        <v>2</v>
      </c>
      <c r="C2496" s="4" t="s">
        <v>889</v>
      </c>
      <c r="D2496" s="5" t="s">
        <v>2986</v>
      </c>
      <c r="E2496" s="4" t="s">
        <v>4</v>
      </c>
      <c r="F2496" s="2" t="str">
        <f t="shared" si="77"/>
        <v>Non-routine cognitive</v>
      </c>
    </row>
    <row r="2497" spans="1:6" ht="57" x14ac:dyDescent="0.4">
      <c r="A2497" s="3">
        <v>2143</v>
      </c>
      <c r="B2497" s="3" t="str">
        <f t="shared" si="76"/>
        <v>2</v>
      </c>
      <c r="C2497" s="4" t="s">
        <v>889</v>
      </c>
      <c r="D2497" s="5" t="s">
        <v>2987</v>
      </c>
      <c r="E2497" s="4" t="s">
        <v>3</v>
      </c>
      <c r="F2497" s="2" t="str">
        <f t="shared" si="77"/>
        <v>Non-routine cognitive</v>
      </c>
    </row>
    <row r="2498" spans="1:6" ht="71.25" x14ac:dyDescent="0.4">
      <c r="A2498" s="3">
        <v>2145</v>
      </c>
      <c r="B2498" s="3" t="str">
        <f t="shared" si="76"/>
        <v>2</v>
      </c>
      <c r="C2498" s="4" t="s">
        <v>890</v>
      </c>
      <c r="D2498" s="5" t="s">
        <v>2988</v>
      </c>
      <c r="E2498" s="4" t="s">
        <v>4</v>
      </c>
      <c r="F2498" s="2" t="str">
        <f t="shared" si="77"/>
        <v>Non-routine cognitive</v>
      </c>
    </row>
    <row r="2499" spans="1:6" ht="42.75" x14ac:dyDescent="0.4">
      <c r="A2499" s="3">
        <v>2145</v>
      </c>
      <c r="B2499" s="3" t="str">
        <f t="shared" ref="B2499:B2562" si="78">LEFT(A2499,1)</f>
        <v>2</v>
      </c>
      <c r="C2499" s="4" t="s">
        <v>890</v>
      </c>
      <c r="D2499" s="5" t="s">
        <v>2989</v>
      </c>
      <c r="E2499" s="4" t="s">
        <v>50</v>
      </c>
      <c r="F2499" s="2" t="str">
        <f t="shared" ref="F2499:F2562" si="79">IF(E2499="Non-routine interpersonal","Non-routine cognitive",IF(E2499="Non-routine analytical","Non-routine cognitive",IF(E2499="Non-routine manual physical","Non-routine manual",E2499)))</f>
        <v>Routine cognitive</v>
      </c>
    </row>
    <row r="2500" spans="1:6" ht="71.25" x14ac:dyDescent="0.4">
      <c r="A2500" s="3">
        <v>2145</v>
      </c>
      <c r="B2500" s="3" t="str">
        <f t="shared" si="78"/>
        <v>2</v>
      </c>
      <c r="C2500" s="4" t="s">
        <v>890</v>
      </c>
      <c r="D2500" s="5" t="s">
        <v>2990</v>
      </c>
      <c r="E2500" s="4" t="s">
        <v>4</v>
      </c>
      <c r="F2500" s="2" t="str">
        <f t="shared" si="79"/>
        <v>Non-routine cognitive</v>
      </c>
    </row>
    <row r="2501" spans="1:6" ht="42.75" x14ac:dyDescent="0.4">
      <c r="A2501" s="3">
        <v>2145</v>
      </c>
      <c r="B2501" s="3" t="str">
        <f t="shared" si="78"/>
        <v>2</v>
      </c>
      <c r="C2501" s="4" t="s">
        <v>890</v>
      </c>
      <c r="D2501" s="5" t="s">
        <v>2991</v>
      </c>
      <c r="E2501" s="4" t="s">
        <v>4</v>
      </c>
      <c r="F2501" s="2" t="str">
        <f t="shared" si="79"/>
        <v>Non-routine cognitive</v>
      </c>
    </row>
    <row r="2502" spans="1:6" ht="42.75" x14ac:dyDescent="0.4">
      <c r="A2502" s="3">
        <v>2145</v>
      </c>
      <c r="B2502" s="3" t="str">
        <f t="shared" si="78"/>
        <v>2</v>
      </c>
      <c r="C2502" s="4" t="s">
        <v>890</v>
      </c>
      <c r="D2502" s="5" t="s">
        <v>2992</v>
      </c>
      <c r="E2502" s="4" t="s">
        <v>4</v>
      </c>
      <c r="F2502" s="2" t="str">
        <f t="shared" si="79"/>
        <v>Non-routine cognitive</v>
      </c>
    </row>
    <row r="2503" spans="1:6" x14ac:dyDescent="0.4">
      <c r="A2503" s="3">
        <v>2145</v>
      </c>
      <c r="B2503" s="3" t="str">
        <f t="shared" si="78"/>
        <v>2</v>
      </c>
      <c r="C2503" s="4" t="s">
        <v>890</v>
      </c>
      <c r="D2503" s="7" t="s">
        <v>891</v>
      </c>
      <c r="E2503" s="4" t="s">
        <v>4</v>
      </c>
      <c r="F2503" s="2" t="str">
        <f t="shared" si="79"/>
        <v>Non-routine cognitive</v>
      </c>
    </row>
    <row r="2504" spans="1:6" ht="28.5" x14ac:dyDescent="0.4">
      <c r="A2504" s="3">
        <v>2145</v>
      </c>
      <c r="B2504" s="3" t="str">
        <f t="shared" si="78"/>
        <v>2</v>
      </c>
      <c r="C2504" s="4" t="s">
        <v>890</v>
      </c>
      <c r="D2504" s="5" t="s">
        <v>2993</v>
      </c>
      <c r="E2504" s="4" t="s">
        <v>4</v>
      </c>
      <c r="F2504" s="2" t="str">
        <f t="shared" si="79"/>
        <v>Non-routine cognitive</v>
      </c>
    </row>
    <row r="2505" spans="1:6" ht="42.75" x14ac:dyDescent="0.4">
      <c r="A2505" s="3">
        <v>2145</v>
      </c>
      <c r="B2505" s="3" t="str">
        <f t="shared" si="78"/>
        <v>2</v>
      </c>
      <c r="C2505" s="4" t="s">
        <v>890</v>
      </c>
      <c r="D2505" s="5" t="s">
        <v>3671</v>
      </c>
      <c r="E2505" s="4" t="s">
        <v>4</v>
      </c>
      <c r="F2505" s="2" t="str">
        <f t="shared" si="79"/>
        <v>Non-routine cognitive</v>
      </c>
    </row>
    <row r="2506" spans="1:6" ht="42.75" x14ac:dyDescent="0.4">
      <c r="A2506" s="3">
        <v>2146</v>
      </c>
      <c r="B2506" s="3" t="str">
        <f t="shared" si="78"/>
        <v>2</v>
      </c>
      <c r="C2506" s="4" t="s">
        <v>892</v>
      </c>
      <c r="D2506" s="5" t="s">
        <v>2994</v>
      </c>
      <c r="E2506" s="4" t="s">
        <v>4</v>
      </c>
      <c r="F2506" s="2" t="str">
        <f t="shared" si="79"/>
        <v>Non-routine cognitive</v>
      </c>
    </row>
    <row r="2507" spans="1:6" ht="42.75" x14ac:dyDescent="0.4">
      <c r="A2507" s="3">
        <v>2146</v>
      </c>
      <c r="B2507" s="3" t="str">
        <f t="shared" si="78"/>
        <v>2</v>
      </c>
      <c r="C2507" s="4" t="s">
        <v>892</v>
      </c>
      <c r="D2507" s="8" t="s">
        <v>2995</v>
      </c>
      <c r="E2507" s="4" t="s">
        <v>4</v>
      </c>
      <c r="F2507" s="2" t="str">
        <f t="shared" si="79"/>
        <v>Non-routine cognitive</v>
      </c>
    </row>
    <row r="2508" spans="1:6" ht="28.5" x14ac:dyDescent="0.4">
      <c r="A2508" s="3">
        <v>2146</v>
      </c>
      <c r="B2508" s="3" t="str">
        <f t="shared" si="78"/>
        <v>2</v>
      </c>
      <c r="C2508" s="4" t="s">
        <v>892</v>
      </c>
      <c r="D2508" s="8" t="s">
        <v>2996</v>
      </c>
      <c r="E2508" s="4" t="s">
        <v>4</v>
      </c>
      <c r="F2508" s="2" t="str">
        <f t="shared" si="79"/>
        <v>Non-routine cognitive</v>
      </c>
    </row>
    <row r="2509" spans="1:6" ht="42.75" x14ac:dyDescent="0.4">
      <c r="A2509" s="3">
        <v>2146</v>
      </c>
      <c r="B2509" s="3" t="str">
        <f t="shared" si="78"/>
        <v>2</v>
      </c>
      <c r="C2509" s="4" t="s">
        <v>892</v>
      </c>
      <c r="D2509" s="8" t="s">
        <v>2997</v>
      </c>
      <c r="E2509" s="4" t="s">
        <v>3</v>
      </c>
      <c r="F2509" s="2" t="str">
        <f t="shared" si="79"/>
        <v>Non-routine cognitive</v>
      </c>
    </row>
    <row r="2510" spans="1:6" ht="42.75" x14ac:dyDescent="0.4">
      <c r="A2510" s="3">
        <v>2146</v>
      </c>
      <c r="B2510" s="3" t="str">
        <f t="shared" si="78"/>
        <v>2</v>
      </c>
      <c r="C2510" s="4" t="s">
        <v>892</v>
      </c>
      <c r="D2510" s="8" t="s">
        <v>2998</v>
      </c>
      <c r="E2510" s="4" t="s">
        <v>4</v>
      </c>
      <c r="F2510" s="2" t="str">
        <f t="shared" si="79"/>
        <v>Non-routine cognitive</v>
      </c>
    </row>
    <row r="2511" spans="1:6" ht="28.5" x14ac:dyDescent="0.4">
      <c r="A2511" s="3">
        <v>2146</v>
      </c>
      <c r="B2511" s="3" t="str">
        <f t="shared" si="78"/>
        <v>2</v>
      </c>
      <c r="C2511" s="4" t="s">
        <v>892</v>
      </c>
      <c r="D2511" s="5" t="s">
        <v>2999</v>
      </c>
      <c r="E2511" s="4" t="s">
        <v>4</v>
      </c>
      <c r="F2511" s="2" t="str">
        <f t="shared" si="79"/>
        <v>Non-routine cognitive</v>
      </c>
    </row>
    <row r="2512" spans="1:6" ht="57" x14ac:dyDescent="0.4">
      <c r="A2512" s="3">
        <v>2146</v>
      </c>
      <c r="B2512" s="3" t="str">
        <f t="shared" si="78"/>
        <v>2</v>
      </c>
      <c r="C2512" s="4" t="s">
        <v>892</v>
      </c>
      <c r="D2512" s="5" t="s">
        <v>3000</v>
      </c>
      <c r="E2512" s="4" t="s">
        <v>4</v>
      </c>
      <c r="F2512" s="2" t="str">
        <f t="shared" si="79"/>
        <v>Non-routine cognitive</v>
      </c>
    </row>
    <row r="2513" spans="1:6" ht="42.75" x14ac:dyDescent="0.4">
      <c r="A2513" s="3">
        <v>2146</v>
      </c>
      <c r="B2513" s="3" t="str">
        <f t="shared" si="78"/>
        <v>2</v>
      </c>
      <c r="C2513" s="4" t="s">
        <v>892</v>
      </c>
      <c r="D2513" s="8" t="s">
        <v>3001</v>
      </c>
      <c r="E2513" s="4" t="s">
        <v>3</v>
      </c>
      <c r="F2513" s="2" t="str">
        <f t="shared" si="79"/>
        <v>Non-routine cognitive</v>
      </c>
    </row>
    <row r="2514" spans="1:6" ht="28.5" x14ac:dyDescent="0.4">
      <c r="A2514" s="3">
        <v>2146</v>
      </c>
      <c r="B2514" s="3" t="str">
        <f t="shared" si="78"/>
        <v>2</v>
      </c>
      <c r="C2514" s="4" t="s">
        <v>892</v>
      </c>
      <c r="D2514" s="4" t="s">
        <v>893</v>
      </c>
      <c r="E2514" s="4" t="s">
        <v>4</v>
      </c>
      <c r="F2514" s="2" t="str">
        <f t="shared" si="79"/>
        <v>Non-routine cognitive</v>
      </c>
    </row>
    <row r="2515" spans="1:6" ht="42.75" x14ac:dyDescent="0.4">
      <c r="A2515" s="3">
        <v>2152</v>
      </c>
      <c r="B2515" s="3" t="str">
        <f t="shared" si="78"/>
        <v>2</v>
      </c>
      <c r="C2515" s="4" t="s">
        <v>894</v>
      </c>
      <c r="D2515" s="8" t="s">
        <v>3002</v>
      </c>
      <c r="E2515" s="4" t="s">
        <v>4</v>
      </c>
      <c r="F2515" s="2" t="str">
        <f t="shared" si="79"/>
        <v>Non-routine cognitive</v>
      </c>
    </row>
    <row r="2516" spans="1:6" ht="42.75" x14ac:dyDescent="0.4">
      <c r="A2516" s="3">
        <v>2152</v>
      </c>
      <c r="B2516" s="3" t="str">
        <f t="shared" si="78"/>
        <v>2</v>
      </c>
      <c r="C2516" s="4" t="s">
        <v>894</v>
      </c>
      <c r="D2516" s="5" t="s">
        <v>3003</v>
      </c>
      <c r="E2516" s="4" t="s">
        <v>4</v>
      </c>
      <c r="F2516" s="2" t="str">
        <f t="shared" si="79"/>
        <v>Non-routine cognitive</v>
      </c>
    </row>
    <row r="2517" spans="1:6" ht="42.75" x14ac:dyDescent="0.4">
      <c r="A2517" s="3">
        <v>2152</v>
      </c>
      <c r="B2517" s="3" t="str">
        <f t="shared" si="78"/>
        <v>2</v>
      </c>
      <c r="C2517" s="4" t="s">
        <v>894</v>
      </c>
      <c r="D2517" s="5" t="s">
        <v>3004</v>
      </c>
      <c r="E2517" s="4" t="s">
        <v>4</v>
      </c>
      <c r="F2517" s="2" t="str">
        <f t="shared" si="79"/>
        <v>Non-routine cognitive</v>
      </c>
    </row>
    <row r="2518" spans="1:6" ht="42.75" x14ac:dyDescent="0.4">
      <c r="A2518" s="3">
        <v>2152</v>
      </c>
      <c r="B2518" s="3" t="str">
        <f t="shared" si="78"/>
        <v>2</v>
      </c>
      <c r="C2518" s="4" t="s">
        <v>894</v>
      </c>
      <c r="D2518" s="8" t="s">
        <v>3005</v>
      </c>
      <c r="E2518" s="4" t="s">
        <v>106</v>
      </c>
      <c r="F2518" s="2" t="str">
        <f t="shared" si="79"/>
        <v>Non-routine manual</v>
      </c>
    </row>
    <row r="2519" spans="1:6" ht="57" x14ac:dyDescent="0.4">
      <c r="A2519" s="3">
        <v>2152</v>
      </c>
      <c r="B2519" s="3" t="str">
        <f t="shared" si="78"/>
        <v>2</v>
      </c>
      <c r="C2519" s="4" t="s">
        <v>894</v>
      </c>
      <c r="D2519" s="8" t="s">
        <v>3006</v>
      </c>
      <c r="E2519" s="4" t="s">
        <v>4</v>
      </c>
      <c r="F2519" s="2" t="str">
        <f t="shared" si="79"/>
        <v>Non-routine cognitive</v>
      </c>
    </row>
    <row r="2520" spans="1:6" ht="57" x14ac:dyDescent="0.4">
      <c r="A2520" s="3">
        <v>2152</v>
      </c>
      <c r="B2520" s="3" t="str">
        <f t="shared" si="78"/>
        <v>2</v>
      </c>
      <c r="C2520" s="4" t="s">
        <v>894</v>
      </c>
      <c r="D2520" s="5" t="s">
        <v>3007</v>
      </c>
      <c r="E2520" s="4" t="s">
        <v>4</v>
      </c>
      <c r="F2520" s="2" t="str">
        <f t="shared" si="79"/>
        <v>Non-routine cognitive</v>
      </c>
    </row>
    <row r="2521" spans="1:6" ht="28.5" x14ac:dyDescent="0.4">
      <c r="A2521" s="3">
        <v>2152</v>
      </c>
      <c r="B2521" s="3" t="str">
        <f t="shared" si="78"/>
        <v>2</v>
      </c>
      <c r="C2521" s="4" t="s">
        <v>894</v>
      </c>
      <c r="D2521" s="5" t="s">
        <v>3008</v>
      </c>
      <c r="E2521" s="4" t="s">
        <v>4</v>
      </c>
      <c r="F2521" s="2" t="str">
        <f t="shared" si="79"/>
        <v>Non-routine cognitive</v>
      </c>
    </row>
    <row r="2522" spans="1:6" ht="42.75" x14ac:dyDescent="0.4">
      <c r="A2522" s="3">
        <v>2152</v>
      </c>
      <c r="B2522" s="3" t="str">
        <f t="shared" si="78"/>
        <v>2</v>
      </c>
      <c r="C2522" s="4" t="s">
        <v>894</v>
      </c>
      <c r="D2522" s="5" t="s">
        <v>3009</v>
      </c>
      <c r="E2522" s="4" t="s">
        <v>4</v>
      </c>
      <c r="F2522" s="2" t="str">
        <f t="shared" si="79"/>
        <v>Non-routine cognitive</v>
      </c>
    </row>
    <row r="2523" spans="1:6" ht="42.75" x14ac:dyDescent="0.4">
      <c r="A2523" s="3">
        <v>2153</v>
      </c>
      <c r="B2523" s="3" t="str">
        <f t="shared" si="78"/>
        <v>2</v>
      </c>
      <c r="C2523" s="4" t="s">
        <v>895</v>
      </c>
      <c r="D2523" s="5" t="s">
        <v>3010</v>
      </c>
      <c r="E2523" s="4" t="s">
        <v>4</v>
      </c>
      <c r="F2523" s="2" t="str">
        <f t="shared" si="79"/>
        <v>Non-routine cognitive</v>
      </c>
    </row>
    <row r="2524" spans="1:6" ht="57" x14ac:dyDescent="0.4">
      <c r="A2524" s="3">
        <v>2153</v>
      </c>
      <c r="B2524" s="3" t="str">
        <f t="shared" si="78"/>
        <v>2</v>
      </c>
      <c r="C2524" s="4" t="s">
        <v>895</v>
      </c>
      <c r="D2524" s="5" t="s">
        <v>3011</v>
      </c>
      <c r="E2524" s="4" t="s">
        <v>4</v>
      </c>
      <c r="F2524" s="2" t="str">
        <f t="shared" si="79"/>
        <v>Non-routine cognitive</v>
      </c>
    </row>
    <row r="2525" spans="1:6" ht="42.75" x14ac:dyDescent="0.4">
      <c r="A2525" s="3">
        <v>2153</v>
      </c>
      <c r="B2525" s="3" t="str">
        <f t="shared" si="78"/>
        <v>2</v>
      </c>
      <c r="C2525" s="4" t="s">
        <v>895</v>
      </c>
      <c r="D2525" s="8" t="s">
        <v>3012</v>
      </c>
      <c r="E2525" s="4" t="s">
        <v>106</v>
      </c>
      <c r="F2525" s="2" t="str">
        <f t="shared" si="79"/>
        <v>Non-routine manual</v>
      </c>
    </row>
    <row r="2526" spans="1:6" ht="28.5" x14ac:dyDescent="0.4">
      <c r="A2526" s="3">
        <v>2153</v>
      </c>
      <c r="B2526" s="3" t="str">
        <f t="shared" si="78"/>
        <v>2</v>
      </c>
      <c r="C2526" s="4" t="s">
        <v>895</v>
      </c>
      <c r="D2526" s="8" t="s">
        <v>3013</v>
      </c>
      <c r="E2526" s="4" t="s">
        <v>4</v>
      </c>
      <c r="F2526" s="2" t="str">
        <f t="shared" si="79"/>
        <v>Non-routine cognitive</v>
      </c>
    </row>
    <row r="2527" spans="1:6" ht="42.75" x14ac:dyDescent="0.4">
      <c r="A2527" s="3">
        <v>2153</v>
      </c>
      <c r="B2527" s="3" t="str">
        <f t="shared" si="78"/>
        <v>2</v>
      </c>
      <c r="C2527" s="4" t="s">
        <v>895</v>
      </c>
      <c r="D2527" s="5" t="s">
        <v>3014</v>
      </c>
      <c r="E2527" s="4" t="s">
        <v>4</v>
      </c>
      <c r="F2527" s="2" t="str">
        <f t="shared" si="79"/>
        <v>Non-routine cognitive</v>
      </c>
    </row>
    <row r="2528" spans="1:6" ht="28.5" x14ac:dyDescent="0.4">
      <c r="A2528" s="3">
        <v>2153</v>
      </c>
      <c r="B2528" s="3" t="str">
        <f t="shared" si="78"/>
        <v>2</v>
      </c>
      <c r="C2528" s="4" t="s">
        <v>895</v>
      </c>
      <c r="D2528" s="5" t="s">
        <v>3015</v>
      </c>
      <c r="E2528" s="4" t="s">
        <v>4</v>
      </c>
      <c r="F2528" s="2" t="str">
        <f t="shared" si="79"/>
        <v>Non-routine cognitive</v>
      </c>
    </row>
    <row r="2529" spans="1:6" ht="42.75" x14ac:dyDescent="0.4">
      <c r="A2529" s="3">
        <v>2153</v>
      </c>
      <c r="B2529" s="3" t="str">
        <f t="shared" si="78"/>
        <v>2</v>
      </c>
      <c r="C2529" s="4" t="s">
        <v>895</v>
      </c>
      <c r="D2529" s="5" t="s">
        <v>3016</v>
      </c>
      <c r="E2529" s="4" t="s">
        <v>4</v>
      </c>
      <c r="F2529" s="2" t="str">
        <f t="shared" si="79"/>
        <v>Non-routine cognitive</v>
      </c>
    </row>
    <row r="2530" spans="1:6" ht="28.5" x14ac:dyDescent="0.4">
      <c r="A2530" s="3">
        <v>2164</v>
      </c>
      <c r="B2530" s="3" t="str">
        <f t="shared" si="78"/>
        <v>2</v>
      </c>
      <c r="C2530" s="4" t="s">
        <v>896</v>
      </c>
      <c r="D2530" s="8" t="s">
        <v>3017</v>
      </c>
      <c r="E2530" s="4" t="s">
        <v>4</v>
      </c>
      <c r="F2530" s="2" t="str">
        <f t="shared" si="79"/>
        <v>Non-routine cognitive</v>
      </c>
    </row>
    <row r="2531" spans="1:6" ht="42.75" x14ac:dyDescent="0.4">
      <c r="A2531" s="3">
        <v>2164</v>
      </c>
      <c r="B2531" s="3" t="str">
        <f t="shared" si="78"/>
        <v>2</v>
      </c>
      <c r="C2531" s="4" t="s">
        <v>896</v>
      </c>
      <c r="D2531" s="5" t="s">
        <v>3018</v>
      </c>
      <c r="E2531" s="4" t="s">
        <v>4</v>
      </c>
      <c r="F2531" s="2" t="str">
        <f t="shared" si="79"/>
        <v>Non-routine cognitive</v>
      </c>
    </row>
    <row r="2532" spans="1:6" ht="42.75" x14ac:dyDescent="0.4">
      <c r="A2532" s="3">
        <v>2164</v>
      </c>
      <c r="B2532" s="3" t="str">
        <f t="shared" si="78"/>
        <v>2</v>
      </c>
      <c r="C2532" s="4" t="s">
        <v>896</v>
      </c>
      <c r="D2532" s="8" t="s">
        <v>3019</v>
      </c>
      <c r="E2532" s="4" t="s">
        <v>3</v>
      </c>
      <c r="F2532" s="2" t="str">
        <f t="shared" si="79"/>
        <v>Non-routine cognitive</v>
      </c>
    </row>
    <row r="2533" spans="1:6" ht="57" x14ac:dyDescent="0.4">
      <c r="A2533" s="3">
        <v>2164</v>
      </c>
      <c r="B2533" s="3" t="str">
        <f t="shared" si="78"/>
        <v>2</v>
      </c>
      <c r="C2533" s="4" t="s">
        <v>896</v>
      </c>
      <c r="D2533" s="10" t="s">
        <v>3020</v>
      </c>
      <c r="E2533" s="4" t="s">
        <v>4</v>
      </c>
      <c r="F2533" s="2" t="str">
        <f t="shared" si="79"/>
        <v>Non-routine cognitive</v>
      </c>
    </row>
    <row r="2534" spans="1:6" ht="42.75" x14ac:dyDescent="0.4">
      <c r="A2534" s="3">
        <v>2164</v>
      </c>
      <c r="B2534" s="3" t="str">
        <f t="shared" si="78"/>
        <v>2</v>
      </c>
      <c r="C2534" s="4" t="s">
        <v>896</v>
      </c>
      <c r="D2534" s="5" t="s">
        <v>3021</v>
      </c>
      <c r="E2534" s="4" t="s">
        <v>4</v>
      </c>
      <c r="F2534" s="2" t="str">
        <f t="shared" si="79"/>
        <v>Non-routine cognitive</v>
      </c>
    </row>
    <row r="2535" spans="1:6" x14ac:dyDescent="0.4">
      <c r="A2535" s="3">
        <v>2164</v>
      </c>
      <c r="B2535" s="3" t="str">
        <f t="shared" si="78"/>
        <v>2</v>
      </c>
      <c r="C2535" s="4" t="s">
        <v>896</v>
      </c>
      <c r="D2535" s="6" t="s">
        <v>897</v>
      </c>
      <c r="E2535" s="4" t="s">
        <v>4</v>
      </c>
      <c r="F2535" s="2" t="str">
        <f t="shared" si="79"/>
        <v>Non-routine cognitive</v>
      </c>
    </row>
    <row r="2536" spans="1:6" ht="42.75" x14ac:dyDescent="0.4">
      <c r="A2536" s="3">
        <v>2164</v>
      </c>
      <c r="B2536" s="3" t="str">
        <f t="shared" si="78"/>
        <v>2</v>
      </c>
      <c r="C2536" s="4" t="s">
        <v>896</v>
      </c>
      <c r="D2536" s="4" t="s">
        <v>898</v>
      </c>
      <c r="E2536" s="4" t="s">
        <v>4</v>
      </c>
      <c r="F2536" s="2" t="str">
        <f t="shared" si="79"/>
        <v>Non-routine cognitive</v>
      </c>
    </row>
    <row r="2537" spans="1:6" ht="42.75" x14ac:dyDescent="0.4">
      <c r="A2537" s="3">
        <v>2164</v>
      </c>
      <c r="B2537" s="3" t="str">
        <f t="shared" si="78"/>
        <v>2</v>
      </c>
      <c r="C2537" s="4" t="s">
        <v>896</v>
      </c>
      <c r="D2537" s="5" t="s">
        <v>3022</v>
      </c>
      <c r="E2537" s="4" t="s">
        <v>4</v>
      </c>
      <c r="F2537" s="2" t="str">
        <f t="shared" si="79"/>
        <v>Non-routine cognitive</v>
      </c>
    </row>
    <row r="2538" spans="1:6" ht="42.75" x14ac:dyDescent="0.4">
      <c r="A2538" s="3">
        <v>2211</v>
      </c>
      <c r="B2538" s="3" t="str">
        <f t="shared" si="78"/>
        <v>2</v>
      </c>
      <c r="C2538" s="4" t="s">
        <v>899</v>
      </c>
      <c r="D2538" s="8" t="s">
        <v>1387</v>
      </c>
      <c r="E2538" s="4" t="s">
        <v>3</v>
      </c>
      <c r="F2538" s="2" t="str">
        <f t="shared" si="79"/>
        <v>Non-routine cognitive</v>
      </c>
    </row>
    <row r="2539" spans="1:6" ht="42.75" x14ac:dyDescent="0.4">
      <c r="A2539" s="3">
        <v>2211</v>
      </c>
      <c r="B2539" s="3" t="str">
        <f t="shared" si="78"/>
        <v>2</v>
      </c>
      <c r="C2539" s="4" t="s">
        <v>899</v>
      </c>
      <c r="D2539" s="8" t="s">
        <v>3023</v>
      </c>
      <c r="E2539" s="4" t="s">
        <v>4</v>
      </c>
      <c r="F2539" s="2" t="str">
        <f t="shared" si="79"/>
        <v>Non-routine cognitive</v>
      </c>
    </row>
    <row r="2540" spans="1:6" ht="42.75" x14ac:dyDescent="0.4">
      <c r="A2540" s="3">
        <v>2211</v>
      </c>
      <c r="B2540" s="3" t="str">
        <f t="shared" si="78"/>
        <v>2</v>
      </c>
      <c r="C2540" s="4" t="s">
        <v>899</v>
      </c>
      <c r="D2540" s="5" t="s">
        <v>3024</v>
      </c>
      <c r="E2540" s="4" t="s">
        <v>4</v>
      </c>
      <c r="F2540" s="2" t="str">
        <f t="shared" si="79"/>
        <v>Non-routine cognitive</v>
      </c>
    </row>
    <row r="2541" spans="1:6" x14ac:dyDescent="0.4">
      <c r="A2541" s="3">
        <v>2211</v>
      </c>
      <c r="B2541" s="3" t="str">
        <f t="shared" si="78"/>
        <v>2</v>
      </c>
      <c r="C2541" s="4" t="s">
        <v>899</v>
      </c>
      <c r="D2541" s="7" t="s">
        <v>900</v>
      </c>
      <c r="E2541" s="4" t="s">
        <v>50</v>
      </c>
      <c r="F2541" s="2" t="str">
        <f t="shared" si="79"/>
        <v>Routine cognitive</v>
      </c>
    </row>
    <row r="2542" spans="1:6" ht="57" x14ac:dyDescent="0.4">
      <c r="A2542" s="3">
        <v>2211</v>
      </c>
      <c r="B2542" s="3" t="str">
        <f t="shared" si="78"/>
        <v>2</v>
      </c>
      <c r="C2542" s="4" t="s">
        <v>899</v>
      </c>
      <c r="D2542" s="8" t="s">
        <v>3025</v>
      </c>
      <c r="E2542" s="4" t="s">
        <v>4</v>
      </c>
      <c r="F2542" s="2" t="str">
        <f t="shared" si="79"/>
        <v>Non-routine cognitive</v>
      </c>
    </row>
    <row r="2543" spans="1:6" ht="42.75" x14ac:dyDescent="0.4">
      <c r="A2543" s="3">
        <v>2211</v>
      </c>
      <c r="B2543" s="3" t="str">
        <f t="shared" si="78"/>
        <v>2</v>
      </c>
      <c r="C2543" s="4" t="s">
        <v>899</v>
      </c>
      <c r="D2543" s="8" t="s">
        <v>3026</v>
      </c>
      <c r="E2543" s="4" t="s">
        <v>50</v>
      </c>
      <c r="F2543" s="2" t="str">
        <f t="shared" si="79"/>
        <v>Routine cognitive</v>
      </c>
    </row>
    <row r="2544" spans="1:6" ht="42.75" x14ac:dyDescent="0.4">
      <c r="A2544" s="3">
        <v>2211</v>
      </c>
      <c r="B2544" s="3" t="str">
        <f t="shared" si="78"/>
        <v>2</v>
      </c>
      <c r="C2544" s="4" t="s">
        <v>899</v>
      </c>
      <c r="D2544" s="5" t="s">
        <v>3027</v>
      </c>
      <c r="E2544" s="4" t="s">
        <v>4</v>
      </c>
      <c r="F2544" s="2" t="str">
        <f t="shared" si="79"/>
        <v>Non-routine cognitive</v>
      </c>
    </row>
    <row r="2545" spans="1:6" ht="42.75" x14ac:dyDescent="0.4">
      <c r="A2545" s="3">
        <v>2211</v>
      </c>
      <c r="B2545" s="3" t="str">
        <f t="shared" si="78"/>
        <v>2</v>
      </c>
      <c r="C2545" s="4" t="s">
        <v>899</v>
      </c>
      <c r="D2545" s="8" t="s">
        <v>3028</v>
      </c>
      <c r="E2545" s="4" t="s">
        <v>50</v>
      </c>
      <c r="F2545" s="2" t="str">
        <f t="shared" si="79"/>
        <v>Routine cognitive</v>
      </c>
    </row>
    <row r="2546" spans="1:6" ht="42.75" x14ac:dyDescent="0.4">
      <c r="A2546" s="3">
        <v>2211</v>
      </c>
      <c r="B2546" s="3" t="str">
        <f t="shared" si="78"/>
        <v>2</v>
      </c>
      <c r="C2546" s="4" t="s">
        <v>899</v>
      </c>
      <c r="D2546" s="5" t="s">
        <v>3029</v>
      </c>
      <c r="E2546" s="4" t="s">
        <v>50</v>
      </c>
      <c r="F2546" s="2" t="str">
        <f t="shared" si="79"/>
        <v>Routine cognitive</v>
      </c>
    </row>
    <row r="2547" spans="1:6" ht="42.75" x14ac:dyDescent="0.4">
      <c r="A2547" s="3">
        <v>2211</v>
      </c>
      <c r="B2547" s="3" t="str">
        <f t="shared" si="78"/>
        <v>2</v>
      </c>
      <c r="C2547" s="4" t="s">
        <v>899</v>
      </c>
      <c r="D2547" s="5" t="s">
        <v>3030</v>
      </c>
      <c r="E2547" s="4" t="s">
        <v>4</v>
      </c>
      <c r="F2547" s="2" t="str">
        <f t="shared" si="79"/>
        <v>Non-routine cognitive</v>
      </c>
    </row>
    <row r="2548" spans="1:6" ht="28.5" x14ac:dyDescent="0.4">
      <c r="A2548" s="3">
        <v>2211</v>
      </c>
      <c r="B2548" s="3" t="str">
        <f t="shared" si="78"/>
        <v>2</v>
      </c>
      <c r="C2548" s="4" t="s">
        <v>899</v>
      </c>
      <c r="D2548" s="6" t="s">
        <v>901</v>
      </c>
      <c r="E2548" s="4" t="s">
        <v>4</v>
      </c>
      <c r="F2548" s="2" t="str">
        <f t="shared" si="79"/>
        <v>Non-routine cognitive</v>
      </c>
    </row>
    <row r="2549" spans="1:6" ht="42.75" x14ac:dyDescent="0.4">
      <c r="A2549" s="3">
        <v>2212</v>
      </c>
      <c r="B2549" s="3" t="str">
        <f t="shared" si="78"/>
        <v>2</v>
      </c>
      <c r="C2549" s="4" t="s">
        <v>902</v>
      </c>
      <c r="D2549" s="8" t="s">
        <v>1387</v>
      </c>
      <c r="E2549" s="4" t="s">
        <v>3</v>
      </c>
      <c r="F2549" s="2" t="str">
        <f t="shared" si="79"/>
        <v>Non-routine cognitive</v>
      </c>
    </row>
    <row r="2550" spans="1:6" ht="42.75" x14ac:dyDescent="0.4">
      <c r="A2550" s="3">
        <v>2212</v>
      </c>
      <c r="B2550" s="3" t="str">
        <f t="shared" si="78"/>
        <v>2</v>
      </c>
      <c r="C2550" s="4" t="s">
        <v>902</v>
      </c>
      <c r="D2550" s="5" t="s">
        <v>3031</v>
      </c>
      <c r="E2550" s="4" t="s">
        <v>4</v>
      </c>
      <c r="F2550" s="2" t="str">
        <f t="shared" si="79"/>
        <v>Non-routine cognitive</v>
      </c>
    </row>
    <row r="2551" spans="1:6" ht="42.75" x14ac:dyDescent="0.4">
      <c r="A2551" s="3">
        <v>2212</v>
      </c>
      <c r="B2551" s="3" t="str">
        <f t="shared" si="78"/>
        <v>2</v>
      </c>
      <c r="C2551" s="4" t="s">
        <v>902</v>
      </c>
      <c r="D2551" s="5" t="s">
        <v>3032</v>
      </c>
      <c r="E2551" s="4" t="s">
        <v>4</v>
      </c>
      <c r="F2551" s="2" t="str">
        <f t="shared" si="79"/>
        <v>Non-routine cognitive</v>
      </c>
    </row>
    <row r="2552" spans="1:6" ht="57" x14ac:dyDescent="0.4">
      <c r="A2552" s="3">
        <v>2212</v>
      </c>
      <c r="B2552" s="3" t="str">
        <f t="shared" si="78"/>
        <v>2</v>
      </c>
      <c r="C2552" s="4" t="s">
        <v>902</v>
      </c>
      <c r="D2552" s="5" t="s">
        <v>3033</v>
      </c>
      <c r="E2552" s="4" t="s">
        <v>50</v>
      </c>
      <c r="F2552" s="2" t="str">
        <f t="shared" si="79"/>
        <v>Routine cognitive</v>
      </c>
    </row>
    <row r="2553" spans="1:6" x14ac:dyDescent="0.4">
      <c r="A2553" s="3">
        <v>2212</v>
      </c>
      <c r="B2553" s="3" t="str">
        <f t="shared" si="78"/>
        <v>2</v>
      </c>
      <c r="C2553" s="4" t="s">
        <v>902</v>
      </c>
      <c r="D2553" s="6" t="s">
        <v>903</v>
      </c>
      <c r="E2553" s="4" t="s">
        <v>50</v>
      </c>
      <c r="F2553" s="2" t="str">
        <f t="shared" si="79"/>
        <v>Routine cognitive</v>
      </c>
    </row>
    <row r="2554" spans="1:6" ht="28.5" x14ac:dyDescent="0.4">
      <c r="A2554" s="3">
        <v>2212</v>
      </c>
      <c r="B2554" s="3" t="str">
        <f t="shared" si="78"/>
        <v>2</v>
      </c>
      <c r="C2554" s="4" t="s">
        <v>902</v>
      </c>
      <c r="D2554" s="8" t="s">
        <v>3034</v>
      </c>
      <c r="E2554" s="4" t="s">
        <v>50</v>
      </c>
      <c r="F2554" s="2" t="str">
        <f t="shared" si="79"/>
        <v>Routine cognitive</v>
      </c>
    </row>
    <row r="2555" spans="1:6" ht="42.75" x14ac:dyDescent="0.4">
      <c r="A2555" s="3">
        <v>2212</v>
      </c>
      <c r="B2555" s="3" t="str">
        <f t="shared" si="78"/>
        <v>2</v>
      </c>
      <c r="C2555" s="4" t="s">
        <v>902</v>
      </c>
      <c r="D2555" s="5" t="s">
        <v>3035</v>
      </c>
      <c r="E2555" s="4" t="s">
        <v>50</v>
      </c>
      <c r="F2555" s="2" t="str">
        <f t="shared" si="79"/>
        <v>Routine cognitive</v>
      </c>
    </row>
    <row r="2556" spans="1:6" ht="42.75" x14ac:dyDescent="0.4">
      <c r="A2556" s="3">
        <v>2212</v>
      </c>
      <c r="B2556" s="3" t="str">
        <f t="shared" si="78"/>
        <v>2</v>
      </c>
      <c r="C2556" s="4" t="s">
        <v>902</v>
      </c>
      <c r="D2556" s="10" t="s">
        <v>3036</v>
      </c>
      <c r="E2556" s="4" t="s">
        <v>50</v>
      </c>
      <c r="F2556" s="2" t="str">
        <f t="shared" si="79"/>
        <v>Routine cognitive</v>
      </c>
    </row>
    <row r="2557" spans="1:6" ht="42.75" x14ac:dyDescent="0.4">
      <c r="A2557" s="3">
        <v>2212</v>
      </c>
      <c r="B2557" s="3" t="str">
        <f t="shared" si="78"/>
        <v>2</v>
      </c>
      <c r="C2557" s="4" t="s">
        <v>902</v>
      </c>
      <c r="D2557" s="5" t="s">
        <v>3037</v>
      </c>
      <c r="E2557" s="4" t="s">
        <v>50</v>
      </c>
      <c r="F2557" s="2" t="str">
        <f t="shared" si="79"/>
        <v>Routine cognitive</v>
      </c>
    </row>
    <row r="2558" spans="1:6" x14ac:dyDescent="0.4">
      <c r="A2558" s="3">
        <v>2212</v>
      </c>
      <c r="B2558" s="3" t="str">
        <f t="shared" si="78"/>
        <v>2</v>
      </c>
      <c r="C2558" s="4" t="s">
        <v>902</v>
      </c>
      <c r="D2558" s="7" t="s">
        <v>904</v>
      </c>
      <c r="E2558" s="4" t="s">
        <v>50</v>
      </c>
      <c r="F2558" s="2" t="str">
        <f t="shared" si="79"/>
        <v>Routine cognitive</v>
      </c>
    </row>
    <row r="2559" spans="1:6" ht="57" x14ac:dyDescent="0.4">
      <c r="A2559" s="3">
        <v>2212</v>
      </c>
      <c r="B2559" s="3" t="str">
        <f t="shared" si="78"/>
        <v>2</v>
      </c>
      <c r="C2559" s="4" t="s">
        <v>902</v>
      </c>
      <c r="D2559" s="5" t="s">
        <v>3038</v>
      </c>
      <c r="E2559" s="4" t="s">
        <v>4</v>
      </c>
      <c r="F2559" s="2" t="str">
        <f t="shared" si="79"/>
        <v>Non-routine cognitive</v>
      </c>
    </row>
    <row r="2560" spans="1:6" ht="28.5" x14ac:dyDescent="0.4">
      <c r="A2560" s="3">
        <v>2212</v>
      </c>
      <c r="B2560" s="3" t="str">
        <f t="shared" si="78"/>
        <v>2</v>
      </c>
      <c r="C2560" s="4" t="s">
        <v>902</v>
      </c>
      <c r="D2560" s="6" t="s">
        <v>905</v>
      </c>
      <c r="E2560" s="4" t="s">
        <v>4</v>
      </c>
      <c r="F2560" s="2" t="str">
        <f t="shared" si="79"/>
        <v>Non-routine cognitive</v>
      </c>
    </row>
    <row r="2561" spans="1:6" ht="42.75" x14ac:dyDescent="0.4">
      <c r="A2561" s="3">
        <v>2240</v>
      </c>
      <c r="B2561" s="3" t="str">
        <f t="shared" si="78"/>
        <v>2</v>
      </c>
      <c r="C2561" s="4" t="s">
        <v>906</v>
      </c>
      <c r="D2561" s="8" t="s">
        <v>3039</v>
      </c>
      <c r="E2561" s="4" t="s">
        <v>3</v>
      </c>
      <c r="F2561" s="2" t="str">
        <f t="shared" si="79"/>
        <v>Non-routine cognitive</v>
      </c>
    </row>
    <row r="2562" spans="1:6" ht="57" x14ac:dyDescent="0.4">
      <c r="A2562" s="3">
        <v>2240</v>
      </c>
      <c r="B2562" s="3" t="str">
        <f t="shared" si="78"/>
        <v>2</v>
      </c>
      <c r="C2562" s="4" t="s">
        <v>906</v>
      </c>
      <c r="D2562" s="5" t="s">
        <v>3040</v>
      </c>
      <c r="E2562" s="4" t="s">
        <v>50</v>
      </c>
      <c r="F2562" s="2" t="str">
        <f t="shared" si="79"/>
        <v>Routine cognitive</v>
      </c>
    </row>
    <row r="2563" spans="1:6" ht="28.5" x14ac:dyDescent="0.4">
      <c r="A2563" s="3">
        <v>2240</v>
      </c>
      <c r="B2563" s="3" t="str">
        <f t="shared" ref="B2563:B2626" si="80">LEFT(A2563,1)</f>
        <v>2</v>
      </c>
      <c r="C2563" s="4" t="s">
        <v>906</v>
      </c>
      <c r="D2563" s="5" t="s">
        <v>3041</v>
      </c>
      <c r="E2563" s="4" t="s">
        <v>50</v>
      </c>
      <c r="F2563" s="2" t="str">
        <f t="shared" ref="F2563:F2626" si="81">IF(E2563="Non-routine interpersonal","Non-routine cognitive",IF(E2563="Non-routine analytical","Non-routine cognitive",IF(E2563="Non-routine manual physical","Non-routine manual",E2563)))</f>
        <v>Routine cognitive</v>
      </c>
    </row>
    <row r="2564" spans="1:6" ht="42.75" x14ac:dyDescent="0.4">
      <c r="A2564" s="3">
        <v>2240</v>
      </c>
      <c r="B2564" s="3" t="str">
        <f t="shared" si="80"/>
        <v>2</v>
      </c>
      <c r="C2564" s="4" t="s">
        <v>906</v>
      </c>
      <c r="D2564" s="8" t="s">
        <v>3042</v>
      </c>
      <c r="E2564" s="4" t="s">
        <v>50</v>
      </c>
      <c r="F2564" s="2" t="str">
        <f t="shared" si="81"/>
        <v>Routine cognitive</v>
      </c>
    </row>
    <row r="2565" spans="1:6" ht="28.5" x14ac:dyDescent="0.4">
      <c r="A2565" s="3">
        <v>2240</v>
      </c>
      <c r="B2565" s="3" t="str">
        <f t="shared" si="80"/>
        <v>2</v>
      </c>
      <c r="C2565" s="4" t="s">
        <v>906</v>
      </c>
      <c r="D2565" s="8" t="s">
        <v>3043</v>
      </c>
      <c r="E2565" s="4" t="s">
        <v>50</v>
      </c>
      <c r="F2565" s="2" t="str">
        <f t="shared" si="81"/>
        <v>Routine cognitive</v>
      </c>
    </row>
    <row r="2566" spans="1:6" ht="28.5" x14ac:dyDescent="0.4">
      <c r="A2566" s="3">
        <v>2240</v>
      </c>
      <c r="B2566" s="3" t="str">
        <f t="shared" si="80"/>
        <v>2</v>
      </c>
      <c r="C2566" s="4" t="s">
        <v>906</v>
      </c>
      <c r="D2566" s="8" t="s">
        <v>3044</v>
      </c>
      <c r="E2566" s="4" t="s">
        <v>50</v>
      </c>
      <c r="F2566" s="2" t="str">
        <f t="shared" si="81"/>
        <v>Routine cognitive</v>
      </c>
    </row>
    <row r="2567" spans="1:6" ht="42.75" x14ac:dyDescent="0.4">
      <c r="A2567" s="3">
        <v>2240</v>
      </c>
      <c r="B2567" s="3" t="str">
        <f t="shared" si="80"/>
        <v>2</v>
      </c>
      <c r="C2567" s="4" t="s">
        <v>906</v>
      </c>
      <c r="D2567" s="8" t="s">
        <v>3045</v>
      </c>
      <c r="E2567" s="4" t="s">
        <v>4</v>
      </c>
      <c r="F2567" s="2" t="str">
        <f t="shared" si="81"/>
        <v>Non-routine cognitive</v>
      </c>
    </row>
    <row r="2568" spans="1:6" ht="42.75" x14ac:dyDescent="0.4">
      <c r="A2568" s="3">
        <v>2240</v>
      </c>
      <c r="B2568" s="3" t="str">
        <f t="shared" si="80"/>
        <v>2</v>
      </c>
      <c r="C2568" s="4" t="s">
        <v>906</v>
      </c>
      <c r="D2568" s="5" t="s">
        <v>3046</v>
      </c>
      <c r="E2568" s="4" t="s">
        <v>4</v>
      </c>
      <c r="F2568" s="2" t="str">
        <f t="shared" si="81"/>
        <v>Non-routine cognitive</v>
      </c>
    </row>
    <row r="2569" spans="1:6" ht="42.75" x14ac:dyDescent="0.4">
      <c r="A2569" s="3">
        <v>2240</v>
      </c>
      <c r="B2569" s="3" t="str">
        <f t="shared" si="80"/>
        <v>2</v>
      </c>
      <c r="C2569" s="4" t="s">
        <v>906</v>
      </c>
      <c r="D2569" s="5" t="s">
        <v>3047</v>
      </c>
      <c r="E2569" s="4" t="s">
        <v>50</v>
      </c>
      <c r="F2569" s="2" t="str">
        <f t="shared" si="81"/>
        <v>Routine cognitive</v>
      </c>
    </row>
    <row r="2570" spans="1:6" ht="57" x14ac:dyDescent="0.4">
      <c r="A2570" s="3">
        <v>2250</v>
      </c>
      <c r="B2570" s="3" t="str">
        <f t="shared" si="80"/>
        <v>2</v>
      </c>
      <c r="C2570" s="4" t="s">
        <v>907</v>
      </c>
      <c r="D2570" s="8" t="s">
        <v>3048</v>
      </c>
      <c r="E2570" s="4" t="s">
        <v>4</v>
      </c>
      <c r="F2570" s="2" t="str">
        <f t="shared" si="81"/>
        <v>Non-routine cognitive</v>
      </c>
    </row>
    <row r="2571" spans="1:6" ht="42.75" x14ac:dyDescent="0.4">
      <c r="A2571" s="3">
        <v>2250</v>
      </c>
      <c r="B2571" s="3" t="str">
        <f t="shared" si="80"/>
        <v>2</v>
      </c>
      <c r="C2571" s="4" t="s">
        <v>907</v>
      </c>
      <c r="D2571" s="5" t="s">
        <v>3049</v>
      </c>
      <c r="E2571" s="4" t="s">
        <v>50</v>
      </c>
      <c r="F2571" s="2" t="str">
        <f t="shared" si="81"/>
        <v>Routine cognitive</v>
      </c>
    </row>
    <row r="2572" spans="1:6" ht="28.5" x14ac:dyDescent="0.4">
      <c r="A2572" s="3">
        <v>2250</v>
      </c>
      <c r="B2572" s="3" t="str">
        <f t="shared" si="80"/>
        <v>2</v>
      </c>
      <c r="C2572" s="4" t="s">
        <v>907</v>
      </c>
      <c r="D2572" s="8" t="s">
        <v>3050</v>
      </c>
      <c r="E2572" s="4" t="s">
        <v>50</v>
      </c>
      <c r="F2572" s="2" t="str">
        <f t="shared" si="81"/>
        <v>Routine cognitive</v>
      </c>
    </row>
    <row r="2573" spans="1:6" x14ac:dyDescent="0.4">
      <c r="A2573" s="3">
        <v>2250</v>
      </c>
      <c r="B2573" s="3" t="str">
        <f t="shared" si="80"/>
        <v>2</v>
      </c>
      <c r="C2573" s="4" t="s">
        <v>907</v>
      </c>
      <c r="D2573" s="7" t="s">
        <v>908</v>
      </c>
      <c r="E2573" s="4" t="s">
        <v>50</v>
      </c>
      <c r="F2573" s="2" t="str">
        <f t="shared" si="81"/>
        <v>Routine cognitive</v>
      </c>
    </row>
    <row r="2574" spans="1:6" ht="28.5" x14ac:dyDescent="0.4">
      <c r="A2574" s="3">
        <v>2250</v>
      </c>
      <c r="B2574" s="3" t="str">
        <f t="shared" si="80"/>
        <v>2</v>
      </c>
      <c r="C2574" s="4" t="s">
        <v>907</v>
      </c>
      <c r="D2574" s="10" t="s">
        <v>3051</v>
      </c>
      <c r="E2574" s="4" t="s">
        <v>4</v>
      </c>
      <c r="F2574" s="2" t="str">
        <f t="shared" si="81"/>
        <v>Non-routine cognitive</v>
      </c>
    </row>
    <row r="2575" spans="1:6" ht="42.75" x14ac:dyDescent="0.4">
      <c r="A2575" s="3">
        <v>2250</v>
      </c>
      <c r="B2575" s="3" t="str">
        <f t="shared" si="80"/>
        <v>2</v>
      </c>
      <c r="C2575" s="4" t="s">
        <v>907</v>
      </c>
      <c r="D2575" s="8" t="s">
        <v>3052</v>
      </c>
      <c r="E2575" s="4" t="s">
        <v>50</v>
      </c>
      <c r="F2575" s="2" t="str">
        <f t="shared" si="81"/>
        <v>Routine cognitive</v>
      </c>
    </row>
    <row r="2576" spans="1:6" x14ac:dyDescent="0.4">
      <c r="A2576" s="3">
        <v>2250</v>
      </c>
      <c r="B2576" s="3" t="str">
        <f t="shared" si="80"/>
        <v>2</v>
      </c>
      <c r="C2576" s="4" t="s">
        <v>907</v>
      </c>
      <c r="D2576" s="7" t="s">
        <v>909</v>
      </c>
      <c r="E2576" s="4" t="s">
        <v>50</v>
      </c>
      <c r="F2576" s="2" t="str">
        <f t="shared" si="81"/>
        <v>Routine cognitive</v>
      </c>
    </row>
    <row r="2577" spans="1:6" ht="28.5" x14ac:dyDescent="0.4">
      <c r="A2577" s="3">
        <v>2250</v>
      </c>
      <c r="B2577" s="3" t="str">
        <f t="shared" si="80"/>
        <v>2</v>
      </c>
      <c r="C2577" s="4" t="s">
        <v>907</v>
      </c>
      <c r="D2577" s="5" t="s">
        <v>3053</v>
      </c>
      <c r="E2577" s="4" t="s">
        <v>4</v>
      </c>
      <c r="F2577" s="2" t="str">
        <f t="shared" si="81"/>
        <v>Non-routine cognitive</v>
      </c>
    </row>
    <row r="2578" spans="1:6" x14ac:dyDescent="0.4">
      <c r="A2578" s="3">
        <v>2250</v>
      </c>
      <c r="B2578" s="3" t="str">
        <f t="shared" si="80"/>
        <v>2</v>
      </c>
      <c r="C2578" s="4" t="s">
        <v>907</v>
      </c>
      <c r="D2578" s="14" t="s">
        <v>910</v>
      </c>
      <c r="E2578" s="4" t="s">
        <v>50</v>
      </c>
      <c r="F2578" s="2" t="str">
        <f t="shared" si="81"/>
        <v>Routine cognitive</v>
      </c>
    </row>
    <row r="2579" spans="1:6" ht="57" x14ac:dyDescent="0.4">
      <c r="A2579" s="3">
        <v>2261</v>
      </c>
      <c r="B2579" s="3" t="str">
        <f t="shared" si="80"/>
        <v>2</v>
      </c>
      <c r="C2579" s="4" t="s">
        <v>911</v>
      </c>
      <c r="D2579" s="8" t="s">
        <v>3054</v>
      </c>
      <c r="E2579" s="4" t="s">
        <v>4</v>
      </c>
      <c r="F2579" s="2" t="str">
        <f t="shared" si="81"/>
        <v>Non-routine cognitive</v>
      </c>
    </row>
    <row r="2580" spans="1:6" ht="28.5" x14ac:dyDescent="0.4">
      <c r="A2580" s="3">
        <v>2261</v>
      </c>
      <c r="B2580" s="3" t="str">
        <f t="shared" si="80"/>
        <v>2</v>
      </c>
      <c r="C2580" s="4" t="s">
        <v>911</v>
      </c>
      <c r="D2580" s="8" t="s">
        <v>3055</v>
      </c>
      <c r="E2580" s="4" t="s">
        <v>50</v>
      </c>
      <c r="F2580" s="2" t="str">
        <f t="shared" si="81"/>
        <v>Routine cognitive</v>
      </c>
    </row>
    <row r="2581" spans="1:6" ht="42.75" x14ac:dyDescent="0.4">
      <c r="A2581" s="3">
        <v>2261</v>
      </c>
      <c r="B2581" s="3" t="str">
        <f t="shared" si="80"/>
        <v>2</v>
      </c>
      <c r="C2581" s="4" t="s">
        <v>911</v>
      </c>
      <c r="D2581" s="5" t="s">
        <v>3056</v>
      </c>
      <c r="E2581" s="4" t="s">
        <v>50</v>
      </c>
      <c r="F2581" s="2" t="str">
        <f t="shared" si="81"/>
        <v>Routine cognitive</v>
      </c>
    </row>
    <row r="2582" spans="1:6" ht="28.5" x14ac:dyDescent="0.4">
      <c r="A2582" s="3">
        <v>2261</v>
      </c>
      <c r="B2582" s="3" t="str">
        <f t="shared" si="80"/>
        <v>2</v>
      </c>
      <c r="C2582" s="4" t="s">
        <v>911</v>
      </c>
      <c r="D2582" s="8" t="s">
        <v>3057</v>
      </c>
      <c r="E2582" s="4" t="s">
        <v>50</v>
      </c>
      <c r="F2582" s="2" t="str">
        <f t="shared" si="81"/>
        <v>Routine cognitive</v>
      </c>
    </row>
    <row r="2583" spans="1:6" ht="42.75" x14ac:dyDescent="0.4">
      <c r="A2583" s="3">
        <v>2261</v>
      </c>
      <c r="B2583" s="3" t="str">
        <f t="shared" si="80"/>
        <v>2</v>
      </c>
      <c r="C2583" s="4" t="s">
        <v>911</v>
      </c>
      <c r="D2583" s="5" t="s">
        <v>3058</v>
      </c>
      <c r="E2583" s="4" t="s">
        <v>106</v>
      </c>
      <c r="F2583" s="2" t="str">
        <f t="shared" si="81"/>
        <v>Non-routine manual</v>
      </c>
    </row>
    <row r="2584" spans="1:6" ht="42.75" x14ac:dyDescent="0.4">
      <c r="A2584" s="3">
        <v>2261</v>
      </c>
      <c r="B2584" s="3" t="str">
        <f t="shared" si="80"/>
        <v>2</v>
      </c>
      <c r="C2584" s="4" t="s">
        <v>911</v>
      </c>
      <c r="D2584" s="8" t="s">
        <v>3059</v>
      </c>
      <c r="E2584" s="4" t="s">
        <v>50</v>
      </c>
      <c r="F2584" s="2" t="str">
        <f t="shared" si="81"/>
        <v>Routine cognitive</v>
      </c>
    </row>
    <row r="2585" spans="1:6" ht="57" x14ac:dyDescent="0.4">
      <c r="A2585" s="3">
        <v>2261</v>
      </c>
      <c r="B2585" s="3" t="str">
        <f t="shared" si="80"/>
        <v>2</v>
      </c>
      <c r="C2585" s="4" t="s">
        <v>911</v>
      </c>
      <c r="D2585" s="5" t="s">
        <v>3060</v>
      </c>
      <c r="E2585" s="4" t="s">
        <v>50</v>
      </c>
      <c r="F2585" s="2" t="str">
        <f t="shared" si="81"/>
        <v>Routine cognitive</v>
      </c>
    </row>
    <row r="2586" spans="1:6" ht="57" x14ac:dyDescent="0.4">
      <c r="A2586" s="3">
        <v>2261</v>
      </c>
      <c r="B2586" s="3" t="str">
        <f t="shared" si="80"/>
        <v>2</v>
      </c>
      <c r="C2586" s="4" t="s">
        <v>911</v>
      </c>
      <c r="D2586" s="5" t="s">
        <v>3061</v>
      </c>
      <c r="E2586" s="4" t="s">
        <v>50</v>
      </c>
      <c r="F2586" s="2" t="str">
        <f t="shared" si="81"/>
        <v>Routine cognitive</v>
      </c>
    </row>
    <row r="2587" spans="1:6" ht="28.5" x14ac:dyDescent="0.4">
      <c r="A2587" s="3">
        <v>2261</v>
      </c>
      <c r="B2587" s="3" t="str">
        <f t="shared" si="80"/>
        <v>2</v>
      </c>
      <c r="C2587" s="4" t="s">
        <v>911</v>
      </c>
      <c r="D2587" s="5" t="s">
        <v>3062</v>
      </c>
      <c r="E2587" s="4" t="s">
        <v>50</v>
      </c>
      <c r="F2587" s="2" t="str">
        <f t="shared" si="81"/>
        <v>Routine cognitive</v>
      </c>
    </row>
    <row r="2588" spans="1:6" ht="28.5" x14ac:dyDescent="0.4">
      <c r="A2588" s="3">
        <v>2261</v>
      </c>
      <c r="B2588" s="3" t="str">
        <f t="shared" si="80"/>
        <v>2</v>
      </c>
      <c r="C2588" s="4" t="s">
        <v>911</v>
      </c>
      <c r="D2588" s="8" t="s">
        <v>3063</v>
      </c>
      <c r="E2588" s="4" t="s">
        <v>50</v>
      </c>
      <c r="F2588" s="2" t="str">
        <f t="shared" si="81"/>
        <v>Routine cognitive</v>
      </c>
    </row>
    <row r="2589" spans="1:6" ht="42.75" x14ac:dyDescent="0.4">
      <c r="A2589" s="3">
        <v>2261</v>
      </c>
      <c r="B2589" s="3" t="str">
        <f t="shared" si="80"/>
        <v>2</v>
      </c>
      <c r="C2589" s="4" t="s">
        <v>911</v>
      </c>
      <c r="D2589" s="8" t="s">
        <v>3064</v>
      </c>
      <c r="E2589" s="4" t="s">
        <v>3</v>
      </c>
      <c r="F2589" s="2" t="str">
        <f t="shared" si="81"/>
        <v>Non-routine cognitive</v>
      </c>
    </row>
    <row r="2590" spans="1:6" ht="28.5" x14ac:dyDescent="0.4">
      <c r="A2590" s="3">
        <v>2261</v>
      </c>
      <c r="B2590" s="3" t="str">
        <f t="shared" si="80"/>
        <v>2</v>
      </c>
      <c r="C2590" s="4" t="s">
        <v>911</v>
      </c>
      <c r="D2590" s="10" t="s">
        <v>3065</v>
      </c>
      <c r="E2590" s="4" t="s">
        <v>3</v>
      </c>
      <c r="F2590" s="2" t="str">
        <f t="shared" si="81"/>
        <v>Non-routine cognitive</v>
      </c>
    </row>
    <row r="2591" spans="1:6" ht="42.75" x14ac:dyDescent="0.4">
      <c r="A2591" s="3">
        <v>2263</v>
      </c>
      <c r="B2591" s="3" t="str">
        <f t="shared" si="80"/>
        <v>2</v>
      </c>
      <c r="C2591" s="4" t="s">
        <v>912</v>
      </c>
      <c r="D2591" s="8" t="s">
        <v>3066</v>
      </c>
      <c r="E2591" s="4" t="s">
        <v>4</v>
      </c>
      <c r="F2591" s="2" t="str">
        <f t="shared" si="81"/>
        <v>Non-routine cognitive</v>
      </c>
    </row>
    <row r="2592" spans="1:6" ht="42.75" x14ac:dyDescent="0.4">
      <c r="A2592" s="3">
        <v>2263</v>
      </c>
      <c r="B2592" s="3" t="str">
        <f t="shared" si="80"/>
        <v>2</v>
      </c>
      <c r="C2592" s="4" t="s">
        <v>912</v>
      </c>
      <c r="D2592" s="11" t="s">
        <v>3067</v>
      </c>
      <c r="E2592" s="4" t="s">
        <v>4</v>
      </c>
      <c r="F2592" s="2" t="str">
        <f t="shared" si="81"/>
        <v>Non-routine cognitive</v>
      </c>
    </row>
    <row r="2593" spans="1:6" ht="57" x14ac:dyDescent="0.4">
      <c r="A2593" s="3">
        <v>2263</v>
      </c>
      <c r="B2593" s="3" t="str">
        <f t="shared" si="80"/>
        <v>2</v>
      </c>
      <c r="C2593" s="4" t="s">
        <v>912</v>
      </c>
      <c r="D2593" s="5" t="s">
        <v>3068</v>
      </c>
      <c r="E2593" s="4" t="s">
        <v>50</v>
      </c>
      <c r="F2593" s="2" t="str">
        <f t="shared" si="81"/>
        <v>Routine cognitive</v>
      </c>
    </row>
    <row r="2594" spans="1:6" ht="57" x14ac:dyDescent="0.4">
      <c r="A2594" s="3">
        <v>2263</v>
      </c>
      <c r="B2594" s="3" t="str">
        <f t="shared" si="80"/>
        <v>2</v>
      </c>
      <c r="C2594" s="4" t="s">
        <v>912</v>
      </c>
      <c r="D2594" s="5" t="s">
        <v>3069</v>
      </c>
      <c r="E2594" s="4" t="s">
        <v>4</v>
      </c>
      <c r="F2594" s="2" t="str">
        <f t="shared" si="81"/>
        <v>Non-routine cognitive</v>
      </c>
    </row>
    <row r="2595" spans="1:6" ht="42.75" x14ac:dyDescent="0.4">
      <c r="A2595" s="3">
        <v>2263</v>
      </c>
      <c r="B2595" s="3" t="str">
        <f t="shared" si="80"/>
        <v>2</v>
      </c>
      <c r="C2595" s="4" t="s">
        <v>912</v>
      </c>
      <c r="D2595" s="5" t="s">
        <v>3070</v>
      </c>
      <c r="E2595" s="4" t="s">
        <v>4</v>
      </c>
      <c r="F2595" s="2" t="str">
        <f t="shared" si="81"/>
        <v>Non-routine cognitive</v>
      </c>
    </row>
    <row r="2596" spans="1:6" ht="42.75" x14ac:dyDescent="0.4">
      <c r="A2596" s="3">
        <v>2263</v>
      </c>
      <c r="B2596" s="3" t="str">
        <f t="shared" si="80"/>
        <v>2</v>
      </c>
      <c r="C2596" s="4" t="s">
        <v>912</v>
      </c>
      <c r="D2596" s="5" t="s">
        <v>3071</v>
      </c>
      <c r="E2596" s="4" t="s">
        <v>4</v>
      </c>
      <c r="F2596" s="2" t="str">
        <f t="shared" si="81"/>
        <v>Non-routine cognitive</v>
      </c>
    </row>
    <row r="2597" spans="1:6" ht="42.75" x14ac:dyDescent="0.4">
      <c r="A2597" s="3">
        <v>2263</v>
      </c>
      <c r="B2597" s="3" t="str">
        <f t="shared" si="80"/>
        <v>2</v>
      </c>
      <c r="C2597" s="4" t="s">
        <v>912</v>
      </c>
      <c r="D2597" s="5" t="s">
        <v>3072</v>
      </c>
      <c r="E2597" s="4" t="s">
        <v>4</v>
      </c>
      <c r="F2597" s="2" t="str">
        <f t="shared" si="81"/>
        <v>Non-routine cognitive</v>
      </c>
    </row>
    <row r="2598" spans="1:6" ht="42.75" x14ac:dyDescent="0.4">
      <c r="A2598" s="3">
        <v>2263</v>
      </c>
      <c r="B2598" s="3" t="str">
        <f t="shared" si="80"/>
        <v>2</v>
      </c>
      <c r="C2598" s="4" t="s">
        <v>912</v>
      </c>
      <c r="D2598" s="5" t="s">
        <v>3073</v>
      </c>
      <c r="E2598" s="4" t="s">
        <v>3</v>
      </c>
      <c r="F2598" s="2" t="str">
        <f t="shared" si="81"/>
        <v>Non-routine cognitive</v>
      </c>
    </row>
    <row r="2599" spans="1:6" ht="28.5" x14ac:dyDescent="0.4">
      <c r="A2599" s="3">
        <v>2263</v>
      </c>
      <c r="B2599" s="3" t="str">
        <f t="shared" si="80"/>
        <v>2</v>
      </c>
      <c r="C2599" s="4" t="s">
        <v>912</v>
      </c>
      <c r="D2599" s="8" t="s">
        <v>3074</v>
      </c>
      <c r="E2599" s="4" t="s">
        <v>4</v>
      </c>
      <c r="F2599" s="2" t="str">
        <f t="shared" si="81"/>
        <v>Non-routine cognitive</v>
      </c>
    </row>
    <row r="2600" spans="1:6" ht="28.5" x14ac:dyDescent="0.4">
      <c r="A2600" s="3">
        <v>2263</v>
      </c>
      <c r="B2600" s="3" t="str">
        <f t="shared" si="80"/>
        <v>2</v>
      </c>
      <c r="C2600" s="4" t="s">
        <v>912</v>
      </c>
      <c r="D2600" s="8" t="s">
        <v>3075</v>
      </c>
      <c r="E2600" s="4" t="s">
        <v>3</v>
      </c>
      <c r="F2600" s="2" t="str">
        <f t="shared" si="81"/>
        <v>Non-routine cognitive</v>
      </c>
    </row>
    <row r="2601" spans="1:6" ht="71.25" x14ac:dyDescent="0.4">
      <c r="A2601" s="3">
        <v>2265</v>
      </c>
      <c r="B2601" s="3" t="str">
        <f t="shared" si="80"/>
        <v>2</v>
      </c>
      <c r="C2601" s="4" t="s">
        <v>913</v>
      </c>
      <c r="D2601" s="5" t="s">
        <v>3076</v>
      </c>
      <c r="E2601" s="4" t="s">
        <v>3</v>
      </c>
      <c r="F2601" s="2" t="str">
        <f t="shared" si="81"/>
        <v>Non-routine cognitive</v>
      </c>
    </row>
    <row r="2602" spans="1:6" ht="57" x14ac:dyDescent="0.4">
      <c r="A2602" s="3">
        <v>2265</v>
      </c>
      <c r="B2602" s="3" t="str">
        <f t="shared" si="80"/>
        <v>2</v>
      </c>
      <c r="C2602" s="4" t="s">
        <v>913</v>
      </c>
      <c r="D2602" s="8" t="s">
        <v>3077</v>
      </c>
      <c r="E2602" s="4" t="s">
        <v>3</v>
      </c>
      <c r="F2602" s="2" t="str">
        <f t="shared" si="81"/>
        <v>Non-routine cognitive</v>
      </c>
    </row>
    <row r="2603" spans="1:6" ht="42.75" x14ac:dyDescent="0.4">
      <c r="A2603" s="3">
        <v>2265</v>
      </c>
      <c r="B2603" s="3" t="str">
        <f t="shared" si="80"/>
        <v>2</v>
      </c>
      <c r="C2603" s="4" t="s">
        <v>913</v>
      </c>
      <c r="D2603" s="5" t="s">
        <v>3078</v>
      </c>
      <c r="E2603" s="4" t="s">
        <v>4</v>
      </c>
      <c r="F2603" s="2" t="str">
        <f t="shared" si="81"/>
        <v>Non-routine cognitive</v>
      </c>
    </row>
    <row r="2604" spans="1:6" ht="57" x14ac:dyDescent="0.4">
      <c r="A2604" s="3">
        <v>2265</v>
      </c>
      <c r="B2604" s="3" t="str">
        <f t="shared" si="80"/>
        <v>2</v>
      </c>
      <c r="C2604" s="4" t="s">
        <v>913</v>
      </c>
      <c r="D2604" s="5" t="s">
        <v>3079</v>
      </c>
      <c r="E2604" s="4" t="s">
        <v>4</v>
      </c>
      <c r="F2604" s="2" t="str">
        <f t="shared" si="81"/>
        <v>Non-routine cognitive</v>
      </c>
    </row>
    <row r="2605" spans="1:6" ht="42.75" x14ac:dyDescent="0.4">
      <c r="A2605" s="3">
        <v>2265</v>
      </c>
      <c r="B2605" s="3" t="str">
        <f t="shared" si="80"/>
        <v>2</v>
      </c>
      <c r="C2605" s="4" t="s">
        <v>913</v>
      </c>
      <c r="D2605" s="5" t="s">
        <v>3080</v>
      </c>
      <c r="E2605" s="4" t="s">
        <v>3</v>
      </c>
      <c r="F2605" s="2" t="str">
        <f t="shared" si="81"/>
        <v>Non-routine cognitive</v>
      </c>
    </row>
    <row r="2606" spans="1:6" ht="28.5" x14ac:dyDescent="0.4">
      <c r="A2606" s="3">
        <v>2265</v>
      </c>
      <c r="B2606" s="3" t="str">
        <f t="shared" si="80"/>
        <v>2</v>
      </c>
      <c r="C2606" s="4" t="s">
        <v>913</v>
      </c>
      <c r="D2606" s="8" t="s">
        <v>3081</v>
      </c>
      <c r="E2606" s="4" t="s">
        <v>50</v>
      </c>
      <c r="F2606" s="2" t="str">
        <f t="shared" si="81"/>
        <v>Routine cognitive</v>
      </c>
    </row>
    <row r="2607" spans="1:6" ht="28.5" x14ac:dyDescent="0.4">
      <c r="A2607" s="3">
        <v>2265</v>
      </c>
      <c r="B2607" s="3" t="str">
        <f t="shared" si="80"/>
        <v>2</v>
      </c>
      <c r="C2607" s="4" t="s">
        <v>913</v>
      </c>
      <c r="D2607" s="5" t="s">
        <v>3672</v>
      </c>
      <c r="E2607" s="4" t="s">
        <v>4</v>
      </c>
      <c r="F2607" s="2" t="str">
        <f t="shared" si="81"/>
        <v>Non-routine cognitive</v>
      </c>
    </row>
    <row r="2608" spans="1:6" ht="42.75" x14ac:dyDescent="0.4">
      <c r="A2608" s="3">
        <v>2266</v>
      </c>
      <c r="B2608" s="3" t="str">
        <f t="shared" si="80"/>
        <v>2</v>
      </c>
      <c r="C2608" s="4" t="s">
        <v>914</v>
      </c>
      <c r="D2608" s="5" t="s">
        <v>3082</v>
      </c>
      <c r="E2608" s="4" t="s">
        <v>4</v>
      </c>
      <c r="F2608" s="2" t="str">
        <f t="shared" si="81"/>
        <v>Non-routine cognitive</v>
      </c>
    </row>
    <row r="2609" spans="1:6" ht="71.25" x14ac:dyDescent="0.4">
      <c r="A2609" s="3">
        <v>2266</v>
      </c>
      <c r="B2609" s="3" t="str">
        <f t="shared" si="80"/>
        <v>2</v>
      </c>
      <c r="C2609" s="4" t="s">
        <v>914</v>
      </c>
      <c r="D2609" s="5" t="s">
        <v>3083</v>
      </c>
      <c r="E2609" s="4" t="s">
        <v>50</v>
      </c>
      <c r="F2609" s="2" t="str">
        <f t="shared" si="81"/>
        <v>Routine cognitive</v>
      </c>
    </row>
    <row r="2610" spans="1:6" ht="42.75" x14ac:dyDescent="0.4">
      <c r="A2610" s="3">
        <v>2266</v>
      </c>
      <c r="B2610" s="3" t="str">
        <f t="shared" si="80"/>
        <v>2</v>
      </c>
      <c r="C2610" s="4" t="s">
        <v>914</v>
      </c>
      <c r="D2610" s="5" t="s">
        <v>3084</v>
      </c>
      <c r="E2610" s="4" t="s">
        <v>3</v>
      </c>
      <c r="F2610" s="2" t="str">
        <f t="shared" si="81"/>
        <v>Non-routine cognitive</v>
      </c>
    </row>
    <row r="2611" spans="1:6" ht="42.75" x14ac:dyDescent="0.4">
      <c r="A2611" s="3">
        <v>2266</v>
      </c>
      <c r="B2611" s="3" t="str">
        <f t="shared" si="80"/>
        <v>2</v>
      </c>
      <c r="C2611" s="4" t="s">
        <v>914</v>
      </c>
      <c r="D2611" s="8" t="s">
        <v>3085</v>
      </c>
      <c r="E2611" s="4" t="s">
        <v>50</v>
      </c>
      <c r="F2611" s="2" t="str">
        <f t="shared" si="81"/>
        <v>Routine cognitive</v>
      </c>
    </row>
    <row r="2612" spans="1:6" ht="42.75" x14ac:dyDescent="0.4">
      <c r="A2612" s="3">
        <v>2266</v>
      </c>
      <c r="B2612" s="3" t="str">
        <f t="shared" si="80"/>
        <v>2</v>
      </c>
      <c r="C2612" s="4" t="s">
        <v>914</v>
      </c>
      <c r="D2612" s="8" t="s">
        <v>3086</v>
      </c>
      <c r="E2612" s="4" t="s">
        <v>4</v>
      </c>
      <c r="F2612" s="2" t="str">
        <f t="shared" si="81"/>
        <v>Non-routine cognitive</v>
      </c>
    </row>
    <row r="2613" spans="1:6" ht="42.75" x14ac:dyDescent="0.4">
      <c r="A2613" s="3">
        <v>2266</v>
      </c>
      <c r="B2613" s="3" t="str">
        <f t="shared" si="80"/>
        <v>2</v>
      </c>
      <c r="C2613" s="4" t="s">
        <v>914</v>
      </c>
      <c r="D2613" s="5" t="s">
        <v>3087</v>
      </c>
      <c r="E2613" s="4" t="s">
        <v>3</v>
      </c>
      <c r="F2613" s="2" t="str">
        <f t="shared" si="81"/>
        <v>Non-routine cognitive</v>
      </c>
    </row>
    <row r="2614" spans="1:6" ht="42.75" x14ac:dyDescent="0.4">
      <c r="A2614" s="3">
        <v>2266</v>
      </c>
      <c r="B2614" s="3" t="str">
        <f t="shared" si="80"/>
        <v>2</v>
      </c>
      <c r="C2614" s="4" t="s">
        <v>914</v>
      </c>
      <c r="D2614" s="5" t="s">
        <v>3088</v>
      </c>
      <c r="E2614" s="4" t="s">
        <v>50</v>
      </c>
      <c r="F2614" s="2" t="str">
        <f t="shared" si="81"/>
        <v>Routine cognitive</v>
      </c>
    </row>
    <row r="2615" spans="1:6" ht="42.75" x14ac:dyDescent="0.4">
      <c r="A2615" s="3">
        <v>2267</v>
      </c>
      <c r="B2615" s="3" t="str">
        <f t="shared" si="80"/>
        <v>2</v>
      </c>
      <c r="C2615" s="4" t="s">
        <v>915</v>
      </c>
      <c r="D2615" s="8" t="s">
        <v>3089</v>
      </c>
      <c r="E2615" s="4" t="s">
        <v>50</v>
      </c>
      <c r="F2615" s="2" t="str">
        <f t="shared" si="81"/>
        <v>Routine cognitive</v>
      </c>
    </row>
    <row r="2616" spans="1:6" ht="71.25" x14ac:dyDescent="0.4">
      <c r="A2616" s="3">
        <v>2267</v>
      </c>
      <c r="B2616" s="3" t="str">
        <f t="shared" si="80"/>
        <v>2</v>
      </c>
      <c r="C2616" s="4" t="s">
        <v>915</v>
      </c>
      <c r="D2616" s="5" t="s">
        <v>3090</v>
      </c>
      <c r="E2616" s="4" t="s">
        <v>50</v>
      </c>
      <c r="F2616" s="2" t="str">
        <f t="shared" si="81"/>
        <v>Routine cognitive</v>
      </c>
    </row>
    <row r="2617" spans="1:6" ht="28.5" x14ac:dyDescent="0.4">
      <c r="A2617" s="3">
        <v>2267</v>
      </c>
      <c r="B2617" s="3" t="str">
        <f t="shared" si="80"/>
        <v>2</v>
      </c>
      <c r="C2617" s="4" t="s">
        <v>915</v>
      </c>
      <c r="D2617" s="8" t="s">
        <v>3091</v>
      </c>
      <c r="E2617" s="4" t="s">
        <v>4</v>
      </c>
      <c r="F2617" s="2" t="str">
        <f t="shared" si="81"/>
        <v>Non-routine cognitive</v>
      </c>
    </row>
    <row r="2618" spans="1:6" ht="42.75" x14ac:dyDescent="0.4">
      <c r="A2618" s="3">
        <v>2267</v>
      </c>
      <c r="B2618" s="3" t="str">
        <f t="shared" si="80"/>
        <v>2</v>
      </c>
      <c r="C2618" s="4" t="s">
        <v>915</v>
      </c>
      <c r="D2618" s="5" t="s">
        <v>3092</v>
      </c>
      <c r="E2618" s="4" t="s">
        <v>3</v>
      </c>
      <c r="F2618" s="2" t="str">
        <f t="shared" si="81"/>
        <v>Non-routine cognitive</v>
      </c>
    </row>
    <row r="2619" spans="1:6" ht="71.25" x14ac:dyDescent="0.4">
      <c r="A2619" s="3">
        <v>2267</v>
      </c>
      <c r="B2619" s="3" t="str">
        <f t="shared" si="80"/>
        <v>2</v>
      </c>
      <c r="C2619" s="4" t="s">
        <v>915</v>
      </c>
      <c r="D2619" s="5" t="s">
        <v>3093</v>
      </c>
      <c r="E2619" s="4" t="s">
        <v>4</v>
      </c>
      <c r="F2619" s="2" t="str">
        <f t="shared" si="81"/>
        <v>Non-routine cognitive</v>
      </c>
    </row>
    <row r="2620" spans="1:6" ht="57" x14ac:dyDescent="0.4">
      <c r="A2620" s="3">
        <v>2267</v>
      </c>
      <c r="B2620" s="3" t="str">
        <f t="shared" si="80"/>
        <v>2</v>
      </c>
      <c r="C2620" s="4" t="s">
        <v>915</v>
      </c>
      <c r="D2620" s="5" t="s">
        <v>3094</v>
      </c>
      <c r="E2620" s="4" t="s">
        <v>50</v>
      </c>
      <c r="F2620" s="2" t="str">
        <f t="shared" si="81"/>
        <v>Routine cognitive</v>
      </c>
    </row>
    <row r="2621" spans="1:6" ht="42.75" x14ac:dyDescent="0.4">
      <c r="A2621" s="3">
        <v>2267</v>
      </c>
      <c r="B2621" s="3" t="str">
        <f t="shared" si="80"/>
        <v>2</v>
      </c>
      <c r="C2621" s="4" t="s">
        <v>915</v>
      </c>
      <c r="D2621" s="5" t="s">
        <v>3095</v>
      </c>
      <c r="E2621" s="4" t="s">
        <v>4</v>
      </c>
      <c r="F2621" s="2" t="str">
        <f t="shared" si="81"/>
        <v>Non-routine cognitive</v>
      </c>
    </row>
    <row r="2622" spans="1:6" ht="57" x14ac:dyDescent="0.4">
      <c r="A2622" s="3">
        <v>2269</v>
      </c>
      <c r="B2622" s="3" t="str">
        <f t="shared" si="80"/>
        <v>2</v>
      </c>
      <c r="C2622" s="4" t="s">
        <v>916</v>
      </c>
      <c r="D2622" s="8" t="s">
        <v>3096</v>
      </c>
      <c r="E2622" s="4" t="s">
        <v>3</v>
      </c>
      <c r="F2622" s="2" t="str">
        <f t="shared" si="81"/>
        <v>Non-routine cognitive</v>
      </c>
    </row>
    <row r="2623" spans="1:6" ht="57" x14ac:dyDescent="0.4">
      <c r="A2623" s="3">
        <v>2269</v>
      </c>
      <c r="B2623" s="3" t="str">
        <f t="shared" si="80"/>
        <v>2</v>
      </c>
      <c r="C2623" s="4" t="s">
        <v>916</v>
      </c>
      <c r="D2623" s="5" t="s">
        <v>3097</v>
      </c>
      <c r="E2623" s="4" t="s">
        <v>4</v>
      </c>
      <c r="F2623" s="2" t="str">
        <f t="shared" si="81"/>
        <v>Non-routine cognitive</v>
      </c>
    </row>
    <row r="2624" spans="1:6" ht="57" x14ac:dyDescent="0.4">
      <c r="A2624" s="3">
        <v>2269</v>
      </c>
      <c r="B2624" s="3" t="str">
        <f t="shared" si="80"/>
        <v>2</v>
      </c>
      <c r="C2624" s="4" t="s">
        <v>916</v>
      </c>
      <c r="D2624" s="5" t="s">
        <v>3098</v>
      </c>
      <c r="E2624" s="4" t="s">
        <v>4</v>
      </c>
      <c r="F2624" s="2" t="str">
        <f t="shared" si="81"/>
        <v>Non-routine cognitive</v>
      </c>
    </row>
    <row r="2625" spans="1:6" ht="57" x14ac:dyDescent="0.4">
      <c r="A2625" s="3">
        <v>2269</v>
      </c>
      <c r="B2625" s="3" t="str">
        <f t="shared" si="80"/>
        <v>2</v>
      </c>
      <c r="C2625" s="4" t="s">
        <v>916</v>
      </c>
      <c r="D2625" s="5" t="s">
        <v>3099</v>
      </c>
      <c r="E2625" s="4" t="s">
        <v>50</v>
      </c>
      <c r="F2625" s="2" t="str">
        <f t="shared" si="81"/>
        <v>Routine cognitive</v>
      </c>
    </row>
    <row r="2626" spans="1:6" ht="57" x14ac:dyDescent="0.4">
      <c r="A2626" s="3">
        <v>2269</v>
      </c>
      <c r="B2626" s="3" t="str">
        <f t="shared" si="80"/>
        <v>2</v>
      </c>
      <c r="C2626" s="4" t="s">
        <v>916</v>
      </c>
      <c r="D2626" s="5" t="s">
        <v>3100</v>
      </c>
      <c r="E2626" s="4" t="s">
        <v>4</v>
      </c>
      <c r="F2626" s="2" t="str">
        <f t="shared" si="81"/>
        <v>Non-routine cognitive</v>
      </c>
    </row>
    <row r="2627" spans="1:6" ht="71.25" x14ac:dyDescent="0.4">
      <c r="A2627" s="3">
        <v>2269</v>
      </c>
      <c r="B2627" s="3" t="str">
        <f t="shared" ref="B2627:B2690" si="82">LEFT(A2627,1)</f>
        <v>2</v>
      </c>
      <c r="C2627" s="4" t="s">
        <v>916</v>
      </c>
      <c r="D2627" s="5" t="s">
        <v>3673</v>
      </c>
      <c r="E2627" s="4" t="s">
        <v>4</v>
      </c>
      <c r="F2627" s="2" t="str">
        <f t="shared" ref="F2627:F2690" si="83">IF(E2627="Non-routine interpersonal","Non-routine cognitive",IF(E2627="Non-routine analytical","Non-routine cognitive",IF(E2627="Non-routine manual physical","Non-routine manual",E2627)))</f>
        <v>Non-routine cognitive</v>
      </c>
    </row>
    <row r="2628" spans="1:6" ht="57" x14ac:dyDescent="0.4">
      <c r="A2628" s="3">
        <v>2269</v>
      </c>
      <c r="B2628" s="3" t="str">
        <f t="shared" si="82"/>
        <v>2</v>
      </c>
      <c r="C2628" s="4" t="s">
        <v>916</v>
      </c>
      <c r="D2628" s="5" t="s">
        <v>3101</v>
      </c>
      <c r="E2628" s="4" t="s">
        <v>4</v>
      </c>
      <c r="F2628" s="2" t="str">
        <f t="shared" si="83"/>
        <v>Non-routine cognitive</v>
      </c>
    </row>
    <row r="2629" spans="1:6" ht="28.5" x14ac:dyDescent="0.4">
      <c r="A2629" s="3">
        <v>2269</v>
      </c>
      <c r="B2629" s="3" t="str">
        <f t="shared" si="82"/>
        <v>2</v>
      </c>
      <c r="C2629" s="4" t="s">
        <v>916</v>
      </c>
      <c r="D2629" s="8" t="s">
        <v>3102</v>
      </c>
      <c r="E2629" s="4" t="s">
        <v>50</v>
      </c>
      <c r="F2629" s="2" t="str">
        <f t="shared" si="83"/>
        <v>Routine cognitive</v>
      </c>
    </row>
    <row r="2630" spans="1:6" x14ac:dyDescent="0.4">
      <c r="A2630" s="3">
        <v>2412</v>
      </c>
      <c r="B2630" s="3" t="str">
        <f t="shared" si="82"/>
        <v>2</v>
      </c>
      <c r="C2630" s="4" t="s">
        <v>917</v>
      </c>
      <c r="D2630" s="4" t="s">
        <v>918</v>
      </c>
      <c r="E2630" s="4" t="s">
        <v>50</v>
      </c>
      <c r="F2630" s="2" t="str">
        <f t="shared" si="83"/>
        <v>Routine cognitive</v>
      </c>
    </row>
    <row r="2631" spans="1:6" ht="42.75" x14ac:dyDescent="0.4">
      <c r="A2631" s="3">
        <v>2412</v>
      </c>
      <c r="B2631" s="3" t="str">
        <f t="shared" si="82"/>
        <v>2</v>
      </c>
      <c r="C2631" s="4" t="s">
        <v>917</v>
      </c>
      <c r="D2631" s="8" t="s">
        <v>3103</v>
      </c>
      <c r="E2631" s="4" t="s">
        <v>3</v>
      </c>
      <c r="F2631" s="2" t="str">
        <f t="shared" si="83"/>
        <v>Non-routine cognitive</v>
      </c>
    </row>
    <row r="2632" spans="1:6" ht="28.5" x14ac:dyDescent="0.4">
      <c r="A2632" s="3">
        <v>2412</v>
      </c>
      <c r="B2632" s="3" t="str">
        <f t="shared" si="82"/>
        <v>2</v>
      </c>
      <c r="C2632" s="4" t="s">
        <v>917</v>
      </c>
      <c r="D2632" s="5" t="s">
        <v>3104</v>
      </c>
      <c r="E2632" s="4" t="s">
        <v>4</v>
      </c>
      <c r="F2632" s="2" t="str">
        <f t="shared" si="83"/>
        <v>Non-routine cognitive</v>
      </c>
    </row>
    <row r="2633" spans="1:6" x14ac:dyDescent="0.4">
      <c r="A2633" s="3">
        <v>2412</v>
      </c>
      <c r="B2633" s="3" t="str">
        <f t="shared" si="82"/>
        <v>2</v>
      </c>
      <c r="C2633" s="4" t="s">
        <v>917</v>
      </c>
      <c r="D2633" s="6" t="s">
        <v>919</v>
      </c>
      <c r="E2633" s="4" t="s">
        <v>50</v>
      </c>
      <c r="F2633" s="2" t="str">
        <f t="shared" si="83"/>
        <v>Routine cognitive</v>
      </c>
    </row>
    <row r="2634" spans="1:6" ht="42.75" x14ac:dyDescent="0.4">
      <c r="A2634" s="3">
        <v>2412</v>
      </c>
      <c r="B2634" s="3" t="str">
        <f t="shared" si="82"/>
        <v>2</v>
      </c>
      <c r="C2634" s="4" t="s">
        <v>917</v>
      </c>
      <c r="D2634" s="8" t="s">
        <v>3105</v>
      </c>
      <c r="E2634" s="4" t="s">
        <v>4</v>
      </c>
      <c r="F2634" s="2" t="str">
        <f t="shared" si="83"/>
        <v>Non-routine cognitive</v>
      </c>
    </row>
    <row r="2635" spans="1:6" ht="28.5" x14ac:dyDescent="0.4">
      <c r="A2635" s="3">
        <v>2412</v>
      </c>
      <c r="B2635" s="3" t="str">
        <f t="shared" si="82"/>
        <v>2</v>
      </c>
      <c r="C2635" s="4" t="s">
        <v>917</v>
      </c>
      <c r="D2635" s="8" t="s">
        <v>3106</v>
      </c>
      <c r="E2635" s="4" t="s">
        <v>4</v>
      </c>
      <c r="F2635" s="2" t="str">
        <f t="shared" si="83"/>
        <v>Non-routine cognitive</v>
      </c>
    </row>
    <row r="2636" spans="1:6" ht="57" x14ac:dyDescent="0.4">
      <c r="A2636" s="3">
        <v>2421</v>
      </c>
      <c r="B2636" s="3" t="str">
        <f t="shared" si="82"/>
        <v>2</v>
      </c>
      <c r="C2636" s="4" t="s">
        <v>920</v>
      </c>
      <c r="D2636" s="5" t="s">
        <v>3107</v>
      </c>
      <c r="E2636" s="4" t="s">
        <v>3</v>
      </c>
      <c r="F2636" s="2" t="str">
        <f t="shared" si="83"/>
        <v>Non-routine cognitive</v>
      </c>
    </row>
    <row r="2637" spans="1:6" ht="28.5" x14ac:dyDescent="0.4">
      <c r="A2637" s="3">
        <v>2421</v>
      </c>
      <c r="B2637" s="3" t="str">
        <f t="shared" si="82"/>
        <v>2</v>
      </c>
      <c r="C2637" s="4" t="s">
        <v>920</v>
      </c>
      <c r="D2637" s="4" t="s">
        <v>921</v>
      </c>
      <c r="E2637" s="4" t="s">
        <v>4</v>
      </c>
      <c r="F2637" s="2" t="str">
        <f t="shared" si="83"/>
        <v>Non-routine cognitive</v>
      </c>
    </row>
    <row r="2638" spans="1:6" ht="28.5" x14ac:dyDescent="0.4">
      <c r="A2638" s="3">
        <v>2421</v>
      </c>
      <c r="B2638" s="3" t="str">
        <f t="shared" si="82"/>
        <v>2</v>
      </c>
      <c r="C2638" s="4" t="s">
        <v>920</v>
      </c>
      <c r="D2638" s="8" t="s">
        <v>3108</v>
      </c>
      <c r="E2638" s="4" t="s">
        <v>3</v>
      </c>
      <c r="F2638" s="2" t="str">
        <f t="shared" si="83"/>
        <v>Non-routine cognitive</v>
      </c>
    </row>
    <row r="2639" spans="1:6" ht="28.5" x14ac:dyDescent="0.4">
      <c r="A2639" s="3">
        <v>2421</v>
      </c>
      <c r="B2639" s="3" t="str">
        <f t="shared" si="82"/>
        <v>2</v>
      </c>
      <c r="C2639" s="4" t="s">
        <v>920</v>
      </c>
      <c r="D2639" s="6" t="s">
        <v>922</v>
      </c>
      <c r="E2639" s="4" t="s">
        <v>4</v>
      </c>
      <c r="F2639" s="2" t="str">
        <f t="shared" si="83"/>
        <v>Non-routine cognitive</v>
      </c>
    </row>
    <row r="2640" spans="1:6" ht="57" x14ac:dyDescent="0.4">
      <c r="A2640" s="3">
        <v>2421</v>
      </c>
      <c r="B2640" s="3" t="str">
        <f t="shared" si="82"/>
        <v>2</v>
      </c>
      <c r="C2640" s="4" t="s">
        <v>920</v>
      </c>
      <c r="D2640" s="5" t="s">
        <v>3109</v>
      </c>
      <c r="E2640" s="4" t="s">
        <v>4</v>
      </c>
      <c r="F2640" s="2" t="str">
        <f t="shared" si="83"/>
        <v>Non-routine cognitive</v>
      </c>
    </row>
    <row r="2641" spans="1:6" ht="28.5" x14ac:dyDescent="0.4">
      <c r="A2641" s="3">
        <v>2421</v>
      </c>
      <c r="B2641" s="3" t="str">
        <f t="shared" si="82"/>
        <v>2</v>
      </c>
      <c r="C2641" s="4" t="s">
        <v>920</v>
      </c>
      <c r="D2641" s="8" t="s">
        <v>3110</v>
      </c>
      <c r="E2641" s="4" t="s">
        <v>4</v>
      </c>
      <c r="F2641" s="2" t="str">
        <f t="shared" si="83"/>
        <v>Non-routine cognitive</v>
      </c>
    </row>
    <row r="2642" spans="1:6" ht="57" x14ac:dyDescent="0.4">
      <c r="A2642" s="3">
        <v>2421</v>
      </c>
      <c r="B2642" s="3" t="str">
        <f t="shared" si="82"/>
        <v>2</v>
      </c>
      <c r="C2642" s="4" t="s">
        <v>920</v>
      </c>
      <c r="D2642" s="5" t="s">
        <v>3111</v>
      </c>
      <c r="E2642" s="4" t="s">
        <v>4</v>
      </c>
      <c r="F2642" s="2" t="str">
        <f t="shared" si="83"/>
        <v>Non-routine cognitive</v>
      </c>
    </row>
    <row r="2643" spans="1:6" ht="42.75" x14ac:dyDescent="0.4">
      <c r="A2643" s="3">
        <v>2421</v>
      </c>
      <c r="B2643" s="3" t="str">
        <f t="shared" si="82"/>
        <v>2</v>
      </c>
      <c r="C2643" s="4" t="s">
        <v>920</v>
      </c>
      <c r="D2643" s="8" t="s">
        <v>3112</v>
      </c>
      <c r="E2643" s="4" t="s">
        <v>50</v>
      </c>
      <c r="F2643" s="2" t="str">
        <f t="shared" si="83"/>
        <v>Routine cognitive</v>
      </c>
    </row>
    <row r="2644" spans="1:6" ht="42.75" x14ac:dyDescent="0.4">
      <c r="A2644" s="3">
        <v>2421</v>
      </c>
      <c r="B2644" s="3" t="str">
        <f t="shared" si="82"/>
        <v>2</v>
      </c>
      <c r="C2644" s="4" t="s">
        <v>920</v>
      </c>
      <c r="D2644" s="10" t="s">
        <v>3113</v>
      </c>
      <c r="E2644" s="4" t="s">
        <v>50</v>
      </c>
      <c r="F2644" s="2" t="str">
        <f t="shared" si="83"/>
        <v>Routine cognitive</v>
      </c>
    </row>
    <row r="2645" spans="1:6" ht="28.5" x14ac:dyDescent="0.4">
      <c r="A2645" s="3">
        <v>2424</v>
      </c>
      <c r="B2645" s="3" t="str">
        <f t="shared" si="82"/>
        <v>2</v>
      </c>
      <c r="C2645" s="4" t="s">
        <v>923</v>
      </c>
      <c r="D2645" s="8" t="s">
        <v>3114</v>
      </c>
      <c r="E2645" s="4" t="s">
        <v>4</v>
      </c>
      <c r="F2645" s="2" t="str">
        <f t="shared" si="83"/>
        <v>Non-routine cognitive</v>
      </c>
    </row>
    <row r="2646" spans="1:6" ht="28.5" x14ac:dyDescent="0.4">
      <c r="A2646" s="3">
        <v>2424</v>
      </c>
      <c r="B2646" s="3" t="str">
        <f t="shared" si="82"/>
        <v>2</v>
      </c>
      <c r="C2646" s="4" t="s">
        <v>923</v>
      </c>
      <c r="D2646" s="6" t="s">
        <v>924</v>
      </c>
      <c r="E2646" s="4" t="s">
        <v>4</v>
      </c>
      <c r="F2646" s="2" t="str">
        <f t="shared" si="83"/>
        <v>Non-routine cognitive</v>
      </c>
    </row>
    <row r="2647" spans="1:6" ht="57" x14ac:dyDescent="0.4">
      <c r="A2647" s="3">
        <v>2424</v>
      </c>
      <c r="B2647" s="3" t="str">
        <f t="shared" si="82"/>
        <v>2</v>
      </c>
      <c r="C2647" s="4" t="s">
        <v>923</v>
      </c>
      <c r="D2647" s="8" t="s">
        <v>3115</v>
      </c>
      <c r="E2647" s="4" t="s">
        <v>4</v>
      </c>
      <c r="F2647" s="2" t="str">
        <f t="shared" si="83"/>
        <v>Non-routine cognitive</v>
      </c>
    </row>
    <row r="2648" spans="1:6" ht="71.25" x14ac:dyDescent="0.4">
      <c r="A2648" s="3">
        <v>2424</v>
      </c>
      <c r="B2648" s="3" t="str">
        <f t="shared" si="82"/>
        <v>2</v>
      </c>
      <c r="C2648" s="4" t="s">
        <v>923</v>
      </c>
      <c r="D2648" s="5" t="s">
        <v>3116</v>
      </c>
      <c r="E2648" s="4" t="s">
        <v>3</v>
      </c>
      <c r="F2648" s="2" t="str">
        <f t="shared" si="83"/>
        <v>Non-routine cognitive</v>
      </c>
    </row>
    <row r="2649" spans="1:6" ht="28.5" x14ac:dyDescent="0.4">
      <c r="A2649" s="3">
        <v>2424</v>
      </c>
      <c r="B2649" s="3" t="str">
        <f t="shared" si="82"/>
        <v>2</v>
      </c>
      <c r="C2649" s="4" t="s">
        <v>923</v>
      </c>
      <c r="D2649" s="4" t="s">
        <v>925</v>
      </c>
      <c r="E2649" s="4" t="s">
        <v>3</v>
      </c>
      <c r="F2649" s="2" t="str">
        <f t="shared" si="83"/>
        <v>Non-routine cognitive</v>
      </c>
    </row>
    <row r="2650" spans="1:6" ht="28.5" x14ac:dyDescent="0.4">
      <c r="A2650" s="3">
        <v>2424</v>
      </c>
      <c r="B2650" s="3" t="str">
        <f t="shared" si="82"/>
        <v>2</v>
      </c>
      <c r="C2650" s="4" t="s">
        <v>923</v>
      </c>
      <c r="D2650" s="8" t="s">
        <v>3117</v>
      </c>
      <c r="E2650" s="4" t="s">
        <v>3</v>
      </c>
      <c r="F2650" s="2" t="str">
        <f t="shared" si="83"/>
        <v>Non-routine cognitive</v>
      </c>
    </row>
    <row r="2651" spans="1:6" ht="57" x14ac:dyDescent="0.4">
      <c r="A2651" s="3">
        <v>2424</v>
      </c>
      <c r="B2651" s="3" t="str">
        <f t="shared" si="82"/>
        <v>2</v>
      </c>
      <c r="C2651" s="4" t="s">
        <v>923</v>
      </c>
      <c r="D2651" s="5" t="s">
        <v>3118</v>
      </c>
      <c r="E2651" s="4" t="s">
        <v>4</v>
      </c>
      <c r="F2651" s="2" t="str">
        <f t="shared" si="83"/>
        <v>Non-routine cognitive</v>
      </c>
    </row>
    <row r="2652" spans="1:6" ht="28.5" x14ac:dyDescent="0.4">
      <c r="A2652" s="3">
        <v>2424</v>
      </c>
      <c r="B2652" s="3" t="str">
        <f t="shared" si="82"/>
        <v>2</v>
      </c>
      <c r="C2652" s="4" t="s">
        <v>923</v>
      </c>
      <c r="D2652" s="8" t="s">
        <v>3674</v>
      </c>
      <c r="E2652" s="4" t="s">
        <v>4</v>
      </c>
      <c r="F2652" s="2" t="str">
        <f t="shared" si="83"/>
        <v>Non-routine cognitive</v>
      </c>
    </row>
    <row r="2653" spans="1:6" ht="28.5" x14ac:dyDescent="0.4">
      <c r="A2653" s="3">
        <v>2519</v>
      </c>
      <c r="B2653" s="3" t="str">
        <f t="shared" si="82"/>
        <v>2</v>
      </c>
      <c r="C2653" s="4" t="s">
        <v>926</v>
      </c>
      <c r="D2653" s="8" t="s">
        <v>3119</v>
      </c>
      <c r="E2653" s="4" t="s">
        <v>4</v>
      </c>
      <c r="F2653" s="2" t="str">
        <f t="shared" si="83"/>
        <v>Non-routine cognitive</v>
      </c>
    </row>
    <row r="2654" spans="1:6" ht="28.5" x14ac:dyDescent="0.4">
      <c r="A2654" s="3">
        <v>2519</v>
      </c>
      <c r="B2654" s="3" t="str">
        <f t="shared" si="82"/>
        <v>2</v>
      </c>
      <c r="C2654" s="4" t="s">
        <v>926</v>
      </c>
      <c r="D2654" s="8" t="s">
        <v>3120</v>
      </c>
      <c r="E2654" s="4" t="s">
        <v>50</v>
      </c>
      <c r="F2654" s="2" t="str">
        <f t="shared" si="83"/>
        <v>Routine cognitive</v>
      </c>
    </row>
    <row r="2655" spans="1:6" ht="42.75" x14ac:dyDescent="0.4">
      <c r="A2655" s="3">
        <v>2519</v>
      </c>
      <c r="B2655" s="3" t="str">
        <f t="shared" si="82"/>
        <v>2</v>
      </c>
      <c r="C2655" s="4" t="s">
        <v>926</v>
      </c>
      <c r="D2655" s="8" t="s">
        <v>3121</v>
      </c>
      <c r="E2655" s="4" t="s">
        <v>50</v>
      </c>
      <c r="F2655" s="2" t="str">
        <f t="shared" si="83"/>
        <v>Routine cognitive</v>
      </c>
    </row>
    <row r="2656" spans="1:6" ht="42.75" x14ac:dyDescent="0.4">
      <c r="A2656" s="3">
        <v>2519</v>
      </c>
      <c r="B2656" s="3" t="str">
        <f t="shared" si="82"/>
        <v>2</v>
      </c>
      <c r="C2656" s="4" t="s">
        <v>926</v>
      </c>
      <c r="D2656" s="5" t="s">
        <v>3122</v>
      </c>
      <c r="E2656" s="4" t="s">
        <v>4</v>
      </c>
      <c r="F2656" s="2" t="str">
        <f t="shared" si="83"/>
        <v>Non-routine cognitive</v>
      </c>
    </row>
    <row r="2657" spans="1:6" ht="28.5" x14ac:dyDescent="0.4">
      <c r="A2657" s="3">
        <v>2519</v>
      </c>
      <c r="B2657" s="3" t="str">
        <f t="shared" si="82"/>
        <v>2</v>
      </c>
      <c r="C2657" s="4" t="s">
        <v>926</v>
      </c>
      <c r="D2657" s="10" t="s">
        <v>3123</v>
      </c>
      <c r="E2657" s="4" t="s">
        <v>4</v>
      </c>
      <c r="F2657" s="2" t="str">
        <f t="shared" si="83"/>
        <v>Non-routine cognitive</v>
      </c>
    </row>
    <row r="2658" spans="1:6" ht="42.75" x14ac:dyDescent="0.4">
      <c r="A2658" s="3">
        <v>2521</v>
      </c>
      <c r="B2658" s="3" t="str">
        <f t="shared" si="82"/>
        <v>2</v>
      </c>
      <c r="C2658" s="4" t="s">
        <v>927</v>
      </c>
      <c r="D2658" s="8" t="s">
        <v>3124</v>
      </c>
      <c r="E2658" s="4" t="s">
        <v>4</v>
      </c>
      <c r="F2658" s="2" t="str">
        <f t="shared" si="83"/>
        <v>Non-routine cognitive</v>
      </c>
    </row>
    <row r="2659" spans="1:6" ht="28.5" x14ac:dyDescent="0.4">
      <c r="A2659" s="3">
        <v>2521</v>
      </c>
      <c r="B2659" s="3" t="str">
        <f t="shared" si="82"/>
        <v>2</v>
      </c>
      <c r="C2659" s="4" t="s">
        <v>927</v>
      </c>
      <c r="D2659" s="8" t="s">
        <v>3125</v>
      </c>
      <c r="E2659" s="4" t="s">
        <v>4</v>
      </c>
      <c r="F2659" s="2" t="str">
        <f t="shared" si="83"/>
        <v>Non-routine cognitive</v>
      </c>
    </row>
    <row r="2660" spans="1:6" ht="42.75" x14ac:dyDescent="0.4">
      <c r="A2660" s="3">
        <v>2521</v>
      </c>
      <c r="B2660" s="3" t="str">
        <f t="shared" si="82"/>
        <v>2</v>
      </c>
      <c r="C2660" s="4" t="s">
        <v>927</v>
      </c>
      <c r="D2660" s="8" t="s">
        <v>3126</v>
      </c>
      <c r="E2660" s="4" t="s">
        <v>4</v>
      </c>
      <c r="F2660" s="2" t="str">
        <f t="shared" si="83"/>
        <v>Non-routine cognitive</v>
      </c>
    </row>
    <row r="2661" spans="1:6" ht="42.75" x14ac:dyDescent="0.4">
      <c r="A2661" s="3">
        <v>2521</v>
      </c>
      <c r="B2661" s="3" t="str">
        <f t="shared" si="82"/>
        <v>2</v>
      </c>
      <c r="C2661" s="4" t="s">
        <v>927</v>
      </c>
      <c r="D2661" s="5" t="s">
        <v>3127</v>
      </c>
      <c r="E2661" s="4" t="s">
        <v>4</v>
      </c>
      <c r="F2661" s="2" t="str">
        <f t="shared" si="83"/>
        <v>Non-routine cognitive</v>
      </c>
    </row>
    <row r="2662" spans="1:6" ht="42.75" x14ac:dyDescent="0.4">
      <c r="A2662" s="3">
        <v>2521</v>
      </c>
      <c r="B2662" s="3" t="str">
        <f t="shared" si="82"/>
        <v>2</v>
      </c>
      <c r="C2662" s="4" t="s">
        <v>927</v>
      </c>
      <c r="D2662" s="5" t="s">
        <v>3128</v>
      </c>
      <c r="E2662" s="4" t="s">
        <v>4</v>
      </c>
      <c r="F2662" s="2" t="str">
        <f t="shared" si="83"/>
        <v>Non-routine cognitive</v>
      </c>
    </row>
    <row r="2663" spans="1:6" ht="42.75" x14ac:dyDescent="0.4">
      <c r="A2663" s="3">
        <v>2521</v>
      </c>
      <c r="B2663" s="3" t="str">
        <f t="shared" si="82"/>
        <v>2</v>
      </c>
      <c r="C2663" s="4" t="s">
        <v>927</v>
      </c>
      <c r="D2663" s="5" t="s">
        <v>3129</v>
      </c>
      <c r="E2663" s="4" t="s">
        <v>50</v>
      </c>
      <c r="F2663" s="2" t="str">
        <f t="shared" si="83"/>
        <v>Routine cognitive</v>
      </c>
    </row>
    <row r="2664" spans="1:6" ht="57" x14ac:dyDescent="0.4">
      <c r="A2664" s="3">
        <v>2522</v>
      </c>
      <c r="B2664" s="3" t="str">
        <f t="shared" si="82"/>
        <v>2</v>
      </c>
      <c r="C2664" s="4" t="s">
        <v>928</v>
      </c>
      <c r="D2664" s="5" t="s">
        <v>3130</v>
      </c>
      <c r="E2664" s="4" t="s">
        <v>50</v>
      </c>
      <c r="F2664" s="2" t="str">
        <f t="shared" si="83"/>
        <v>Routine cognitive</v>
      </c>
    </row>
    <row r="2665" spans="1:6" ht="42.75" x14ac:dyDescent="0.4">
      <c r="A2665" s="3">
        <v>2522</v>
      </c>
      <c r="B2665" s="3" t="str">
        <f t="shared" si="82"/>
        <v>2</v>
      </c>
      <c r="C2665" s="4" t="s">
        <v>928</v>
      </c>
      <c r="D2665" s="5" t="s">
        <v>3131</v>
      </c>
      <c r="E2665" s="4" t="s">
        <v>4</v>
      </c>
      <c r="F2665" s="2" t="str">
        <f t="shared" si="83"/>
        <v>Non-routine cognitive</v>
      </c>
    </row>
    <row r="2666" spans="1:6" x14ac:dyDescent="0.4">
      <c r="A2666" s="3">
        <v>2522</v>
      </c>
      <c r="B2666" s="3" t="str">
        <f t="shared" si="82"/>
        <v>2</v>
      </c>
      <c r="C2666" s="4" t="s">
        <v>928</v>
      </c>
      <c r="D2666" s="6" t="s">
        <v>929</v>
      </c>
      <c r="E2666" s="4" t="s">
        <v>4</v>
      </c>
      <c r="F2666" s="2" t="str">
        <f t="shared" si="83"/>
        <v>Non-routine cognitive</v>
      </c>
    </row>
    <row r="2667" spans="1:6" ht="28.5" x14ac:dyDescent="0.4">
      <c r="A2667" s="3">
        <v>2522</v>
      </c>
      <c r="B2667" s="3" t="str">
        <f t="shared" si="82"/>
        <v>2</v>
      </c>
      <c r="C2667" s="4" t="s">
        <v>928</v>
      </c>
      <c r="D2667" s="8" t="s">
        <v>3132</v>
      </c>
      <c r="E2667" s="4" t="s">
        <v>50</v>
      </c>
      <c r="F2667" s="2" t="str">
        <f t="shared" si="83"/>
        <v>Routine cognitive</v>
      </c>
    </row>
    <row r="2668" spans="1:6" ht="57" x14ac:dyDescent="0.4">
      <c r="A2668" s="3">
        <v>2522</v>
      </c>
      <c r="B2668" s="3" t="str">
        <f t="shared" si="82"/>
        <v>2</v>
      </c>
      <c r="C2668" s="4" t="s">
        <v>928</v>
      </c>
      <c r="D2668" s="5" t="s">
        <v>3133</v>
      </c>
      <c r="E2668" s="4" t="s">
        <v>50</v>
      </c>
      <c r="F2668" s="2" t="str">
        <f t="shared" si="83"/>
        <v>Routine cognitive</v>
      </c>
    </row>
    <row r="2669" spans="1:6" ht="42.75" x14ac:dyDescent="0.4">
      <c r="A2669" s="3">
        <v>2529</v>
      </c>
      <c r="B2669" s="3" t="str">
        <f t="shared" si="82"/>
        <v>2</v>
      </c>
      <c r="C2669" s="4" t="s">
        <v>930</v>
      </c>
      <c r="D2669" s="5" t="s">
        <v>3134</v>
      </c>
      <c r="E2669" s="4" t="s">
        <v>4</v>
      </c>
      <c r="F2669" s="2" t="str">
        <f t="shared" si="83"/>
        <v>Non-routine cognitive</v>
      </c>
    </row>
    <row r="2670" spans="1:6" ht="42.75" x14ac:dyDescent="0.4">
      <c r="A2670" s="3">
        <v>2529</v>
      </c>
      <c r="B2670" s="3" t="str">
        <f t="shared" si="82"/>
        <v>2</v>
      </c>
      <c r="C2670" s="4" t="s">
        <v>930</v>
      </c>
      <c r="D2670" s="5" t="s">
        <v>3135</v>
      </c>
      <c r="E2670" s="4" t="s">
        <v>3</v>
      </c>
      <c r="F2670" s="2" t="str">
        <f t="shared" si="83"/>
        <v>Non-routine cognitive</v>
      </c>
    </row>
    <row r="2671" spans="1:6" ht="28.5" x14ac:dyDescent="0.4">
      <c r="A2671" s="3">
        <v>2529</v>
      </c>
      <c r="B2671" s="3" t="str">
        <f t="shared" si="82"/>
        <v>2</v>
      </c>
      <c r="C2671" s="4" t="s">
        <v>930</v>
      </c>
      <c r="D2671" s="8" t="s">
        <v>3136</v>
      </c>
      <c r="E2671" s="4" t="s">
        <v>3</v>
      </c>
      <c r="F2671" s="2" t="str">
        <f t="shared" si="83"/>
        <v>Non-routine cognitive</v>
      </c>
    </row>
    <row r="2672" spans="1:6" ht="28.5" x14ac:dyDescent="0.4">
      <c r="A2672" s="3">
        <v>2529</v>
      </c>
      <c r="B2672" s="3" t="str">
        <f t="shared" si="82"/>
        <v>2</v>
      </c>
      <c r="C2672" s="4" t="s">
        <v>930</v>
      </c>
      <c r="D2672" s="8" t="s">
        <v>3137</v>
      </c>
      <c r="E2672" s="4" t="s">
        <v>50</v>
      </c>
      <c r="F2672" s="2" t="str">
        <f t="shared" si="83"/>
        <v>Routine cognitive</v>
      </c>
    </row>
    <row r="2673" spans="1:6" ht="28.5" x14ac:dyDescent="0.4">
      <c r="A2673" s="3">
        <v>2529</v>
      </c>
      <c r="B2673" s="3" t="str">
        <f t="shared" si="82"/>
        <v>2</v>
      </c>
      <c r="C2673" s="4" t="s">
        <v>930</v>
      </c>
      <c r="D2673" s="5" t="s">
        <v>3138</v>
      </c>
      <c r="E2673" s="4" t="s">
        <v>4</v>
      </c>
      <c r="F2673" s="2" t="str">
        <f t="shared" si="83"/>
        <v>Non-routine cognitive</v>
      </c>
    </row>
    <row r="2674" spans="1:6" ht="42.75" x14ac:dyDescent="0.4">
      <c r="A2674" s="3">
        <v>2529</v>
      </c>
      <c r="B2674" s="3" t="str">
        <f t="shared" si="82"/>
        <v>2</v>
      </c>
      <c r="C2674" s="4" t="s">
        <v>930</v>
      </c>
      <c r="D2674" s="10" t="s">
        <v>3139</v>
      </c>
      <c r="E2674" s="4" t="s">
        <v>50</v>
      </c>
      <c r="F2674" s="2" t="str">
        <f t="shared" si="83"/>
        <v>Routine cognitive</v>
      </c>
    </row>
    <row r="2675" spans="1:6" ht="57" x14ac:dyDescent="0.4">
      <c r="A2675" s="3">
        <v>2529</v>
      </c>
      <c r="B2675" s="3" t="str">
        <f t="shared" si="82"/>
        <v>2</v>
      </c>
      <c r="C2675" s="4" t="s">
        <v>930</v>
      </c>
      <c r="D2675" s="5" t="s">
        <v>3140</v>
      </c>
      <c r="E2675" s="4" t="s">
        <v>4</v>
      </c>
      <c r="F2675" s="2" t="str">
        <f t="shared" si="83"/>
        <v>Non-routine cognitive</v>
      </c>
    </row>
    <row r="2676" spans="1:6" ht="42.75" x14ac:dyDescent="0.4">
      <c r="A2676" s="3">
        <v>2529</v>
      </c>
      <c r="B2676" s="3" t="str">
        <f t="shared" si="82"/>
        <v>2</v>
      </c>
      <c r="C2676" s="4" t="s">
        <v>930</v>
      </c>
      <c r="D2676" s="5" t="s">
        <v>3141</v>
      </c>
      <c r="E2676" s="4" t="s">
        <v>50</v>
      </c>
      <c r="F2676" s="2" t="str">
        <f t="shared" si="83"/>
        <v>Routine cognitive</v>
      </c>
    </row>
    <row r="2677" spans="1:6" ht="42.75" x14ac:dyDescent="0.4">
      <c r="A2677" s="3">
        <v>2611</v>
      </c>
      <c r="B2677" s="3" t="str">
        <f t="shared" si="82"/>
        <v>2</v>
      </c>
      <c r="C2677" s="4" t="s">
        <v>931</v>
      </c>
      <c r="D2677" s="5" t="s">
        <v>3142</v>
      </c>
      <c r="E2677" s="4" t="s">
        <v>4</v>
      </c>
      <c r="F2677" s="2" t="str">
        <f t="shared" si="83"/>
        <v>Non-routine cognitive</v>
      </c>
    </row>
    <row r="2678" spans="1:6" ht="28.5" x14ac:dyDescent="0.4">
      <c r="A2678" s="3">
        <v>2611</v>
      </c>
      <c r="B2678" s="3" t="str">
        <f t="shared" si="82"/>
        <v>2</v>
      </c>
      <c r="C2678" s="4" t="s">
        <v>931</v>
      </c>
      <c r="D2678" s="11" t="s">
        <v>3143</v>
      </c>
      <c r="E2678" s="4" t="s">
        <v>4</v>
      </c>
      <c r="F2678" s="2" t="str">
        <f t="shared" si="83"/>
        <v>Non-routine cognitive</v>
      </c>
    </row>
    <row r="2679" spans="1:6" ht="57" x14ac:dyDescent="0.4">
      <c r="A2679" s="3">
        <v>2611</v>
      </c>
      <c r="B2679" s="3" t="str">
        <f t="shared" si="82"/>
        <v>2</v>
      </c>
      <c r="C2679" s="4" t="s">
        <v>931</v>
      </c>
      <c r="D2679" s="8" t="s">
        <v>3144</v>
      </c>
      <c r="E2679" s="4" t="s">
        <v>3</v>
      </c>
      <c r="F2679" s="2" t="str">
        <f t="shared" si="83"/>
        <v>Non-routine cognitive</v>
      </c>
    </row>
    <row r="2680" spans="1:6" ht="42.75" x14ac:dyDescent="0.4">
      <c r="A2680" s="3">
        <v>2611</v>
      </c>
      <c r="B2680" s="3" t="str">
        <f t="shared" si="82"/>
        <v>2</v>
      </c>
      <c r="C2680" s="4" t="s">
        <v>931</v>
      </c>
      <c r="D2680" s="5" t="s">
        <v>3145</v>
      </c>
      <c r="E2680" s="4" t="s">
        <v>4</v>
      </c>
      <c r="F2680" s="2" t="str">
        <f t="shared" si="83"/>
        <v>Non-routine cognitive</v>
      </c>
    </row>
    <row r="2681" spans="1:6" ht="42.75" x14ac:dyDescent="0.4">
      <c r="A2681" s="3">
        <v>2611</v>
      </c>
      <c r="B2681" s="3" t="str">
        <f t="shared" si="82"/>
        <v>2</v>
      </c>
      <c r="C2681" s="4" t="s">
        <v>931</v>
      </c>
      <c r="D2681" s="8" t="s">
        <v>3146</v>
      </c>
      <c r="E2681" s="4" t="s">
        <v>3</v>
      </c>
      <c r="F2681" s="2" t="str">
        <f t="shared" si="83"/>
        <v>Non-routine cognitive</v>
      </c>
    </row>
    <row r="2682" spans="1:6" x14ac:dyDescent="0.4">
      <c r="A2682" s="3">
        <v>2611</v>
      </c>
      <c r="B2682" s="3" t="str">
        <f t="shared" si="82"/>
        <v>2</v>
      </c>
      <c r="C2682" s="4" t="s">
        <v>931</v>
      </c>
      <c r="D2682" s="6" t="s">
        <v>932</v>
      </c>
      <c r="E2682" s="4" t="s">
        <v>3</v>
      </c>
      <c r="F2682" s="2" t="str">
        <f t="shared" si="83"/>
        <v>Non-routine cognitive</v>
      </c>
    </row>
    <row r="2683" spans="1:6" x14ac:dyDescent="0.4">
      <c r="A2683" s="3">
        <v>2611</v>
      </c>
      <c r="B2683" s="3" t="str">
        <f t="shared" si="82"/>
        <v>2</v>
      </c>
      <c r="C2683" s="4" t="s">
        <v>931</v>
      </c>
      <c r="D2683" s="7" t="s">
        <v>933</v>
      </c>
      <c r="E2683" s="4" t="s">
        <v>3</v>
      </c>
      <c r="F2683" s="2" t="str">
        <f t="shared" si="83"/>
        <v>Non-routine cognitive</v>
      </c>
    </row>
    <row r="2684" spans="1:6" ht="28.5" x14ac:dyDescent="0.4">
      <c r="A2684" s="3">
        <v>2611</v>
      </c>
      <c r="B2684" s="3" t="str">
        <f t="shared" si="82"/>
        <v>2</v>
      </c>
      <c r="C2684" s="4" t="s">
        <v>931</v>
      </c>
      <c r="D2684" s="8" t="s">
        <v>3147</v>
      </c>
      <c r="E2684" s="4" t="s">
        <v>3</v>
      </c>
      <c r="F2684" s="2" t="str">
        <f t="shared" si="83"/>
        <v>Non-routine cognitive</v>
      </c>
    </row>
    <row r="2685" spans="1:6" ht="42.75" x14ac:dyDescent="0.4">
      <c r="A2685" s="3">
        <v>2611</v>
      </c>
      <c r="B2685" s="3" t="str">
        <f t="shared" si="82"/>
        <v>2</v>
      </c>
      <c r="C2685" s="4" t="s">
        <v>931</v>
      </c>
      <c r="D2685" s="5" t="s">
        <v>3148</v>
      </c>
      <c r="E2685" s="4" t="s">
        <v>4</v>
      </c>
      <c r="F2685" s="2" t="str">
        <f t="shared" si="83"/>
        <v>Non-routine cognitive</v>
      </c>
    </row>
    <row r="2686" spans="1:6" ht="42.75" x14ac:dyDescent="0.4">
      <c r="A2686" s="3">
        <v>2611</v>
      </c>
      <c r="B2686" s="3" t="str">
        <f t="shared" si="82"/>
        <v>2</v>
      </c>
      <c r="C2686" s="4" t="s">
        <v>931</v>
      </c>
      <c r="D2686" s="8" t="s">
        <v>3149</v>
      </c>
      <c r="E2686" s="4" t="s">
        <v>4</v>
      </c>
      <c r="F2686" s="2" t="str">
        <f t="shared" si="83"/>
        <v>Non-routine cognitive</v>
      </c>
    </row>
    <row r="2687" spans="1:6" x14ac:dyDescent="0.4">
      <c r="A2687" s="3">
        <v>2612</v>
      </c>
      <c r="B2687" s="3" t="str">
        <f t="shared" si="82"/>
        <v>2</v>
      </c>
      <c r="C2687" s="4" t="s">
        <v>934</v>
      </c>
      <c r="D2687" s="6" t="s">
        <v>935</v>
      </c>
      <c r="E2687" s="4" t="s">
        <v>3</v>
      </c>
      <c r="F2687" s="2" t="str">
        <f t="shared" si="83"/>
        <v>Non-routine cognitive</v>
      </c>
    </row>
    <row r="2688" spans="1:6" ht="28.5" x14ac:dyDescent="0.4">
      <c r="A2688" s="3">
        <v>2612</v>
      </c>
      <c r="B2688" s="3" t="str">
        <f t="shared" si="82"/>
        <v>2</v>
      </c>
      <c r="C2688" s="4" t="s">
        <v>934</v>
      </c>
      <c r="D2688" s="8" t="s">
        <v>3150</v>
      </c>
      <c r="E2688" s="4" t="s">
        <v>4</v>
      </c>
      <c r="F2688" s="2" t="str">
        <f t="shared" si="83"/>
        <v>Non-routine cognitive</v>
      </c>
    </row>
    <row r="2689" spans="1:6" ht="42.75" x14ac:dyDescent="0.4">
      <c r="A2689" s="3">
        <v>2612</v>
      </c>
      <c r="B2689" s="3" t="str">
        <f t="shared" si="82"/>
        <v>2</v>
      </c>
      <c r="C2689" s="4" t="s">
        <v>934</v>
      </c>
      <c r="D2689" s="5" t="s">
        <v>3151</v>
      </c>
      <c r="E2689" s="4" t="s">
        <v>4</v>
      </c>
      <c r="F2689" s="2" t="str">
        <f t="shared" si="83"/>
        <v>Non-routine cognitive</v>
      </c>
    </row>
    <row r="2690" spans="1:6" ht="28.5" x14ac:dyDescent="0.4">
      <c r="A2690" s="3">
        <v>2612</v>
      </c>
      <c r="B2690" s="3" t="str">
        <f t="shared" si="82"/>
        <v>2</v>
      </c>
      <c r="C2690" s="4" t="s">
        <v>934</v>
      </c>
      <c r="D2690" s="10" t="s">
        <v>3152</v>
      </c>
      <c r="E2690" s="4" t="s">
        <v>3</v>
      </c>
      <c r="F2690" s="2" t="str">
        <f t="shared" si="83"/>
        <v>Non-routine cognitive</v>
      </c>
    </row>
    <row r="2691" spans="1:6" ht="42.75" x14ac:dyDescent="0.4">
      <c r="A2691" s="3">
        <v>2612</v>
      </c>
      <c r="B2691" s="3" t="str">
        <f t="shared" ref="B2691:B2754" si="84">LEFT(A2691,1)</f>
        <v>2</v>
      </c>
      <c r="C2691" s="4" t="s">
        <v>934</v>
      </c>
      <c r="D2691" s="5" t="s">
        <v>3153</v>
      </c>
      <c r="E2691" s="4" t="s">
        <v>4</v>
      </c>
      <c r="F2691" s="2" t="str">
        <f t="shared" ref="F2691:F2754" si="85">IF(E2691="Non-routine interpersonal","Non-routine cognitive",IF(E2691="Non-routine analytical","Non-routine cognitive",IF(E2691="Non-routine manual physical","Non-routine manual",E2691)))</f>
        <v>Non-routine cognitive</v>
      </c>
    </row>
    <row r="2692" spans="1:6" ht="57" x14ac:dyDescent="0.4">
      <c r="A2692" s="3">
        <v>2612</v>
      </c>
      <c r="B2692" s="3" t="str">
        <f t="shared" si="84"/>
        <v>2</v>
      </c>
      <c r="C2692" s="4" t="s">
        <v>934</v>
      </c>
      <c r="D2692" s="5" t="s">
        <v>3154</v>
      </c>
      <c r="E2692" s="4" t="s">
        <v>4</v>
      </c>
      <c r="F2692" s="2" t="str">
        <f t="shared" si="85"/>
        <v>Non-routine cognitive</v>
      </c>
    </row>
    <row r="2693" spans="1:6" ht="28.5" x14ac:dyDescent="0.4">
      <c r="A2693" s="3">
        <v>2612</v>
      </c>
      <c r="B2693" s="3" t="str">
        <f t="shared" si="84"/>
        <v>2</v>
      </c>
      <c r="C2693" s="4" t="s">
        <v>934</v>
      </c>
      <c r="D2693" s="10" t="s">
        <v>3155</v>
      </c>
      <c r="E2693" s="4" t="s">
        <v>4</v>
      </c>
      <c r="F2693" s="2" t="str">
        <f t="shared" si="85"/>
        <v>Non-routine cognitive</v>
      </c>
    </row>
    <row r="2694" spans="1:6" ht="42.75" x14ac:dyDescent="0.4">
      <c r="A2694" s="3">
        <v>2619</v>
      </c>
      <c r="B2694" s="3" t="str">
        <f t="shared" si="84"/>
        <v>2</v>
      </c>
      <c r="C2694" s="4" t="s">
        <v>936</v>
      </c>
      <c r="D2694" s="10" t="s">
        <v>3156</v>
      </c>
      <c r="E2694" s="4" t="s">
        <v>4</v>
      </c>
      <c r="F2694" s="2" t="str">
        <f t="shared" si="85"/>
        <v>Non-routine cognitive</v>
      </c>
    </row>
    <row r="2695" spans="1:6" ht="28.5" x14ac:dyDescent="0.4">
      <c r="A2695" s="3">
        <v>2619</v>
      </c>
      <c r="B2695" s="3" t="str">
        <f t="shared" si="84"/>
        <v>2</v>
      </c>
      <c r="C2695" s="4" t="s">
        <v>936</v>
      </c>
      <c r="D2695" s="7" t="s">
        <v>937</v>
      </c>
      <c r="E2695" s="4" t="s">
        <v>4</v>
      </c>
      <c r="F2695" s="2" t="str">
        <f t="shared" si="85"/>
        <v>Non-routine cognitive</v>
      </c>
    </row>
    <row r="2696" spans="1:6" ht="28.5" x14ac:dyDescent="0.4">
      <c r="A2696" s="3">
        <v>2619</v>
      </c>
      <c r="B2696" s="3" t="str">
        <f t="shared" si="84"/>
        <v>2</v>
      </c>
      <c r="C2696" s="4" t="s">
        <v>936</v>
      </c>
      <c r="D2696" s="14" t="s">
        <v>938</v>
      </c>
      <c r="E2696" s="4" t="s">
        <v>50</v>
      </c>
      <c r="F2696" s="2" t="str">
        <f t="shared" si="85"/>
        <v>Routine cognitive</v>
      </c>
    </row>
    <row r="2697" spans="1:6" ht="42.75" x14ac:dyDescent="0.4">
      <c r="A2697" s="3">
        <v>2619</v>
      </c>
      <c r="B2697" s="3" t="str">
        <f t="shared" si="84"/>
        <v>2</v>
      </c>
      <c r="C2697" s="4" t="s">
        <v>936</v>
      </c>
      <c r="D2697" s="5" t="s">
        <v>3157</v>
      </c>
      <c r="E2697" s="4" t="s">
        <v>4</v>
      </c>
      <c r="F2697" s="2" t="str">
        <f t="shared" si="85"/>
        <v>Non-routine cognitive</v>
      </c>
    </row>
    <row r="2698" spans="1:6" ht="28.5" x14ac:dyDescent="0.4">
      <c r="A2698" s="3">
        <v>2621</v>
      </c>
      <c r="B2698" s="3" t="str">
        <f t="shared" si="84"/>
        <v>2</v>
      </c>
      <c r="C2698" s="4" t="s">
        <v>939</v>
      </c>
      <c r="D2698" s="5" t="s">
        <v>3158</v>
      </c>
      <c r="E2698" s="4" t="s">
        <v>50</v>
      </c>
      <c r="F2698" s="2" t="str">
        <f t="shared" si="85"/>
        <v>Routine cognitive</v>
      </c>
    </row>
    <row r="2699" spans="1:6" ht="57" x14ac:dyDescent="0.4">
      <c r="A2699" s="3">
        <v>2621</v>
      </c>
      <c r="B2699" s="3" t="str">
        <f t="shared" si="84"/>
        <v>2</v>
      </c>
      <c r="C2699" s="4" t="s">
        <v>939</v>
      </c>
      <c r="D2699" s="5" t="s">
        <v>3159</v>
      </c>
      <c r="E2699" s="4" t="s">
        <v>50</v>
      </c>
      <c r="F2699" s="2" t="str">
        <f t="shared" si="85"/>
        <v>Routine cognitive</v>
      </c>
    </row>
    <row r="2700" spans="1:6" ht="28.5" x14ac:dyDescent="0.4">
      <c r="A2700" s="3">
        <v>2621</v>
      </c>
      <c r="B2700" s="3" t="str">
        <f t="shared" si="84"/>
        <v>2</v>
      </c>
      <c r="C2700" s="4" t="s">
        <v>939</v>
      </c>
      <c r="D2700" s="8" t="s">
        <v>3160</v>
      </c>
      <c r="E2700" s="4" t="s">
        <v>4</v>
      </c>
      <c r="F2700" s="2" t="str">
        <f t="shared" si="85"/>
        <v>Non-routine cognitive</v>
      </c>
    </row>
    <row r="2701" spans="1:6" ht="28.5" x14ac:dyDescent="0.4">
      <c r="A2701" s="3">
        <v>2621</v>
      </c>
      <c r="B2701" s="3" t="str">
        <f t="shared" si="84"/>
        <v>2</v>
      </c>
      <c r="C2701" s="4" t="s">
        <v>939</v>
      </c>
      <c r="D2701" s="6" t="s">
        <v>940</v>
      </c>
      <c r="E2701" s="4" t="s">
        <v>4</v>
      </c>
      <c r="F2701" s="2" t="str">
        <f t="shared" si="85"/>
        <v>Non-routine cognitive</v>
      </c>
    </row>
    <row r="2702" spans="1:6" ht="42.75" x14ac:dyDescent="0.4">
      <c r="A2702" s="3">
        <v>2621</v>
      </c>
      <c r="B2702" s="3" t="str">
        <f t="shared" si="84"/>
        <v>2</v>
      </c>
      <c r="C2702" s="4" t="s">
        <v>939</v>
      </c>
      <c r="D2702" s="5" t="s">
        <v>3161</v>
      </c>
      <c r="E2702" s="4" t="s">
        <v>50</v>
      </c>
      <c r="F2702" s="2" t="str">
        <f t="shared" si="85"/>
        <v>Routine cognitive</v>
      </c>
    </row>
    <row r="2703" spans="1:6" ht="57" x14ac:dyDescent="0.4">
      <c r="A2703" s="3">
        <v>2621</v>
      </c>
      <c r="B2703" s="3" t="str">
        <f t="shared" si="84"/>
        <v>2</v>
      </c>
      <c r="C2703" s="4" t="s">
        <v>939</v>
      </c>
      <c r="D2703" s="5" t="s">
        <v>3162</v>
      </c>
      <c r="E2703" s="4" t="s">
        <v>4</v>
      </c>
      <c r="F2703" s="2" t="str">
        <f t="shared" si="85"/>
        <v>Non-routine cognitive</v>
      </c>
    </row>
    <row r="2704" spans="1:6" x14ac:dyDescent="0.4">
      <c r="A2704" s="3">
        <v>2621</v>
      </c>
      <c r="B2704" s="3" t="str">
        <f t="shared" si="84"/>
        <v>2</v>
      </c>
      <c r="C2704" s="4" t="s">
        <v>939</v>
      </c>
      <c r="D2704" s="6" t="s">
        <v>941</v>
      </c>
      <c r="E2704" s="4" t="s">
        <v>4</v>
      </c>
      <c r="F2704" s="2" t="str">
        <f t="shared" si="85"/>
        <v>Non-routine cognitive</v>
      </c>
    </row>
    <row r="2705" spans="1:6" ht="42.75" x14ac:dyDescent="0.4">
      <c r="A2705" s="3">
        <v>2621</v>
      </c>
      <c r="B2705" s="3" t="str">
        <f t="shared" si="84"/>
        <v>2</v>
      </c>
      <c r="C2705" s="4" t="s">
        <v>939</v>
      </c>
      <c r="D2705" s="5" t="s">
        <v>3163</v>
      </c>
      <c r="E2705" s="4" t="s">
        <v>4</v>
      </c>
      <c r="F2705" s="2" t="str">
        <f t="shared" si="85"/>
        <v>Non-routine cognitive</v>
      </c>
    </row>
    <row r="2706" spans="1:6" ht="42.75" x14ac:dyDescent="0.4">
      <c r="A2706" s="3">
        <v>2621</v>
      </c>
      <c r="B2706" s="3" t="str">
        <f t="shared" si="84"/>
        <v>2</v>
      </c>
      <c r="C2706" s="4" t="s">
        <v>939</v>
      </c>
      <c r="D2706" s="8" t="s">
        <v>3164</v>
      </c>
      <c r="E2706" s="4" t="s">
        <v>3</v>
      </c>
      <c r="F2706" s="2" t="str">
        <f t="shared" si="85"/>
        <v>Non-routine cognitive</v>
      </c>
    </row>
    <row r="2707" spans="1:6" ht="42.75" x14ac:dyDescent="0.4">
      <c r="A2707" s="3">
        <v>2621</v>
      </c>
      <c r="B2707" s="3" t="str">
        <f t="shared" si="84"/>
        <v>2</v>
      </c>
      <c r="C2707" s="4" t="s">
        <v>939</v>
      </c>
      <c r="D2707" s="8" t="s">
        <v>3165</v>
      </c>
      <c r="E2707" s="4" t="s">
        <v>4</v>
      </c>
      <c r="F2707" s="2" t="str">
        <f t="shared" si="85"/>
        <v>Non-routine cognitive</v>
      </c>
    </row>
    <row r="2708" spans="1:6" ht="42.75" x14ac:dyDescent="0.4">
      <c r="A2708" s="3">
        <v>2622</v>
      </c>
      <c r="B2708" s="3" t="str">
        <f t="shared" si="84"/>
        <v>2</v>
      </c>
      <c r="C2708" s="4" t="s">
        <v>942</v>
      </c>
      <c r="D2708" s="5" t="s">
        <v>3166</v>
      </c>
      <c r="E2708" s="4" t="s">
        <v>4</v>
      </c>
      <c r="F2708" s="2" t="str">
        <f t="shared" si="85"/>
        <v>Non-routine cognitive</v>
      </c>
    </row>
    <row r="2709" spans="1:6" ht="42.75" x14ac:dyDescent="0.4">
      <c r="A2709" s="3">
        <v>2622</v>
      </c>
      <c r="B2709" s="3" t="str">
        <f t="shared" si="84"/>
        <v>2</v>
      </c>
      <c r="C2709" s="4" t="s">
        <v>942</v>
      </c>
      <c r="D2709" s="8" t="s">
        <v>3167</v>
      </c>
      <c r="E2709" s="4" t="s">
        <v>4</v>
      </c>
      <c r="F2709" s="2" t="str">
        <f t="shared" si="85"/>
        <v>Non-routine cognitive</v>
      </c>
    </row>
    <row r="2710" spans="1:6" ht="28.5" x14ac:dyDescent="0.4">
      <c r="A2710" s="3">
        <v>2622</v>
      </c>
      <c r="B2710" s="3" t="str">
        <f t="shared" si="84"/>
        <v>2</v>
      </c>
      <c r="C2710" s="4" t="s">
        <v>942</v>
      </c>
      <c r="D2710" s="4" t="s">
        <v>943</v>
      </c>
      <c r="E2710" s="4" t="s">
        <v>50</v>
      </c>
      <c r="F2710" s="2" t="str">
        <f t="shared" si="85"/>
        <v>Routine cognitive</v>
      </c>
    </row>
    <row r="2711" spans="1:6" ht="28.5" x14ac:dyDescent="0.4">
      <c r="A2711" s="3">
        <v>2622</v>
      </c>
      <c r="B2711" s="3" t="str">
        <f t="shared" si="84"/>
        <v>2</v>
      </c>
      <c r="C2711" s="4" t="s">
        <v>942</v>
      </c>
      <c r="D2711" s="8" t="s">
        <v>3168</v>
      </c>
      <c r="E2711" s="4" t="s">
        <v>50</v>
      </c>
      <c r="F2711" s="2" t="str">
        <f t="shared" si="85"/>
        <v>Routine cognitive</v>
      </c>
    </row>
    <row r="2712" spans="1:6" ht="57" x14ac:dyDescent="0.4">
      <c r="A2712" s="3">
        <v>2622</v>
      </c>
      <c r="B2712" s="3" t="str">
        <f t="shared" si="84"/>
        <v>2</v>
      </c>
      <c r="C2712" s="4" t="s">
        <v>942</v>
      </c>
      <c r="D2712" s="5" t="s">
        <v>3169</v>
      </c>
      <c r="E2712" s="4" t="s">
        <v>50</v>
      </c>
      <c r="F2712" s="2" t="str">
        <f t="shared" si="85"/>
        <v>Routine cognitive</v>
      </c>
    </row>
    <row r="2713" spans="1:6" ht="42.75" x14ac:dyDescent="0.4">
      <c r="A2713" s="3">
        <v>2622</v>
      </c>
      <c r="B2713" s="3" t="str">
        <f t="shared" si="84"/>
        <v>2</v>
      </c>
      <c r="C2713" s="4" t="s">
        <v>942</v>
      </c>
      <c r="D2713" s="5" t="s">
        <v>3170</v>
      </c>
      <c r="E2713" s="4" t="s">
        <v>4</v>
      </c>
      <c r="F2713" s="2" t="str">
        <f t="shared" si="85"/>
        <v>Non-routine cognitive</v>
      </c>
    </row>
    <row r="2714" spans="1:6" ht="42.75" x14ac:dyDescent="0.4">
      <c r="A2714" s="3">
        <v>2622</v>
      </c>
      <c r="B2714" s="3" t="str">
        <f t="shared" si="84"/>
        <v>2</v>
      </c>
      <c r="C2714" s="4" t="s">
        <v>942</v>
      </c>
      <c r="D2714" s="5" t="s">
        <v>3171</v>
      </c>
      <c r="E2714" s="4" t="s">
        <v>4</v>
      </c>
      <c r="F2714" s="2" t="str">
        <f t="shared" si="85"/>
        <v>Non-routine cognitive</v>
      </c>
    </row>
    <row r="2715" spans="1:6" ht="28.5" x14ac:dyDescent="0.4">
      <c r="A2715" s="3">
        <v>2622</v>
      </c>
      <c r="B2715" s="3" t="str">
        <f t="shared" si="84"/>
        <v>2</v>
      </c>
      <c r="C2715" s="4" t="s">
        <v>942</v>
      </c>
      <c r="D2715" s="6" t="s">
        <v>944</v>
      </c>
      <c r="E2715" s="4" t="s">
        <v>4</v>
      </c>
      <c r="F2715" s="2" t="str">
        <f t="shared" si="85"/>
        <v>Non-routine cognitive</v>
      </c>
    </row>
    <row r="2716" spans="1:6" ht="42.75" x14ac:dyDescent="0.4">
      <c r="A2716" s="3">
        <v>2622</v>
      </c>
      <c r="B2716" s="3" t="str">
        <f t="shared" si="84"/>
        <v>2</v>
      </c>
      <c r="C2716" s="4" t="s">
        <v>942</v>
      </c>
      <c r="D2716" s="5" t="s">
        <v>3675</v>
      </c>
      <c r="E2716" s="4" t="s">
        <v>4</v>
      </c>
      <c r="F2716" s="2" t="str">
        <f t="shared" si="85"/>
        <v>Non-routine cognitive</v>
      </c>
    </row>
    <row r="2717" spans="1:6" ht="42.75" x14ac:dyDescent="0.4">
      <c r="A2717" s="3">
        <v>2631</v>
      </c>
      <c r="B2717" s="3" t="str">
        <f t="shared" si="84"/>
        <v>2</v>
      </c>
      <c r="C2717" s="4" t="s">
        <v>945</v>
      </c>
      <c r="D2717" s="8" t="s">
        <v>3172</v>
      </c>
      <c r="E2717" s="4" t="s">
        <v>4</v>
      </c>
      <c r="F2717" s="2" t="str">
        <f t="shared" si="85"/>
        <v>Non-routine cognitive</v>
      </c>
    </row>
    <row r="2718" spans="1:6" ht="42.75" x14ac:dyDescent="0.4">
      <c r="A2718" s="3">
        <v>2631</v>
      </c>
      <c r="B2718" s="3" t="str">
        <f t="shared" si="84"/>
        <v>2</v>
      </c>
      <c r="C2718" s="4" t="s">
        <v>945</v>
      </c>
      <c r="D2718" s="5" t="s">
        <v>3173</v>
      </c>
      <c r="E2718" s="4" t="s">
        <v>4</v>
      </c>
      <c r="F2718" s="2" t="str">
        <f t="shared" si="85"/>
        <v>Non-routine cognitive</v>
      </c>
    </row>
    <row r="2719" spans="1:6" ht="57" x14ac:dyDescent="0.4">
      <c r="A2719" s="3">
        <v>2631</v>
      </c>
      <c r="B2719" s="3" t="str">
        <f t="shared" si="84"/>
        <v>2</v>
      </c>
      <c r="C2719" s="4" t="s">
        <v>945</v>
      </c>
      <c r="D2719" s="5" t="s">
        <v>3174</v>
      </c>
      <c r="E2719" s="4" t="s">
        <v>4</v>
      </c>
      <c r="F2719" s="2" t="str">
        <f t="shared" si="85"/>
        <v>Non-routine cognitive</v>
      </c>
    </row>
    <row r="2720" spans="1:6" ht="57" x14ac:dyDescent="0.4">
      <c r="A2720" s="3">
        <v>2631</v>
      </c>
      <c r="B2720" s="3" t="str">
        <f t="shared" si="84"/>
        <v>2</v>
      </c>
      <c r="C2720" s="4" t="s">
        <v>945</v>
      </c>
      <c r="D2720" s="5" t="s">
        <v>3175</v>
      </c>
      <c r="E2720" s="4" t="s">
        <v>4</v>
      </c>
      <c r="F2720" s="2" t="str">
        <f t="shared" si="85"/>
        <v>Non-routine cognitive</v>
      </c>
    </row>
    <row r="2721" spans="1:6" ht="28.5" x14ac:dyDescent="0.4">
      <c r="A2721" s="3">
        <v>2631</v>
      </c>
      <c r="B2721" s="3" t="str">
        <f t="shared" si="84"/>
        <v>2</v>
      </c>
      <c r="C2721" s="4" t="s">
        <v>945</v>
      </c>
      <c r="D2721" s="5" t="s">
        <v>3176</v>
      </c>
      <c r="E2721" s="4" t="s">
        <v>4</v>
      </c>
      <c r="F2721" s="2" t="str">
        <f t="shared" si="85"/>
        <v>Non-routine cognitive</v>
      </c>
    </row>
    <row r="2722" spans="1:6" ht="42.75" x14ac:dyDescent="0.4">
      <c r="A2722" s="3">
        <v>2631</v>
      </c>
      <c r="B2722" s="3" t="str">
        <f t="shared" si="84"/>
        <v>2</v>
      </c>
      <c r="C2722" s="4" t="s">
        <v>945</v>
      </c>
      <c r="D2722" s="5" t="s">
        <v>3177</v>
      </c>
      <c r="E2722" s="4" t="s">
        <v>4</v>
      </c>
      <c r="F2722" s="2" t="str">
        <f t="shared" si="85"/>
        <v>Non-routine cognitive</v>
      </c>
    </row>
    <row r="2723" spans="1:6" ht="42.75" x14ac:dyDescent="0.4">
      <c r="A2723" s="3">
        <v>2631</v>
      </c>
      <c r="B2723" s="3" t="str">
        <f t="shared" si="84"/>
        <v>2</v>
      </c>
      <c r="C2723" s="4" t="s">
        <v>945</v>
      </c>
      <c r="D2723" s="8" t="s">
        <v>3178</v>
      </c>
      <c r="E2723" s="4" t="s">
        <v>4</v>
      </c>
      <c r="F2723" s="2" t="str">
        <f t="shared" si="85"/>
        <v>Non-routine cognitive</v>
      </c>
    </row>
    <row r="2724" spans="1:6" ht="28.5" x14ac:dyDescent="0.4">
      <c r="A2724" s="3">
        <v>2631</v>
      </c>
      <c r="B2724" s="3" t="str">
        <f t="shared" si="84"/>
        <v>2</v>
      </c>
      <c r="C2724" s="4" t="s">
        <v>945</v>
      </c>
      <c r="D2724" s="6" t="s">
        <v>3676</v>
      </c>
      <c r="E2724" s="4" t="s">
        <v>4</v>
      </c>
      <c r="F2724" s="2" t="str">
        <f t="shared" si="85"/>
        <v>Non-routine cognitive</v>
      </c>
    </row>
    <row r="2725" spans="1:6" ht="71.25" x14ac:dyDescent="0.4">
      <c r="A2725" s="3">
        <v>2631</v>
      </c>
      <c r="B2725" s="3" t="str">
        <f t="shared" si="84"/>
        <v>2</v>
      </c>
      <c r="C2725" s="4" t="s">
        <v>945</v>
      </c>
      <c r="D2725" s="5" t="s">
        <v>3179</v>
      </c>
      <c r="E2725" s="4" t="s">
        <v>4</v>
      </c>
      <c r="F2725" s="2" t="str">
        <f t="shared" si="85"/>
        <v>Non-routine cognitive</v>
      </c>
    </row>
    <row r="2726" spans="1:6" x14ac:dyDescent="0.4">
      <c r="A2726" s="3">
        <v>2631</v>
      </c>
      <c r="B2726" s="3" t="str">
        <f t="shared" si="84"/>
        <v>2</v>
      </c>
      <c r="C2726" s="4" t="s">
        <v>945</v>
      </c>
      <c r="D2726" s="6" t="s">
        <v>946</v>
      </c>
      <c r="E2726" s="4" t="s">
        <v>4</v>
      </c>
      <c r="F2726" s="2" t="str">
        <f t="shared" si="85"/>
        <v>Non-routine cognitive</v>
      </c>
    </row>
    <row r="2727" spans="1:6" ht="28.5" x14ac:dyDescent="0.4">
      <c r="A2727" s="3">
        <v>2631</v>
      </c>
      <c r="B2727" s="3" t="str">
        <f t="shared" si="84"/>
        <v>2</v>
      </c>
      <c r="C2727" s="4" t="s">
        <v>945</v>
      </c>
      <c r="D2727" s="11" t="s">
        <v>3180</v>
      </c>
      <c r="E2727" s="4" t="s">
        <v>4</v>
      </c>
      <c r="F2727" s="2" t="str">
        <f t="shared" si="85"/>
        <v>Non-routine cognitive</v>
      </c>
    </row>
    <row r="2728" spans="1:6" ht="57" x14ac:dyDescent="0.4">
      <c r="A2728" s="3">
        <v>2631</v>
      </c>
      <c r="B2728" s="3" t="str">
        <f t="shared" si="84"/>
        <v>2</v>
      </c>
      <c r="C2728" s="4" t="s">
        <v>945</v>
      </c>
      <c r="D2728" s="5" t="s">
        <v>3181</v>
      </c>
      <c r="E2728" s="4" t="s">
        <v>4</v>
      </c>
      <c r="F2728" s="2" t="str">
        <f t="shared" si="85"/>
        <v>Non-routine cognitive</v>
      </c>
    </row>
    <row r="2729" spans="1:6" ht="42.75" x14ac:dyDescent="0.4">
      <c r="A2729" s="3">
        <v>2632</v>
      </c>
      <c r="B2729" s="3" t="str">
        <f t="shared" si="84"/>
        <v>2</v>
      </c>
      <c r="C2729" s="4" t="s">
        <v>947</v>
      </c>
      <c r="D2729" s="5" t="s">
        <v>3182</v>
      </c>
      <c r="E2729" s="4" t="s">
        <v>4</v>
      </c>
      <c r="F2729" s="2" t="str">
        <f t="shared" si="85"/>
        <v>Non-routine cognitive</v>
      </c>
    </row>
    <row r="2730" spans="1:6" ht="42.75" x14ac:dyDescent="0.4">
      <c r="A2730" s="3">
        <v>2632</v>
      </c>
      <c r="B2730" s="3" t="str">
        <f t="shared" si="84"/>
        <v>2</v>
      </c>
      <c r="C2730" s="4" t="s">
        <v>947</v>
      </c>
      <c r="D2730" s="5" t="s">
        <v>3183</v>
      </c>
      <c r="E2730" s="4" t="s">
        <v>4</v>
      </c>
      <c r="F2730" s="2" t="str">
        <f t="shared" si="85"/>
        <v>Non-routine cognitive</v>
      </c>
    </row>
    <row r="2731" spans="1:6" ht="42.75" x14ac:dyDescent="0.4">
      <c r="A2731" s="3">
        <v>2632</v>
      </c>
      <c r="B2731" s="3" t="str">
        <f t="shared" si="84"/>
        <v>2</v>
      </c>
      <c r="C2731" s="4" t="s">
        <v>947</v>
      </c>
      <c r="D2731" s="5" t="s">
        <v>3184</v>
      </c>
      <c r="E2731" s="4" t="s">
        <v>4</v>
      </c>
      <c r="F2731" s="2" t="str">
        <f t="shared" si="85"/>
        <v>Non-routine cognitive</v>
      </c>
    </row>
    <row r="2732" spans="1:6" ht="28.5" x14ac:dyDescent="0.4">
      <c r="A2732" s="3">
        <v>2632</v>
      </c>
      <c r="B2732" s="3" t="str">
        <f t="shared" si="84"/>
        <v>2</v>
      </c>
      <c r="C2732" s="4" t="s">
        <v>947</v>
      </c>
      <c r="D2732" s="6" t="s">
        <v>3677</v>
      </c>
      <c r="E2732" s="4" t="s">
        <v>4</v>
      </c>
      <c r="F2732" s="2" t="str">
        <f t="shared" si="85"/>
        <v>Non-routine cognitive</v>
      </c>
    </row>
    <row r="2733" spans="1:6" ht="28.5" x14ac:dyDescent="0.4">
      <c r="A2733" s="3">
        <v>2632</v>
      </c>
      <c r="B2733" s="3" t="str">
        <f t="shared" si="84"/>
        <v>2</v>
      </c>
      <c r="C2733" s="4" t="s">
        <v>947</v>
      </c>
      <c r="D2733" s="8" t="s">
        <v>3185</v>
      </c>
      <c r="E2733" s="4" t="s">
        <v>4</v>
      </c>
      <c r="F2733" s="2" t="str">
        <f t="shared" si="85"/>
        <v>Non-routine cognitive</v>
      </c>
    </row>
    <row r="2734" spans="1:6" ht="28.5" x14ac:dyDescent="0.4">
      <c r="A2734" s="3">
        <v>2632</v>
      </c>
      <c r="B2734" s="3" t="str">
        <f t="shared" si="84"/>
        <v>2</v>
      </c>
      <c r="C2734" s="4" t="s">
        <v>947</v>
      </c>
      <c r="D2734" s="8" t="s">
        <v>3186</v>
      </c>
      <c r="E2734" s="4" t="s">
        <v>4</v>
      </c>
      <c r="F2734" s="2" t="str">
        <f t="shared" si="85"/>
        <v>Non-routine cognitive</v>
      </c>
    </row>
    <row r="2735" spans="1:6" ht="28.5" x14ac:dyDescent="0.4">
      <c r="A2735" s="3">
        <v>2632</v>
      </c>
      <c r="B2735" s="3" t="str">
        <f t="shared" si="84"/>
        <v>2</v>
      </c>
      <c r="C2735" s="4" t="s">
        <v>947</v>
      </c>
      <c r="D2735" s="6" t="s">
        <v>948</v>
      </c>
      <c r="E2735" s="4" t="s">
        <v>4</v>
      </c>
      <c r="F2735" s="2" t="str">
        <f t="shared" si="85"/>
        <v>Non-routine cognitive</v>
      </c>
    </row>
    <row r="2736" spans="1:6" ht="42.75" x14ac:dyDescent="0.4">
      <c r="A2736" s="3">
        <v>2632</v>
      </c>
      <c r="B2736" s="3" t="str">
        <f t="shared" si="84"/>
        <v>2</v>
      </c>
      <c r="C2736" s="4" t="s">
        <v>947</v>
      </c>
      <c r="D2736" s="8" t="s">
        <v>3187</v>
      </c>
      <c r="E2736" s="4" t="s">
        <v>4</v>
      </c>
      <c r="F2736" s="2" t="str">
        <f t="shared" si="85"/>
        <v>Non-routine cognitive</v>
      </c>
    </row>
    <row r="2737" spans="1:6" ht="28.5" x14ac:dyDescent="0.4">
      <c r="A2737" s="3">
        <v>2632</v>
      </c>
      <c r="B2737" s="3" t="str">
        <f t="shared" si="84"/>
        <v>2</v>
      </c>
      <c r="C2737" s="4" t="s">
        <v>947</v>
      </c>
      <c r="D2737" s="6" t="s">
        <v>949</v>
      </c>
      <c r="E2737" s="4" t="s">
        <v>4</v>
      </c>
      <c r="F2737" s="2" t="str">
        <f t="shared" si="85"/>
        <v>Non-routine cognitive</v>
      </c>
    </row>
    <row r="2738" spans="1:6" ht="57" x14ac:dyDescent="0.4">
      <c r="A2738" s="3">
        <v>2633</v>
      </c>
      <c r="B2738" s="3" t="str">
        <f t="shared" si="84"/>
        <v>2</v>
      </c>
      <c r="C2738" s="4" t="s">
        <v>950</v>
      </c>
      <c r="D2738" s="5" t="s">
        <v>3188</v>
      </c>
      <c r="E2738" s="4" t="s">
        <v>4</v>
      </c>
      <c r="F2738" s="2" t="str">
        <f t="shared" si="85"/>
        <v>Non-routine cognitive</v>
      </c>
    </row>
    <row r="2739" spans="1:6" ht="57" x14ac:dyDescent="0.4">
      <c r="A2739" s="3">
        <v>2633</v>
      </c>
      <c r="B2739" s="3" t="str">
        <f t="shared" si="84"/>
        <v>2</v>
      </c>
      <c r="C2739" s="4" t="s">
        <v>950</v>
      </c>
      <c r="D2739" s="5" t="s">
        <v>3189</v>
      </c>
      <c r="E2739" s="4" t="s">
        <v>4</v>
      </c>
      <c r="F2739" s="2" t="str">
        <f t="shared" si="85"/>
        <v>Non-routine cognitive</v>
      </c>
    </row>
    <row r="2740" spans="1:6" ht="57" x14ac:dyDescent="0.4">
      <c r="A2740" s="3">
        <v>2633</v>
      </c>
      <c r="B2740" s="3" t="str">
        <f t="shared" si="84"/>
        <v>2</v>
      </c>
      <c r="C2740" s="4" t="s">
        <v>950</v>
      </c>
      <c r="D2740" s="5" t="s">
        <v>3190</v>
      </c>
      <c r="E2740" s="4" t="s">
        <v>4</v>
      </c>
      <c r="F2740" s="2" t="str">
        <f t="shared" si="85"/>
        <v>Non-routine cognitive</v>
      </c>
    </row>
    <row r="2741" spans="1:6" ht="42.75" x14ac:dyDescent="0.4">
      <c r="A2741" s="3">
        <v>2633</v>
      </c>
      <c r="B2741" s="3" t="str">
        <f t="shared" si="84"/>
        <v>2</v>
      </c>
      <c r="C2741" s="4" t="s">
        <v>950</v>
      </c>
      <c r="D2741" s="8" t="s">
        <v>3191</v>
      </c>
      <c r="E2741" s="4" t="s">
        <v>4</v>
      </c>
      <c r="F2741" s="2" t="str">
        <f t="shared" si="85"/>
        <v>Non-routine cognitive</v>
      </c>
    </row>
    <row r="2742" spans="1:6" ht="57" x14ac:dyDescent="0.4">
      <c r="A2742" s="3">
        <v>2633</v>
      </c>
      <c r="B2742" s="3" t="str">
        <f t="shared" si="84"/>
        <v>2</v>
      </c>
      <c r="C2742" s="4" t="s">
        <v>950</v>
      </c>
      <c r="D2742" s="5" t="s">
        <v>3192</v>
      </c>
      <c r="E2742" s="4" t="s">
        <v>4</v>
      </c>
      <c r="F2742" s="2" t="str">
        <f t="shared" si="85"/>
        <v>Non-routine cognitive</v>
      </c>
    </row>
    <row r="2743" spans="1:6" ht="42.75" x14ac:dyDescent="0.4">
      <c r="A2743" s="3">
        <v>2633</v>
      </c>
      <c r="B2743" s="3" t="str">
        <f t="shared" si="84"/>
        <v>2</v>
      </c>
      <c r="C2743" s="4" t="s">
        <v>950</v>
      </c>
      <c r="D2743" s="8" t="s">
        <v>3193</v>
      </c>
      <c r="E2743" s="4" t="s">
        <v>4</v>
      </c>
      <c r="F2743" s="2" t="str">
        <f t="shared" si="85"/>
        <v>Non-routine cognitive</v>
      </c>
    </row>
    <row r="2744" spans="1:6" ht="42.75" x14ac:dyDescent="0.4">
      <c r="A2744" s="3">
        <v>2633</v>
      </c>
      <c r="B2744" s="3" t="str">
        <f t="shared" si="84"/>
        <v>2</v>
      </c>
      <c r="C2744" s="4" t="s">
        <v>950</v>
      </c>
      <c r="D2744" s="8" t="s">
        <v>3194</v>
      </c>
      <c r="E2744" s="4" t="s">
        <v>3</v>
      </c>
      <c r="F2744" s="2" t="str">
        <f t="shared" si="85"/>
        <v>Non-routine cognitive</v>
      </c>
    </row>
    <row r="2745" spans="1:6" ht="28.5" x14ac:dyDescent="0.4">
      <c r="A2745" s="3">
        <v>2633</v>
      </c>
      <c r="B2745" s="3" t="str">
        <f t="shared" si="84"/>
        <v>2</v>
      </c>
      <c r="C2745" s="4" t="s">
        <v>950</v>
      </c>
      <c r="D2745" s="6" t="s">
        <v>951</v>
      </c>
      <c r="E2745" s="4" t="s">
        <v>4</v>
      </c>
      <c r="F2745" s="2" t="str">
        <f t="shared" si="85"/>
        <v>Non-routine cognitive</v>
      </c>
    </row>
    <row r="2746" spans="1:6" ht="57" x14ac:dyDescent="0.4">
      <c r="A2746" s="3">
        <v>2634</v>
      </c>
      <c r="B2746" s="3" t="str">
        <f t="shared" si="84"/>
        <v>2</v>
      </c>
      <c r="C2746" s="4" t="s">
        <v>952</v>
      </c>
      <c r="D2746" s="5" t="s">
        <v>3195</v>
      </c>
      <c r="E2746" s="4" t="s">
        <v>4</v>
      </c>
      <c r="F2746" s="2" t="str">
        <f t="shared" si="85"/>
        <v>Non-routine cognitive</v>
      </c>
    </row>
    <row r="2747" spans="1:6" ht="42.75" x14ac:dyDescent="0.4">
      <c r="A2747" s="3">
        <v>2634</v>
      </c>
      <c r="B2747" s="3" t="str">
        <f t="shared" si="84"/>
        <v>2</v>
      </c>
      <c r="C2747" s="4" t="s">
        <v>952</v>
      </c>
      <c r="D2747" s="5" t="s">
        <v>3196</v>
      </c>
      <c r="E2747" s="4" t="s">
        <v>4</v>
      </c>
      <c r="F2747" s="2" t="str">
        <f t="shared" si="85"/>
        <v>Non-routine cognitive</v>
      </c>
    </row>
    <row r="2748" spans="1:6" ht="28.5" x14ac:dyDescent="0.4">
      <c r="A2748" s="3">
        <v>2634</v>
      </c>
      <c r="B2748" s="3" t="str">
        <f t="shared" si="84"/>
        <v>2</v>
      </c>
      <c r="C2748" s="4" t="s">
        <v>952</v>
      </c>
      <c r="D2748" s="6" t="s">
        <v>953</v>
      </c>
      <c r="E2748" s="4" t="s">
        <v>3</v>
      </c>
      <c r="F2748" s="2" t="str">
        <f t="shared" si="85"/>
        <v>Non-routine cognitive</v>
      </c>
    </row>
    <row r="2749" spans="1:6" ht="57" x14ac:dyDescent="0.4">
      <c r="A2749" s="3">
        <v>2634</v>
      </c>
      <c r="B2749" s="3" t="str">
        <f t="shared" si="84"/>
        <v>2</v>
      </c>
      <c r="C2749" s="4" t="s">
        <v>952</v>
      </c>
      <c r="D2749" s="5" t="s">
        <v>3197</v>
      </c>
      <c r="E2749" s="4" t="s">
        <v>3</v>
      </c>
      <c r="F2749" s="2" t="str">
        <f t="shared" si="85"/>
        <v>Non-routine cognitive</v>
      </c>
    </row>
    <row r="2750" spans="1:6" ht="57" x14ac:dyDescent="0.4">
      <c r="A2750" s="3">
        <v>2634</v>
      </c>
      <c r="B2750" s="3" t="str">
        <f t="shared" si="84"/>
        <v>2</v>
      </c>
      <c r="C2750" s="4" t="s">
        <v>952</v>
      </c>
      <c r="D2750" s="5" t="s">
        <v>3198</v>
      </c>
      <c r="E2750" s="4" t="s">
        <v>4</v>
      </c>
      <c r="F2750" s="2" t="str">
        <f t="shared" si="85"/>
        <v>Non-routine cognitive</v>
      </c>
    </row>
    <row r="2751" spans="1:6" x14ac:dyDescent="0.4">
      <c r="A2751" s="3">
        <v>2634</v>
      </c>
      <c r="B2751" s="3" t="str">
        <f t="shared" si="84"/>
        <v>2</v>
      </c>
      <c r="C2751" s="4" t="s">
        <v>952</v>
      </c>
      <c r="D2751" s="6" t="s">
        <v>954</v>
      </c>
      <c r="E2751" s="4" t="s">
        <v>4</v>
      </c>
      <c r="F2751" s="2" t="str">
        <f t="shared" si="85"/>
        <v>Non-routine cognitive</v>
      </c>
    </row>
    <row r="2752" spans="1:6" ht="42.75" x14ac:dyDescent="0.4">
      <c r="A2752" s="3">
        <v>2634</v>
      </c>
      <c r="B2752" s="3" t="str">
        <f t="shared" si="84"/>
        <v>2</v>
      </c>
      <c r="C2752" s="4" t="s">
        <v>952</v>
      </c>
      <c r="D2752" s="5" t="s">
        <v>3199</v>
      </c>
      <c r="E2752" s="4" t="s">
        <v>4</v>
      </c>
      <c r="F2752" s="2" t="str">
        <f t="shared" si="85"/>
        <v>Non-routine cognitive</v>
      </c>
    </row>
    <row r="2753" spans="1:6" ht="42.75" x14ac:dyDescent="0.4">
      <c r="A2753" s="3">
        <v>2634</v>
      </c>
      <c r="B2753" s="3" t="str">
        <f t="shared" si="84"/>
        <v>2</v>
      </c>
      <c r="C2753" s="4" t="s">
        <v>952</v>
      </c>
      <c r="D2753" s="5" t="s">
        <v>3200</v>
      </c>
      <c r="E2753" s="4" t="s">
        <v>4</v>
      </c>
      <c r="F2753" s="2" t="str">
        <f t="shared" si="85"/>
        <v>Non-routine cognitive</v>
      </c>
    </row>
    <row r="2754" spans="1:6" ht="28.5" x14ac:dyDescent="0.4">
      <c r="A2754" s="3">
        <v>2634</v>
      </c>
      <c r="B2754" s="3" t="str">
        <f t="shared" si="84"/>
        <v>2</v>
      </c>
      <c r="C2754" s="4" t="s">
        <v>952</v>
      </c>
      <c r="D2754" s="8" t="s">
        <v>3201</v>
      </c>
      <c r="E2754" s="4" t="s">
        <v>4</v>
      </c>
      <c r="F2754" s="2" t="str">
        <f t="shared" si="85"/>
        <v>Non-routine cognitive</v>
      </c>
    </row>
    <row r="2755" spans="1:6" ht="57" x14ac:dyDescent="0.4">
      <c r="A2755" s="3">
        <v>2643</v>
      </c>
      <c r="B2755" s="3" t="str">
        <f t="shared" ref="B2755:B2818" si="86">LEFT(A2755,1)</f>
        <v>2</v>
      </c>
      <c r="C2755" s="4" t="s">
        <v>955</v>
      </c>
      <c r="D2755" s="5" t="s">
        <v>3202</v>
      </c>
      <c r="E2755" s="4" t="s">
        <v>4</v>
      </c>
      <c r="F2755" s="2" t="str">
        <f t="shared" ref="F2755:F2818" si="87">IF(E2755="Non-routine interpersonal","Non-routine cognitive",IF(E2755="Non-routine analytical","Non-routine cognitive",IF(E2755="Non-routine manual physical","Non-routine manual",E2755)))</f>
        <v>Non-routine cognitive</v>
      </c>
    </row>
    <row r="2756" spans="1:6" ht="42.75" x14ac:dyDescent="0.4">
      <c r="A2756" s="3">
        <v>2643</v>
      </c>
      <c r="B2756" s="3" t="str">
        <f t="shared" si="86"/>
        <v>2</v>
      </c>
      <c r="C2756" s="4" t="s">
        <v>955</v>
      </c>
      <c r="D2756" s="5" t="s">
        <v>3203</v>
      </c>
      <c r="E2756" s="4" t="s">
        <v>4</v>
      </c>
      <c r="F2756" s="2" t="str">
        <f t="shared" si="87"/>
        <v>Non-routine cognitive</v>
      </c>
    </row>
    <row r="2757" spans="1:6" ht="71.25" x14ac:dyDescent="0.4">
      <c r="A2757" s="3">
        <v>2643</v>
      </c>
      <c r="B2757" s="3" t="str">
        <f t="shared" si="86"/>
        <v>2</v>
      </c>
      <c r="C2757" s="4" t="s">
        <v>955</v>
      </c>
      <c r="D2757" s="5" t="s">
        <v>3204</v>
      </c>
      <c r="E2757" s="4" t="s">
        <v>50</v>
      </c>
      <c r="F2757" s="2" t="str">
        <f t="shared" si="87"/>
        <v>Routine cognitive</v>
      </c>
    </row>
    <row r="2758" spans="1:6" ht="42.75" x14ac:dyDescent="0.4">
      <c r="A2758" s="3">
        <v>2643</v>
      </c>
      <c r="B2758" s="3" t="str">
        <f t="shared" si="86"/>
        <v>2</v>
      </c>
      <c r="C2758" s="4" t="s">
        <v>955</v>
      </c>
      <c r="D2758" s="5" t="s">
        <v>3205</v>
      </c>
      <c r="E2758" s="4" t="s">
        <v>4</v>
      </c>
      <c r="F2758" s="2" t="str">
        <f t="shared" si="87"/>
        <v>Non-routine cognitive</v>
      </c>
    </row>
    <row r="2759" spans="1:6" ht="57" x14ac:dyDescent="0.4">
      <c r="A2759" s="3">
        <v>2643</v>
      </c>
      <c r="B2759" s="3" t="str">
        <f t="shared" si="86"/>
        <v>2</v>
      </c>
      <c r="C2759" s="4" t="s">
        <v>955</v>
      </c>
      <c r="D2759" s="5" t="s">
        <v>3206</v>
      </c>
      <c r="E2759" s="4" t="s">
        <v>4</v>
      </c>
      <c r="F2759" s="2" t="str">
        <f t="shared" si="87"/>
        <v>Non-routine cognitive</v>
      </c>
    </row>
    <row r="2760" spans="1:6" ht="28.5" x14ac:dyDescent="0.4">
      <c r="A2760" s="3">
        <v>2643</v>
      </c>
      <c r="B2760" s="3" t="str">
        <f t="shared" si="86"/>
        <v>2</v>
      </c>
      <c r="C2760" s="4" t="s">
        <v>955</v>
      </c>
      <c r="D2760" s="7" t="s">
        <v>956</v>
      </c>
      <c r="E2760" s="4" t="s">
        <v>50</v>
      </c>
      <c r="F2760" s="2" t="str">
        <f t="shared" si="87"/>
        <v>Routine cognitive</v>
      </c>
    </row>
    <row r="2761" spans="1:6" ht="42.75" x14ac:dyDescent="0.4">
      <c r="A2761" s="3">
        <v>2655</v>
      </c>
      <c r="B2761" s="3" t="str">
        <f t="shared" si="86"/>
        <v>2</v>
      </c>
      <c r="C2761" s="4" t="s">
        <v>957</v>
      </c>
      <c r="D2761" s="8" t="s">
        <v>3207</v>
      </c>
      <c r="E2761" s="4" t="s">
        <v>50</v>
      </c>
      <c r="F2761" s="2" t="str">
        <f t="shared" si="87"/>
        <v>Routine cognitive</v>
      </c>
    </row>
    <row r="2762" spans="1:6" ht="42.75" x14ac:dyDescent="0.4">
      <c r="A2762" s="3">
        <v>2655</v>
      </c>
      <c r="B2762" s="3" t="str">
        <f t="shared" si="86"/>
        <v>2</v>
      </c>
      <c r="C2762" s="4" t="s">
        <v>957</v>
      </c>
      <c r="D2762" s="5" t="s">
        <v>3208</v>
      </c>
      <c r="E2762" s="4" t="s">
        <v>3</v>
      </c>
      <c r="F2762" s="2" t="str">
        <f t="shared" si="87"/>
        <v>Non-routine cognitive</v>
      </c>
    </row>
    <row r="2763" spans="1:6" ht="28.5" x14ac:dyDescent="0.4">
      <c r="A2763" s="3">
        <v>2655</v>
      </c>
      <c r="B2763" s="3" t="str">
        <f t="shared" si="86"/>
        <v>2</v>
      </c>
      <c r="C2763" s="4" t="s">
        <v>957</v>
      </c>
      <c r="D2763" s="5" t="s">
        <v>3209</v>
      </c>
      <c r="E2763" s="4" t="s">
        <v>50</v>
      </c>
      <c r="F2763" s="2" t="str">
        <f t="shared" si="87"/>
        <v>Routine cognitive</v>
      </c>
    </row>
    <row r="2764" spans="1:6" ht="28.5" x14ac:dyDescent="0.4">
      <c r="A2764" s="3">
        <v>2655</v>
      </c>
      <c r="B2764" s="3" t="str">
        <f t="shared" si="86"/>
        <v>2</v>
      </c>
      <c r="C2764" s="4" t="s">
        <v>957</v>
      </c>
      <c r="D2764" s="10" t="s">
        <v>3210</v>
      </c>
      <c r="E2764" s="4" t="s">
        <v>3</v>
      </c>
      <c r="F2764" s="2" t="str">
        <f t="shared" si="87"/>
        <v>Non-routine cognitive</v>
      </c>
    </row>
    <row r="2765" spans="1:6" ht="42.75" x14ac:dyDescent="0.4">
      <c r="A2765" s="3">
        <v>2655</v>
      </c>
      <c r="B2765" s="3" t="str">
        <f t="shared" si="86"/>
        <v>2</v>
      </c>
      <c r="C2765" s="4" t="s">
        <v>957</v>
      </c>
      <c r="D2765" s="5" t="s">
        <v>3211</v>
      </c>
      <c r="E2765" s="4" t="s">
        <v>3</v>
      </c>
      <c r="F2765" s="2" t="str">
        <f t="shared" si="87"/>
        <v>Non-routine cognitive</v>
      </c>
    </row>
    <row r="2766" spans="1:6" ht="42.75" x14ac:dyDescent="0.4">
      <c r="A2766" s="3">
        <v>2655</v>
      </c>
      <c r="B2766" s="3" t="str">
        <f t="shared" si="86"/>
        <v>2</v>
      </c>
      <c r="C2766" s="4" t="s">
        <v>957</v>
      </c>
      <c r="D2766" s="5" t="s">
        <v>3212</v>
      </c>
      <c r="E2766" s="4" t="s">
        <v>4</v>
      </c>
      <c r="F2766" s="2" t="str">
        <f t="shared" si="87"/>
        <v>Non-routine cognitive</v>
      </c>
    </row>
    <row r="2767" spans="1:6" ht="42.75" x14ac:dyDescent="0.4">
      <c r="A2767" s="3">
        <v>2655</v>
      </c>
      <c r="B2767" s="3" t="str">
        <f t="shared" si="86"/>
        <v>2</v>
      </c>
      <c r="C2767" s="4" t="s">
        <v>957</v>
      </c>
      <c r="D2767" s="5" t="s">
        <v>3213</v>
      </c>
      <c r="E2767" s="4" t="s">
        <v>3</v>
      </c>
      <c r="F2767" s="2" t="str">
        <f t="shared" si="87"/>
        <v>Non-routine cognitive</v>
      </c>
    </row>
    <row r="2768" spans="1:6" ht="42.75" x14ac:dyDescent="0.4">
      <c r="A2768" s="3">
        <v>3116</v>
      </c>
      <c r="B2768" s="3" t="str">
        <f t="shared" si="86"/>
        <v>3</v>
      </c>
      <c r="C2768" s="4" t="s">
        <v>958</v>
      </c>
      <c r="D2768" s="8" t="s">
        <v>3214</v>
      </c>
      <c r="E2768" s="4" t="s">
        <v>4</v>
      </c>
      <c r="F2768" s="2" t="str">
        <f t="shared" si="87"/>
        <v>Non-routine cognitive</v>
      </c>
    </row>
    <row r="2769" spans="1:6" ht="28.5" x14ac:dyDescent="0.4">
      <c r="A2769" s="3">
        <v>3116</v>
      </c>
      <c r="B2769" s="3" t="str">
        <f t="shared" si="86"/>
        <v>3</v>
      </c>
      <c r="C2769" s="4" t="s">
        <v>958</v>
      </c>
      <c r="D2769" s="8" t="s">
        <v>3215</v>
      </c>
      <c r="E2769" s="4" t="s">
        <v>4</v>
      </c>
      <c r="F2769" s="2" t="str">
        <f t="shared" si="87"/>
        <v>Non-routine cognitive</v>
      </c>
    </row>
    <row r="2770" spans="1:6" ht="42.75" x14ac:dyDescent="0.4">
      <c r="A2770" s="3">
        <v>3116</v>
      </c>
      <c r="B2770" s="3" t="str">
        <f t="shared" si="86"/>
        <v>3</v>
      </c>
      <c r="C2770" s="4" t="s">
        <v>958</v>
      </c>
      <c r="D2770" s="8" t="s">
        <v>1691</v>
      </c>
      <c r="E2770" s="4" t="s">
        <v>4</v>
      </c>
      <c r="F2770" s="2" t="str">
        <f t="shared" si="87"/>
        <v>Non-routine cognitive</v>
      </c>
    </row>
    <row r="2771" spans="1:6" ht="57" x14ac:dyDescent="0.4">
      <c r="A2771" s="3">
        <v>3116</v>
      </c>
      <c r="B2771" s="3" t="str">
        <f t="shared" si="86"/>
        <v>3</v>
      </c>
      <c r="C2771" s="4" t="s">
        <v>958</v>
      </c>
      <c r="D2771" s="5" t="s">
        <v>3216</v>
      </c>
      <c r="E2771" s="4" t="s">
        <v>50</v>
      </c>
      <c r="F2771" s="2" t="str">
        <f t="shared" si="87"/>
        <v>Routine cognitive</v>
      </c>
    </row>
    <row r="2772" spans="1:6" ht="57" x14ac:dyDescent="0.4">
      <c r="A2772" s="3">
        <v>3116</v>
      </c>
      <c r="B2772" s="3" t="str">
        <f t="shared" si="86"/>
        <v>3</v>
      </c>
      <c r="C2772" s="4" t="s">
        <v>958</v>
      </c>
      <c r="D2772" s="5" t="s">
        <v>3217</v>
      </c>
      <c r="E2772" s="4" t="s">
        <v>50</v>
      </c>
      <c r="F2772" s="2" t="str">
        <f t="shared" si="87"/>
        <v>Routine cognitive</v>
      </c>
    </row>
    <row r="2773" spans="1:6" ht="57" x14ac:dyDescent="0.4">
      <c r="A2773" s="3">
        <v>3121</v>
      </c>
      <c r="B2773" s="3" t="str">
        <f t="shared" si="86"/>
        <v>3</v>
      </c>
      <c r="C2773" s="4" t="s">
        <v>959</v>
      </c>
      <c r="D2773" s="5" t="s">
        <v>3218</v>
      </c>
      <c r="E2773" s="4" t="s">
        <v>3</v>
      </c>
      <c r="F2773" s="2" t="str">
        <f t="shared" si="87"/>
        <v>Non-routine cognitive</v>
      </c>
    </row>
    <row r="2774" spans="1:6" ht="42.75" x14ac:dyDescent="0.4">
      <c r="A2774" s="3">
        <v>3121</v>
      </c>
      <c r="B2774" s="3" t="str">
        <f t="shared" si="86"/>
        <v>3</v>
      </c>
      <c r="C2774" s="4" t="s">
        <v>959</v>
      </c>
      <c r="D2774" s="8" t="s">
        <v>3219</v>
      </c>
      <c r="E2774" s="4" t="s">
        <v>4</v>
      </c>
      <c r="F2774" s="2" t="str">
        <f t="shared" si="87"/>
        <v>Non-routine cognitive</v>
      </c>
    </row>
    <row r="2775" spans="1:6" ht="42.75" x14ac:dyDescent="0.4">
      <c r="A2775" s="3">
        <v>3121</v>
      </c>
      <c r="B2775" s="3" t="str">
        <f t="shared" si="86"/>
        <v>3</v>
      </c>
      <c r="C2775" s="4" t="s">
        <v>959</v>
      </c>
      <c r="D2775" s="5" t="s">
        <v>3220</v>
      </c>
      <c r="E2775" s="4" t="s">
        <v>3</v>
      </c>
      <c r="F2775" s="2" t="str">
        <f t="shared" si="87"/>
        <v>Non-routine cognitive</v>
      </c>
    </row>
    <row r="2776" spans="1:6" ht="57" x14ac:dyDescent="0.4">
      <c r="A2776" s="3">
        <v>3121</v>
      </c>
      <c r="B2776" s="3" t="str">
        <f t="shared" si="86"/>
        <v>3</v>
      </c>
      <c r="C2776" s="4" t="s">
        <v>959</v>
      </c>
      <c r="D2776" s="5" t="s">
        <v>3221</v>
      </c>
      <c r="E2776" s="4" t="s">
        <v>4</v>
      </c>
      <c r="F2776" s="2" t="str">
        <f t="shared" si="87"/>
        <v>Non-routine cognitive</v>
      </c>
    </row>
    <row r="2777" spans="1:6" ht="28.5" x14ac:dyDescent="0.4">
      <c r="A2777" s="3">
        <v>3121</v>
      </c>
      <c r="B2777" s="3" t="str">
        <f t="shared" si="86"/>
        <v>3</v>
      </c>
      <c r="C2777" s="4" t="s">
        <v>959</v>
      </c>
      <c r="D2777" s="8" t="s">
        <v>3222</v>
      </c>
      <c r="E2777" s="4" t="s">
        <v>4</v>
      </c>
      <c r="F2777" s="2" t="str">
        <f t="shared" si="87"/>
        <v>Non-routine cognitive</v>
      </c>
    </row>
    <row r="2778" spans="1:6" ht="42.75" x14ac:dyDescent="0.4">
      <c r="A2778" s="3">
        <v>3134</v>
      </c>
      <c r="B2778" s="3" t="str">
        <f t="shared" si="86"/>
        <v>3</v>
      </c>
      <c r="C2778" s="4" t="s">
        <v>960</v>
      </c>
      <c r="D2778" s="8" t="s">
        <v>3223</v>
      </c>
      <c r="E2778" s="4" t="s">
        <v>182</v>
      </c>
      <c r="F2778" s="2" t="str">
        <f t="shared" si="87"/>
        <v>Routine manual</v>
      </c>
    </row>
    <row r="2779" spans="1:6" ht="28.5" x14ac:dyDescent="0.4">
      <c r="A2779" s="3">
        <v>3134</v>
      </c>
      <c r="B2779" s="3" t="str">
        <f t="shared" si="86"/>
        <v>3</v>
      </c>
      <c r="C2779" s="4" t="s">
        <v>960</v>
      </c>
      <c r="D2779" s="8" t="s">
        <v>3224</v>
      </c>
      <c r="E2779" s="4" t="s">
        <v>182</v>
      </c>
      <c r="F2779" s="2" t="str">
        <f t="shared" si="87"/>
        <v>Routine manual</v>
      </c>
    </row>
    <row r="2780" spans="1:6" ht="28.5" x14ac:dyDescent="0.4">
      <c r="A2780" s="3">
        <v>3134</v>
      </c>
      <c r="B2780" s="3" t="str">
        <f t="shared" si="86"/>
        <v>3</v>
      </c>
      <c r="C2780" s="4" t="s">
        <v>960</v>
      </c>
      <c r="D2780" s="8" t="s">
        <v>3225</v>
      </c>
      <c r="E2780" s="4" t="s">
        <v>182</v>
      </c>
      <c r="F2780" s="2" t="str">
        <f t="shared" si="87"/>
        <v>Routine manual</v>
      </c>
    </row>
    <row r="2781" spans="1:6" ht="57" x14ac:dyDescent="0.4">
      <c r="A2781" s="3">
        <v>3134</v>
      </c>
      <c r="B2781" s="3" t="str">
        <f t="shared" si="86"/>
        <v>3</v>
      </c>
      <c r="C2781" s="4" t="s">
        <v>960</v>
      </c>
      <c r="D2781" s="5" t="s">
        <v>3226</v>
      </c>
      <c r="E2781" s="4" t="s">
        <v>50</v>
      </c>
      <c r="F2781" s="2" t="str">
        <f t="shared" si="87"/>
        <v>Routine cognitive</v>
      </c>
    </row>
    <row r="2782" spans="1:6" ht="28.5" x14ac:dyDescent="0.4">
      <c r="A2782" s="3">
        <v>3134</v>
      </c>
      <c r="B2782" s="3" t="str">
        <f t="shared" si="86"/>
        <v>3</v>
      </c>
      <c r="C2782" s="4" t="s">
        <v>960</v>
      </c>
      <c r="D2782" s="10" t="s">
        <v>3227</v>
      </c>
      <c r="E2782" s="4" t="s">
        <v>4</v>
      </c>
      <c r="F2782" s="2" t="str">
        <f t="shared" si="87"/>
        <v>Non-routine cognitive</v>
      </c>
    </row>
    <row r="2783" spans="1:6" ht="57" x14ac:dyDescent="0.4">
      <c r="A2783" s="3">
        <v>3135</v>
      </c>
      <c r="B2783" s="3" t="str">
        <f t="shared" si="86"/>
        <v>3</v>
      </c>
      <c r="C2783" s="4" t="s">
        <v>961</v>
      </c>
      <c r="D2783" s="5" t="s">
        <v>3228</v>
      </c>
      <c r="E2783" s="4" t="s">
        <v>3</v>
      </c>
      <c r="F2783" s="2" t="str">
        <f t="shared" si="87"/>
        <v>Non-routine cognitive</v>
      </c>
    </row>
    <row r="2784" spans="1:6" ht="42.75" x14ac:dyDescent="0.4">
      <c r="A2784" s="3">
        <v>3135</v>
      </c>
      <c r="B2784" s="3" t="str">
        <f t="shared" si="86"/>
        <v>3</v>
      </c>
      <c r="C2784" s="4" t="s">
        <v>961</v>
      </c>
      <c r="D2784" s="8" t="s">
        <v>3229</v>
      </c>
      <c r="E2784" s="4" t="s">
        <v>182</v>
      </c>
      <c r="F2784" s="2" t="str">
        <f t="shared" si="87"/>
        <v>Routine manual</v>
      </c>
    </row>
    <row r="2785" spans="1:6" ht="42.75" x14ac:dyDescent="0.4">
      <c r="A2785" s="3">
        <v>3135</v>
      </c>
      <c r="B2785" s="3" t="str">
        <f t="shared" si="86"/>
        <v>3</v>
      </c>
      <c r="C2785" s="4" t="s">
        <v>961</v>
      </c>
      <c r="D2785" s="5" t="s">
        <v>3230</v>
      </c>
      <c r="E2785" s="4" t="s">
        <v>50</v>
      </c>
      <c r="F2785" s="2" t="str">
        <f t="shared" si="87"/>
        <v>Routine cognitive</v>
      </c>
    </row>
    <row r="2786" spans="1:6" ht="28.5" x14ac:dyDescent="0.4">
      <c r="A2786" s="3">
        <v>3135</v>
      </c>
      <c r="B2786" s="3" t="str">
        <f t="shared" si="86"/>
        <v>3</v>
      </c>
      <c r="C2786" s="4" t="s">
        <v>961</v>
      </c>
      <c r="D2786" s="8" t="s">
        <v>3231</v>
      </c>
      <c r="E2786" s="4" t="s">
        <v>3</v>
      </c>
      <c r="F2786" s="2" t="str">
        <f t="shared" si="87"/>
        <v>Non-routine cognitive</v>
      </c>
    </row>
    <row r="2787" spans="1:6" ht="28.5" x14ac:dyDescent="0.4">
      <c r="A2787" s="3">
        <v>3135</v>
      </c>
      <c r="B2787" s="3" t="str">
        <f t="shared" si="86"/>
        <v>3</v>
      </c>
      <c r="C2787" s="4" t="s">
        <v>961</v>
      </c>
      <c r="D2787" s="5" t="s">
        <v>3232</v>
      </c>
      <c r="E2787" s="4" t="s">
        <v>50</v>
      </c>
      <c r="F2787" s="2" t="str">
        <f t="shared" si="87"/>
        <v>Routine cognitive</v>
      </c>
    </row>
    <row r="2788" spans="1:6" ht="28.5" x14ac:dyDescent="0.4">
      <c r="A2788" s="3">
        <v>3135</v>
      </c>
      <c r="B2788" s="3" t="str">
        <f t="shared" si="86"/>
        <v>3</v>
      </c>
      <c r="C2788" s="4" t="s">
        <v>961</v>
      </c>
      <c r="D2788" s="8" t="s">
        <v>3233</v>
      </c>
      <c r="E2788" s="4" t="s">
        <v>3</v>
      </c>
      <c r="F2788" s="2" t="str">
        <f t="shared" si="87"/>
        <v>Non-routine cognitive</v>
      </c>
    </row>
    <row r="2789" spans="1:6" ht="42.75" x14ac:dyDescent="0.4">
      <c r="A2789" s="3">
        <v>3135</v>
      </c>
      <c r="B2789" s="3" t="str">
        <f t="shared" si="86"/>
        <v>3</v>
      </c>
      <c r="C2789" s="4" t="s">
        <v>961</v>
      </c>
      <c r="D2789" s="5" t="s">
        <v>3234</v>
      </c>
      <c r="E2789" s="4" t="s">
        <v>50</v>
      </c>
      <c r="F2789" s="2" t="str">
        <f t="shared" si="87"/>
        <v>Routine cognitive</v>
      </c>
    </row>
    <row r="2790" spans="1:6" ht="28.5" x14ac:dyDescent="0.4">
      <c r="A2790" s="3">
        <v>3141</v>
      </c>
      <c r="B2790" s="3" t="str">
        <f t="shared" si="86"/>
        <v>3</v>
      </c>
      <c r="C2790" s="4" t="s">
        <v>962</v>
      </c>
      <c r="D2790" s="10" t="s">
        <v>3235</v>
      </c>
      <c r="E2790" s="4" t="s">
        <v>50</v>
      </c>
      <c r="F2790" s="2" t="str">
        <f t="shared" si="87"/>
        <v>Routine cognitive</v>
      </c>
    </row>
    <row r="2791" spans="1:6" ht="42.75" x14ac:dyDescent="0.4">
      <c r="A2791" s="3">
        <v>3141</v>
      </c>
      <c r="B2791" s="3" t="str">
        <f t="shared" si="86"/>
        <v>3</v>
      </c>
      <c r="C2791" s="4" t="s">
        <v>962</v>
      </c>
      <c r="D2791" s="10" t="s">
        <v>3236</v>
      </c>
      <c r="E2791" s="4" t="s">
        <v>182</v>
      </c>
      <c r="F2791" s="2" t="str">
        <f t="shared" si="87"/>
        <v>Routine manual</v>
      </c>
    </row>
    <row r="2792" spans="1:6" ht="42.75" x14ac:dyDescent="0.4">
      <c r="A2792" s="3">
        <v>3141</v>
      </c>
      <c r="B2792" s="3" t="str">
        <f t="shared" si="86"/>
        <v>3</v>
      </c>
      <c r="C2792" s="4" t="s">
        <v>962</v>
      </c>
      <c r="D2792" s="8" t="s">
        <v>3237</v>
      </c>
      <c r="E2792" s="4" t="s">
        <v>50</v>
      </c>
      <c r="F2792" s="2" t="str">
        <f t="shared" si="87"/>
        <v>Routine cognitive</v>
      </c>
    </row>
    <row r="2793" spans="1:6" ht="28.5" x14ac:dyDescent="0.4">
      <c r="A2793" s="3">
        <v>3141</v>
      </c>
      <c r="B2793" s="3" t="str">
        <f t="shared" si="86"/>
        <v>3</v>
      </c>
      <c r="C2793" s="4" t="s">
        <v>962</v>
      </c>
      <c r="D2793" s="7" t="s">
        <v>963</v>
      </c>
      <c r="E2793" s="4" t="s">
        <v>50</v>
      </c>
      <c r="F2793" s="2" t="str">
        <f t="shared" si="87"/>
        <v>Routine cognitive</v>
      </c>
    </row>
    <row r="2794" spans="1:6" ht="42.75" x14ac:dyDescent="0.4">
      <c r="A2794" s="3">
        <v>3141</v>
      </c>
      <c r="B2794" s="3" t="str">
        <f t="shared" si="86"/>
        <v>3</v>
      </c>
      <c r="C2794" s="4" t="s">
        <v>962</v>
      </c>
      <c r="D2794" s="8" t="s">
        <v>3238</v>
      </c>
      <c r="E2794" s="4" t="s">
        <v>50</v>
      </c>
      <c r="F2794" s="2" t="str">
        <f t="shared" si="87"/>
        <v>Routine cognitive</v>
      </c>
    </row>
    <row r="2795" spans="1:6" ht="42.75" x14ac:dyDescent="0.4">
      <c r="A2795" s="3">
        <v>3141</v>
      </c>
      <c r="B2795" s="3" t="str">
        <f t="shared" si="86"/>
        <v>3</v>
      </c>
      <c r="C2795" s="4" t="s">
        <v>962</v>
      </c>
      <c r="D2795" s="5" t="s">
        <v>3239</v>
      </c>
      <c r="E2795" s="4" t="s">
        <v>4</v>
      </c>
      <c r="F2795" s="2" t="str">
        <f t="shared" si="87"/>
        <v>Non-routine cognitive</v>
      </c>
    </row>
    <row r="2796" spans="1:6" ht="28.5" x14ac:dyDescent="0.4">
      <c r="A2796" s="3">
        <v>3141</v>
      </c>
      <c r="B2796" s="3" t="str">
        <f t="shared" si="86"/>
        <v>3</v>
      </c>
      <c r="C2796" s="4" t="s">
        <v>962</v>
      </c>
      <c r="D2796" s="8" t="s">
        <v>3240</v>
      </c>
      <c r="E2796" s="4" t="s">
        <v>4</v>
      </c>
      <c r="F2796" s="2" t="str">
        <f t="shared" si="87"/>
        <v>Non-routine cognitive</v>
      </c>
    </row>
    <row r="2797" spans="1:6" ht="28.5" x14ac:dyDescent="0.4">
      <c r="A2797" s="3">
        <v>3141</v>
      </c>
      <c r="B2797" s="3" t="str">
        <f t="shared" si="86"/>
        <v>3</v>
      </c>
      <c r="C2797" s="4" t="s">
        <v>962</v>
      </c>
      <c r="D2797" s="7" t="s">
        <v>964</v>
      </c>
      <c r="E2797" s="4" t="s">
        <v>50</v>
      </c>
      <c r="F2797" s="2" t="str">
        <f t="shared" si="87"/>
        <v>Routine cognitive</v>
      </c>
    </row>
    <row r="2798" spans="1:6" ht="28.5" x14ac:dyDescent="0.4">
      <c r="A2798" s="3">
        <v>3141</v>
      </c>
      <c r="B2798" s="3" t="str">
        <f t="shared" si="86"/>
        <v>3</v>
      </c>
      <c r="C2798" s="4" t="s">
        <v>962</v>
      </c>
      <c r="D2798" s="6" t="s">
        <v>965</v>
      </c>
      <c r="E2798" s="4" t="s">
        <v>4</v>
      </c>
      <c r="F2798" s="2" t="str">
        <f t="shared" si="87"/>
        <v>Non-routine cognitive</v>
      </c>
    </row>
    <row r="2799" spans="1:6" ht="28.5" x14ac:dyDescent="0.4">
      <c r="A2799" s="3">
        <v>3141</v>
      </c>
      <c r="B2799" s="3" t="str">
        <f t="shared" si="86"/>
        <v>3</v>
      </c>
      <c r="C2799" s="4" t="s">
        <v>962</v>
      </c>
      <c r="D2799" s="5" t="s">
        <v>3241</v>
      </c>
      <c r="E2799" s="4" t="s">
        <v>50</v>
      </c>
      <c r="F2799" s="2" t="str">
        <f t="shared" si="87"/>
        <v>Routine cognitive</v>
      </c>
    </row>
    <row r="2800" spans="1:6" ht="42.75" x14ac:dyDescent="0.4">
      <c r="A2800" s="3">
        <v>3141</v>
      </c>
      <c r="B2800" s="3" t="str">
        <f t="shared" si="86"/>
        <v>3</v>
      </c>
      <c r="C2800" s="4" t="s">
        <v>962</v>
      </c>
      <c r="D2800" s="8" t="s">
        <v>3242</v>
      </c>
      <c r="E2800" s="4" t="s">
        <v>4</v>
      </c>
      <c r="F2800" s="2" t="str">
        <f t="shared" si="87"/>
        <v>Non-routine cognitive</v>
      </c>
    </row>
    <row r="2801" spans="1:6" ht="28.5" x14ac:dyDescent="0.4">
      <c r="A2801" s="3">
        <v>3141</v>
      </c>
      <c r="B2801" s="3" t="str">
        <f t="shared" si="86"/>
        <v>3</v>
      </c>
      <c r="C2801" s="4" t="s">
        <v>962</v>
      </c>
      <c r="D2801" s="7" t="s">
        <v>966</v>
      </c>
      <c r="E2801" s="4" t="s">
        <v>50</v>
      </c>
      <c r="F2801" s="2" t="str">
        <f t="shared" si="87"/>
        <v>Routine cognitive</v>
      </c>
    </row>
    <row r="2802" spans="1:6" ht="28.5" x14ac:dyDescent="0.4">
      <c r="A2802" s="3">
        <v>3141</v>
      </c>
      <c r="B2802" s="3" t="str">
        <f t="shared" si="86"/>
        <v>3</v>
      </c>
      <c r="C2802" s="4" t="s">
        <v>962</v>
      </c>
      <c r="D2802" s="7" t="s">
        <v>967</v>
      </c>
      <c r="E2802" s="4" t="s">
        <v>50</v>
      </c>
      <c r="F2802" s="2" t="str">
        <f t="shared" si="87"/>
        <v>Routine cognitive</v>
      </c>
    </row>
    <row r="2803" spans="1:6" ht="42.75" x14ac:dyDescent="0.4">
      <c r="A2803" s="3">
        <v>3143</v>
      </c>
      <c r="B2803" s="3" t="str">
        <f t="shared" si="86"/>
        <v>3</v>
      </c>
      <c r="C2803" s="4" t="s">
        <v>968</v>
      </c>
      <c r="D2803" s="8" t="s">
        <v>3243</v>
      </c>
      <c r="E2803" s="4" t="s">
        <v>50</v>
      </c>
      <c r="F2803" s="2" t="str">
        <f t="shared" si="87"/>
        <v>Routine cognitive</v>
      </c>
    </row>
    <row r="2804" spans="1:6" ht="57" x14ac:dyDescent="0.4">
      <c r="A2804" s="3">
        <v>3143</v>
      </c>
      <c r="B2804" s="3" t="str">
        <f t="shared" si="86"/>
        <v>3</v>
      </c>
      <c r="C2804" s="4" t="s">
        <v>968</v>
      </c>
      <c r="D2804" s="5" t="s">
        <v>3244</v>
      </c>
      <c r="E2804" s="4" t="s">
        <v>4</v>
      </c>
      <c r="F2804" s="2" t="str">
        <f t="shared" si="87"/>
        <v>Non-routine cognitive</v>
      </c>
    </row>
    <row r="2805" spans="1:6" ht="28.5" x14ac:dyDescent="0.4">
      <c r="A2805" s="3">
        <v>3143</v>
      </c>
      <c r="B2805" s="3" t="str">
        <f t="shared" si="86"/>
        <v>3</v>
      </c>
      <c r="C2805" s="4" t="s">
        <v>968</v>
      </c>
      <c r="D2805" s="8" t="s">
        <v>3245</v>
      </c>
      <c r="E2805" s="4" t="s">
        <v>3</v>
      </c>
      <c r="F2805" s="2" t="str">
        <f t="shared" si="87"/>
        <v>Non-routine cognitive</v>
      </c>
    </row>
    <row r="2806" spans="1:6" ht="42.75" x14ac:dyDescent="0.4">
      <c r="A2806" s="3">
        <v>3143</v>
      </c>
      <c r="B2806" s="3" t="str">
        <f t="shared" si="86"/>
        <v>3</v>
      </c>
      <c r="C2806" s="4" t="s">
        <v>968</v>
      </c>
      <c r="D2806" s="5" t="s">
        <v>3246</v>
      </c>
      <c r="E2806" s="4" t="s">
        <v>3</v>
      </c>
      <c r="F2806" s="2" t="str">
        <f t="shared" si="87"/>
        <v>Non-routine cognitive</v>
      </c>
    </row>
    <row r="2807" spans="1:6" ht="57" x14ac:dyDescent="0.4">
      <c r="A2807" s="3">
        <v>3143</v>
      </c>
      <c r="B2807" s="3" t="str">
        <f t="shared" si="86"/>
        <v>3</v>
      </c>
      <c r="C2807" s="4" t="s">
        <v>968</v>
      </c>
      <c r="D2807" s="5" t="s">
        <v>3247</v>
      </c>
      <c r="E2807" s="4" t="s">
        <v>3</v>
      </c>
      <c r="F2807" s="2" t="str">
        <f t="shared" si="87"/>
        <v>Non-routine cognitive</v>
      </c>
    </row>
    <row r="2808" spans="1:6" ht="28.5" x14ac:dyDescent="0.4">
      <c r="A2808" s="3">
        <v>3143</v>
      </c>
      <c r="B2808" s="3" t="str">
        <f t="shared" si="86"/>
        <v>3</v>
      </c>
      <c r="C2808" s="4" t="s">
        <v>968</v>
      </c>
      <c r="D2808" s="5" t="s">
        <v>3248</v>
      </c>
      <c r="E2808" s="4" t="s">
        <v>3</v>
      </c>
      <c r="F2808" s="2" t="str">
        <f t="shared" si="87"/>
        <v>Non-routine cognitive</v>
      </c>
    </row>
    <row r="2809" spans="1:6" ht="42.75" x14ac:dyDescent="0.4">
      <c r="A2809" s="3">
        <v>3143</v>
      </c>
      <c r="B2809" s="3" t="str">
        <f t="shared" si="86"/>
        <v>3</v>
      </c>
      <c r="C2809" s="4" t="s">
        <v>968</v>
      </c>
      <c r="D2809" s="10" t="s">
        <v>3249</v>
      </c>
      <c r="E2809" s="4" t="s">
        <v>50</v>
      </c>
      <c r="F2809" s="2" t="str">
        <f t="shared" si="87"/>
        <v>Routine cognitive</v>
      </c>
    </row>
    <row r="2810" spans="1:6" x14ac:dyDescent="0.4">
      <c r="A2810" s="3">
        <v>3143</v>
      </c>
      <c r="B2810" s="3" t="str">
        <f t="shared" si="86"/>
        <v>3</v>
      </c>
      <c r="C2810" s="4" t="s">
        <v>968</v>
      </c>
      <c r="D2810" s="7" t="s">
        <v>969</v>
      </c>
      <c r="E2810" s="4" t="s">
        <v>3</v>
      </c>
      <c r="F2810" s="2" t="str">
        <f t="shared" si="87"/>
        <v>Non-routine cognitive</v>
      </c>
    </row>
    <row r="2811" spans="1:6" ht="71.25" x14ac:dyDescent="0.4">
      <c r="A2811" s="3">
        <v>3143</v>
      </c>
      <c r="B2811" s="3" t="str">
        <f t="shared" si="86"/>
        <v>3</v>
      </c>
      <c r="C2811" s="4" t="s">
        <v>968</v>
      </c>
      <c r="D2811" s="5" t="s">
        <v>3250</v>
      </c>
      <c r="E2811" s="4" t="s">
        <v>4</v>
      </c>
      <c r="F2811" s="2" t="str">
        <f t="shared" si="87"/>
        <v>Non-routine cognitive</v>
      </c>
    </row>
    <row r="2812" spans="1:6" x14ac:dyDescent="0.4">
      <c r="A2812" s="3">
        <v>3143</v>
      </c>
      <c r="B2812" s="3" t="str">
        <f t="shared" si="86"/>
        <v>3</v>
      </c>
      <c r="C2812" s="4" t="s">
        <v>968</v>
      </c>
      <c r="D2812" s="6" t="s">
        <v>970</v>
      </c>
      <c r="E2812" s="4" t="s">
        <v>4</v>
      </c>
      <c r="F2812" s="2" t="str">
        <f t="shared" si="87"/>
        <v>Non-routine cognitive</v>
      </c>
    </row>
    <row r="2813" spans="1:6" ht="28.5" x14ac:dyDescent="0.4">
      <c r="A2813" s="3">
        <v>3153</v>
      </c>
      <c r="B2813" s="3" t="str">
        <f t="shared" si="86"/>
        <v>3</v>
      </c>
      <c r="C2813" s="4" t="s">
        <v>971</v>
      </c>
      <c r="D2813" s="10" t="s">
        <v>3251</v>
      </c>
      <c r="E2813" s="4" t="s">
        <v>106</v>
      </c>
      <c r="F2813" s="2" t="str">
        <f t="shared" si="87"/>
        <v>Non-routine manual</v>
      </c>
    </row>
    <row r="2814" spans="1:6" ht="28.5" x14ac:dyDescent="0.4">
      <c r="A2814" s="3">
        <v>3153</v>
      </c>
      <c r="B2814" s="3" t="str">
        <f t="shared" si="86"/>
        <v>3</v>
      </c>
      <c r="C2814" s="4" t="s">
        <v>971</v>
      </c>
      <c r="D2814" s="8" t="s">
        <v>3252</v>
      </c>
      <c r="E2814" s="4" t="s">
        <v>4</v>
      </c>
      <c r="F2814" s="2" t="str">
        <f t="shared" si="87"/>
        <v>Non-routine cognitive</v>
      </c>
    </row>
    <row r="2815" spans="1:6" ht="42.75" x14ac:dyDescent="0.4">
      <c r="A2815" s="3">
        <v>3153</v>
      </c>
      <c r="B2815" s="3" t="str">
        <f t="shared" si="86"/>
        <v>3</v>
      </c>
      <c r="C2815" s="4" t="s">
        <v>971</v>
      </c>
      <c r="D2815" s="5" t="s">
        <v>3253</v>
      </c>
      <c r="E2815" s="4" t="s">
        <v>182</v>
      </c>
      <c r="F2815" s="2" t="str">
        <f t="shared" si="87"/>
        <v>Routine manual</v>
      </c>
    </row>
    <row r="2816" spans="1:6" ht="42.75" x14ac:dyDescent="0.4">
      <c r="A2816" s="3">
        <v>3153</v>
      </c>
      <c r="B2816" s="3" t="str">
        <f t="shared" si="86"/>
        <v>3</v>
      </c>
      <c r="C2816" s="4" t="s">
        <v>971</v>
      </c>
      <c r="D2816" s="5" t="s">
        <v>3254</v>
      </c>
      <c r="E2816" s="4" t="s">
        <v>4</v>
      </c>
      <c r="F2816" s="2" t="str">
        <f t="shared" si="87"/>
        <v>Non-routine cognitive</v>
      </c>
    </row>
    <row r="2817" spans="1:6" ht="42.75" x14ac:dyDescent="0.4">
      <c r="A2817" s="3">
        <v>3153</v>
      </c>
      <c r="B2817" s="3" t="str">
        <f t="shared" si="86"/>
        <v>3</v>
      </c>
      <c r="C2817" s="4" t="s">
        <v>971</v>
      </c>
      <c r="D2817" s="8" t="s">
        <v>3678</v>
      </c>
      <c r="E2817" s="4" t="s">
        <v>50</v>
      </c>
      <c r="F2817" s="2" t="str">
        <f t="shared" si="87"/>
        <v>Routine cognitive</v>
      </c>
    </row>
    <row r="2818" spans="1:6" ht="28.5" x14ac:dyDescent="0.4">
      <c r="A2818" s="3">
        <v>3153</v>
      </c>
      <c r="B2818" s="3" t="str">
        <f t="shared" si="86"/>
        <v>3</v>
      </c>
      <c r="C2818" s="4" t="s">
        <v>971</v>
      </c>
      <c r="D2818" s="8" t="s">
        <v>3255</v>
      </c>
      <c r="E2818" s="4" t="s">
        <v>50</v>
      </c>
      <c r="F2818" s="2" t="str">
        <f t="shared" si="87"/>
        <v>Routine cognitive</v>
      </c>
    </row>
    <row r="2819" spans="1:6" ht="42.75" x14ac:dyDescent="0.4">
      <c r="A2819" s="3">
        <v>3153</v>
      </c>
      <c r="B2819" s="3" t="str">
        <f t="shared" ref="B2819:B2882" si="88">LEFT(A2819,1)</f>
        <v>3</v>
      </c>
      <c r="C2819" s="4" t="s">
        <v>971</v>
      </c>
      <c r="D2819" s="5" t="s">
        <v>3256</v>
      </c>
      <c r="E2819" s="4" t="s">
        <v>50</v>
      </c>
      <c r="F2819" s="2" t="str">
        <f t="shared" ref="F2819:F2882" si="89">IF(E2819="Non-routine interpersonal","Non-routine cognitive",IF(E2819="Non-routine analytical","Non-routine cognitive",IF(E2819="Non-routine manual physical","Non-routine manual",E2819)))</f>
        <v>Routine cognitive</v>
      </c>
    </row>
    <row r="2820" spans="1:6" ht="28.5" x14ac:dyDescent="0.4">
      <c r="A2820" s="3">
        <v>3154</v>
      </c>
      <c r="B2820" s="3" t="str">
        <f t="shared" si="88"/>
        <v>3</v>
      </c>
      <c r="C2820" s="4" t="s">
        <v>972</v>
      </c>
      <c r="D2820" s="8" t="s">
        <v>3257</v>
      </c>
      <c r="E2820" s="4" t="s">
        <v>106</v>
      </c>
      <c r="F2820" s="2" t="str">
        <f t="shared" si="89"/>
        <v>Non-routine manual</v>
      </c>
    </row>
    <row r="2821" spans="1:6" ht="28.5" x14ac:dyDescent="0.4">
      <c r="A2821" s="3">
        <v>3154</v>
      </c>
      <c r="B2821" s="3" t="str">
        <f t="shared" si="88"/>
        <v>3</v>
      </c>
      <c r="C2821" s="4" t="s">
        <v>972</v>
      </c>
      <c r="D2821" s="8" t="s">
        <v>3258</v>
      </c>
      <c r="E2821" s="4" t="s">
        <v>50</v>
      </c>
      <c r="F2821" s="2" t="str">
        <f t="shared" si="89"/>
        <v>Routine cognitive</v>
      </c>
    </row>
    <row r="2822" spans="1:6" x14ac:dyDescent="0.4">
      <c r="A2822" s="3">
        <v>3154</v>
      </c>
      <c r="B2822" s="3" t="str">
        <f t="shared" si="88"/>
        <v>3</v>
      </c>
      <c r="C2822" s="4" t="s">
        <v>972</v>
      </c>
      <c r="D2822" s="6" t="s">
        <v>973</v>
      </c>
      <c r="E2822" s="4" t="s">
        <v>4</v>
      </c>
      <c r="F2822" s="2" t="str">
        <f t="shared" si="89"/>
        <v>Non-routine cognitive</v>
      </c>
    </row>
    <row r="2823" spans="1:6" ht="42.75" x14ac:dyDescent="0.4">
      <c r="A2823" s="3">
        <v>3154</v>
      </c>
      <c r="B2823" s="3" t="str">
        <f t="shared" si="88"/>
        <v>3</v>
      </c>
      <c r="C2823" s="4" t="s">
        <v>972</v>
      </c>
      <c r="D2823" s="5" t="s">
        <v>3259</v>
      </c>
      <c r="E2823" s="4" t="s">
        <v>3</v>
      </c>
      <c r="F2823" s="2" t="str">
        <f t="shared" si="89"/>
        <v>Non-routine cognitive</v>
      </c>
    </row>
    <row r="2824" spans="1:6" ht="57" x14ac:dyDescent="0.4">
      <c r="A2824" s="3">
        <v>3154</v>
      </c>
      <c r="B2824" s="3" t="str">
        <f t="shared" si="88"/>
        <v>3</v>
      </c>
      <c r="C2824" s="4" t="s">
        <v>972</v>
      </c>
      <c r="D2824" s="5" t="s">
        <v>3260</v>
      </c>
      <c r="E2824" s="4" t="s">
        <v>4</v>
      </c>
      <c r="F2824" s="2" t="str">
        <f t="shared" si="89"/>
        <v>Non-routine cognitive</v>
      </c>
    </row>
    <row r="2825" spans="1:6" ht="28.5" x14ac:dyDescent="0.4">
      <c r="A2825" s="3">
        <v>3154</v>
      </c>
      <c r="B2825" s="3" t="str">
        <f t="shared" si="88"/>
        <v>3</v>
      </c>
      <c r="C2825" s="4" t="s">
        <v>972</v>
      </c>
      <c r="D2825" s="8" t="s">
        <v>3261</v>
      </c>
      <c r="E2825" s="4" t="s">
        <v>106</v>
      </c>
      <c r="F2825" s="2" t="str">
        <f t="shared" si="89"/>
        <v>Non-routine manual</v>
      </c>
    </row>
    <row r="2826" spans="1:6" ht="28.5" x14ac:dyDescent="0.4">
      <c r="A2826" s="3">
        <v>3154</v>
      </c>
      <c r="B2826" s="3" t="str">
        <f t="shared" si="88"/>
        <v>3</v>
      </c>
      <c r="C2826" s="4" t="s">
        <v>972</v>
      </c>
      <c r="D2826" s="6" t="s">
        <v>974</v>
      </c>
      <c r="E2826" s="4" t="s">
        <v>3</v>
      </c>
      <c r="F2826" s="2" t="str">
        <f t="shared" si="89"/>
        <v>Non-routine cognitive</v>
      </c>
    </row>
    <row r="2827" spans="1:6" ht="42.75" x14ac:dyDescent="0.4">
      <c r="A2827" s="3">
        <v>3154</v>
      </c>
      <c r="B2827" s="3" t="str">
        <f t="shared" si="88"/>
        <v>3</v>
      </c>
      <c r="C2827" s="4" t="s">
        <v>972</v>
      </c>
      <c r="D2827" s="8" t="s">
        <v>3262</v>
      </c>
      <c r="E2827" s="4" t="s">
        <v>50</v>
      </c>
      <c r="F2827" s="2" t="str">
        <f t="shared" si="89"/>
        <v>Routine cognitive</v>
      </c>
    </row>
    <row r="2828" spans="1:6" ht="42.75" x14ac:dyDescent="0.4">
      <c r="A2828" s="3">
        <v>3155</v>
      </c>
      <c r="B2828" s="3" t="str">
        <f t="shared" si="88"/>
        <v>3</v>
      </c>
      <c r="C2828" s="4" t="s">
        <v>975</v>
      </c>
      <c r="D2828" s="5" t="s">
        <v>3263</v>
      </c>
      <c r="E2828" s="4" t="s">
        <v>50</v>
      </c>
      <c r="F2828" s="2" t="str">
        <f t="shared" si="89"/>
        <v>Routine cognitive</v>
      </c>
    </row>
    <row r="2829" spans="1:6" ht="42.75" x14ac:dyDescent="0.4">
      <c r="A2829" s="3">
        <v>3155</v>
      </c>
      <c r="B2829" s="3" t="str">
        <f t="shared" si="88"/>
        <v>3</v>
      </c>
      <c r="C2829" s="4" t="s">
        <v>975</v>
      </c>
      <c r="D2829" s="8" t="s">
        <v>3264</v>
      </c>
      <c r="E2829" s="4" t="s">
        <v>50</v>
      </c>
      <c r="F2829" s="2" t="str">
        <f t="shared" si="89"/>
        <v>Routine cognitive</v>
      </c>
    </row>
    <row r="2830" spans="1:6" ht="42.75" x14ac:dyDescent="0.4">
      <c r="A2830" s="3">
        <v>3155</v>
      </c>
      <c r="B2830" s="3" t="str">
        <f t="shared" si="88"/>
        <v>3</v>
      </c>
      <c r="C2830" s="4" t="s">
        <v>975</v>
      </c>
      <c r="D2830" s="8" t="s">
        <v>3265</v>
      </c>
      <c r="E2830" s="4" t="s">
        <v>4</v>
      </c>
      <c r="F2830" s="2" t="str">
        <f t="shared" si="89"/>
        <v>Non-routine cognitive</v>
      </c>
    </row>
    <row r="2831" spans="1:6" ht="57" x14ac:dyDescent="0.4">
      <c r="A2831" s="3">
        <v>3155</v>
      </c>
      <c r="B2831" s="3" t="str">
        <f t="shared" si="88"/>
        <v>3</v>
      </c>
      <c r="C2831" s="4" t="s">
        <v>975</v>
      </c>
      <c r="D2831" s="5" t="s">
        <v>3266</v>
      </c>
      <c r="E2831" s="4" t="s">
        <v>3</v>
      </c>
      <c r="F2831" s="2" t="str">
        <f t="shared" si="89"/>
        <v>Non-routine cognitive</v>
      </c>
    </row>
    <row r="2832" spans="1:6" ht="42.75" x14ac:dyDescent="0.4">
      <c r="A2832" s="3">
        <v>3155</v>
      </c>
      <c r="B2832" s="3" t="str">
        <f t="shared" si="88"/>
        <v>3</v>
      </c>
      <c r="C2832" s="4" t="s">
        <v>975</v>
      </c>
      <c r="D2832" s="8" t="s">
        <v>3267</v>
      </c>
      <c r="E2832" s="4" t="s">
        <v>4</v>
      </c>
      <c r="F2832" s="2" t="str">
        <f t="shared" si="89"/>
        <v>Non-routine cognitive</v>
      </c>
    </row>
    <row r="2833" spans="1:6" ht="28.5" x14ac:dyDescent="0.4">
      <c r="A2833" s="3">
        <v>3155</v>
      </c>
      <c r="B2833" s="3" t="str">
        <f t="shared" si="88"/>
        <v>3</v>
      </c>
      <c r="C2833" s="4" t="s">
        <v>975</v>
      </c>
      <c r="D2833" s="6" t="s">
        <v>976</v>
      </c>
      <c r="E2833" s="4" t="s">
        <v>4</v>
      </c>
      <c r="F2833" s="2" t="str">
        <f t="shared" si="89"/>
        <v>Non-routine cognitive</v>
      </c>
    </row>
    <row r="2834" spans="1:6" ht="71.25" x14ac:dyDescent="0.4">
      <c r="A2834" s="3">
        <v>3155</v>
      </c>
      <c r="B2834" s="3" t="str">
        <f t="shared" si="88"/>
        <v>3</v>
      </c>
      <c r="C2834" s="4" t="s">
        <v>975</v>
      </c>
      <c r="D2834" s="5" t="s">
        <v>3268</v>
      </c>
      <c r="E2834" s="4" t="s">
        <v>4</v>
      </c>
      <c r="F2834" s="2" t="str">
        <f t="shared" si="89"/>
        <v>Non-routine cognitive</v>
      </c>
    </row>
    <row r="2835" spans="1:6" ht="71.25" x14ac:dyDescent="0.4">
      <c r="A2835" s="3">
        <v>3155</v>
      </c>
      <c r="B2835" s="3" t="str">
        <f t="shared" si="88"/>
        <v>3</v>
      </c>
      <c r="C2835" s="4" t="s">
        <v>975</v>
      </c>
      <c r="D2835" s="5" t="s">
        <v>3269</v>
      </c>
      <c r="E2835" s="4" t="s">
        <v>50</v>
      </c>
      <c r="F2835" s="2" t="str">
        <f t="shared" si="89"/>
        <v>Routine cognitive</v>
      </c>
    </row>
    <row r="2836" spans="1:6" ht="28.5" x14ac:dyDescent="0.4">
      <c r="A2836" s="3">
        <v>3155</v>
      </c>
      <c r="B2836" s="3" t="str">
        <f t="shared" si="88"/>
        <v>3</v>
      </c>
      <c r="C2836" s="4" t="s">
        <v>975</v>
      </c>
      <c r="D2836" s="8" t="s">
        <v>3270</v>
      </c>
      <c r="E2836" s="4" t="s">
        <v>3</v>
      </c>
      <c r="F2836" s="2" t="str">
        <f t="shared" si="89"/>
        <v>Non-routine cognitive</v>
      </c>
    </row>
    <row r="2837" spans="1:6" ht="42.75" x14ac:dyDescent="0.4">
      <c r="A2837" s="3">
        <v>3211</v>
      </c>
      <c r="B2837" s="3" t="str">
        <f t="shared" si="88"/>
        <v>3</v>
      </c>
      <c r="C2837" s="4" t="s">
        <v>977</v>
      </c>
      <c r="D2837" s="5" t="s">
        <v>3271</v>
      </c>
      <c r="E2837" s="4" t="s">
        <v>3</v>
      </c>
      <c r="F2837" s="2" t="str">
        <f t="shared" si="89"/>
        <v>Non-routine cognitive</v>
      </c>
    </row>
    <row r="2838" spans="1:6" ht="57" x14ac:dyDescent="0.4">
      <c r="A2838" s="3">
        <v>3211</v>
      </c>
      <c r="B2838" s="3" t="str">
        <f t="shared" si="88"/>
        <v>3</v>
      </c>
      <c r="C2838" s="4" t="s">
        <v>977</v>
      </c>
      <c r="D2838" s="5" t="s">
        <v>3272</v>
      </c>
      <c r="E2838" s="4" t="s">
        <v>3</v>
      </c>
      <c r="F2838" s="2" t="str">
        <f t="shared" si="89"/>
        <v>Non-routine cognitive</v>
      </c>
    </row>
    <row r="2839" spans="1:6" ht="57" x14ac:dyDescent="0.4">
      <c r="A2839" s="3">
        <v>3211</v>
      </c>
      <c r="B2839" s="3" t="str">
        <f t="shared" si="88"/>
        <v>3</v>
      </c>
      <c r="C2839" s="4" t="s">
        <v>977</v>
      </c>
      <c r="D2839" s="5" t="s">
        <v>3273</v>
      </c>
      <c r="E2839" s="4" t="s">
        <v>50</v>
      </c>
      <c r="F2839" s="2" t="str">
        <f t="shared" si="89"/>
        <v>Routine cognitive</v>
      </c>
    </row>
    <row r="2840" spans="1:6" ht="57" x14ac:dyDescent="0.4">
      <c r="A2840" s="3">
        <v>3211</v>
      </c>
      <c r="B2840" s="3" t="str">
        <f t="shared" si="88"/>
        <v>3</v>
      </c>
      <c r="C2840" s="4" t="s">
        <v>977</v>
      </c>
      <c r="D2840" s="5" t="s">
        <v>3274</v>
      </c>
      <c r="E2840" s="4" t="s">
        <v>4</v>
      </c>
      <c r="F2840" s="2" t="str">
        <f t="shared" si="89"/>
        <v>Non-routine cognitive</v>
      </c>
    </row>
    <row r="2841" spans="1:6" ht="28.5" x14ac:dyDescent="0.4">
      <c r="A2841" s="3">
        <v>3211</v>
      </c>
      <c r="B2841" s="3" t="str">
        <f t="shared" si="88"/>
        <v>3</v>
      </c>
      <c r="C2841" s="4" t="s">
        <v>977</v>
      </c>
      <c r="D2841" s="8" t="s">
        <v>3275</v>
      </c>
      <c r="E2841" s="4" t="s">
        <v>50</v>
      </c>
      <c r="F2841" s="2" t="str">
        <f t="shared" si="89"/>
        <v>Routine cognitive</v>
      </c>
    </row>
    <row r="2842" spans="1:6" ht="57" x14ac:dyDescent="0.4">
      <c r="A2842" s="3">
        <v>3211</v>
      </c>
      <c r="B2842" s="3" t="str">
        <f t="shared" si="88"/>
        <v>3</v>
      </c>
      <c r="C2842" s="4" t="s">
        <v>977</v>
      </c>
      <c r="D2842" s="5" t="s">
        <v>3276</v>
      </c>
      <c r="E2842" s="4" t="s">
        <v>4</v>
      </c>
      <c r="F2842" s="2" t="str">
        <f t="shared" si="89"/>
        <v>Non-routine cognitive</v>
      </c>
    </row>
    <row r="2843" spans="1:6" ht="57" x14ac:dyDescent="0.4">
      <c r="A2843" s="3">
        <v>3211</v>
      </c>
      <c r="B2843" s="3" t="str">
        <f t="shared" si="88"/>
        <v>3</v>
      </c>
      <c r="C2843" s="4" t="s">
        <v>977</v>
      </c>
      <c r="D2843" s="5" t="s">
        <v>3277</v>
      </c>
      <c r="E2843" s="4" t="s">
        <v>50</v>
      </c>
      <c r="F2843" s="2" t="str">
        <f t="shared" si="89"/>
        <v>Routine cognitive</v>
      </c>
    </row>
    <row r="2844" spans="1:6" ht="28.5" x14ac:dyDescent="0.4">
      <c r="A2844" s="3">
        <v>3211</v>
      </c>
      <c r="B2844" s="3" t="str">
        <f t="shared" si="88"/>
        <v>3</v>
      </c>
      <c r="C2844" s="4" t="s">
        <v>977</v>
      </c>
      <c r="D2844" s="5" t="s">
        <v>3278</v>
      </c>
      <c r="E2844" s="4" t="s">
        <v>50</v>
      </c>
      <c r="F2844" s="2" t="str">
        <f t="shared" si="89"/>
        <v>Routine cognitive</v>
      </c>
    </row>
    <row r="2845" spans="1:6" ht="57" x14ac:dyDescent="0.4">
      <c r="A2845" s="3">
        <v>3221</v>
      </c>
      <c r="B2845" s="3" t="str">
        <f t="shared" si="88"/>
        <v>3</v>
      </c>
      <c r="C2845" s="4" t="s">
        <v>978</v>
      </c>
      <c r="D2845" s="5" t="s">
        <v>3279</v>
      </c>
      <c r="E2845" s="4" t="s">
        <v>50</v>
      </c>
      <c r="F2845" s="2" t="str">
        <f t="shared" si="89"/>
        <v>Routine cognitive</v>
      </c>
    </row>
    <row r="2846" spans="1:6" ht="57" x14ac:dyDescent="0.4">
      <c r="A2846" s="3">
        <v>3221</v>
      </c>
      <c r="B2846" s="3" t="str">
        <f t="shared" si="88"/>
        <v>3</v>
      </c>
      <c r="C2846" s="4" t="s">
        <v>978</v>
      </c>
      <c r="D2846" s="5" t="s">
        <v>3280</v>
      </c>
      <c r="E2846" s="4" t="s">
        <v>50</v>
      </c>
      <c r="F2846" s="2" t="str">
        <f t="shared" si="89"/>
        <v>Routine cognitive</v>
      </c>
    </row>
    <row r="2847" spans="1:6" ht="28.5" x14ac:dyDescent="0.4">
      <c r="A2847" s="3">
        <v>3221</v>
      </c>
      <c r="B2847" s="3" t="str">
        <f t="shared" si="88"/>
        <v>3</v>
      </c>
      <c r="C2847" s="4" t="s">
        <v>978</v>
      </c>
      <c r="D2847" s="6" t="s">
        <v>979</v>
      </c>
      <c r="E2847" s="4" t="s">
        <v>106</v>
      </c>
      <c r="F2847" s="2" t="str">
        <f t="shared" si="89"/>
        <v>Non-routine manual</v>
      </c>
    </row>
    <row r="2848" spans="1:6" ht="42.75" x14ac:dyDescent="0.4">
      <c r="A2848" s="3">
        <v>3221</v>
      </c>
      <c r="B2848" s="3" t="str">
        <f t="shared" si="88"/>
        <v>3</v>
      </c>
      <c r="C2848" s="4" t="s">
        <v>978</v>
      </c>
      <c r="D2848" s="5" t="s">
        <v>3281</v>
      </c>
      <c r="E2848" s="4" t="s">
        <v>50</v>
      </c>
      <c r="F2848" s="2" t="str">
        <f t="shared" si="89"/>
        <v>Routine cognitive</v>
      </c>
    </row>
    <row r="2849" spans="1:6" x14ac:dyDescent="0.4">
      <c r="A2849" s="3">
        <v>3221</v>
      </c>
      <c r="B2849" s="3" t="str">
        <f t="shared" si="88"/>
        <v>3</v>
      </c>
      <c r="C2849" s="4" t="s">
        <v>978</v>
      </c>
      <c r="D2849" s="6" t="s">
        <v>980</v>
      </c>
      <c r="E2849" s="4" t="s">
        <v>3</v>
      </c>
      <c r="F2849" s="2" t="str">
        <f t="shared" si="89"/>
        <v>Non-routine cognitive</v>
      </c>
    </row>
    <row r="2850" spans="1:6" ht="28.5" x14ac:dyDescent="0.4">
      <c r="A2850" s="3">
        <v>3221</v>
      </c>
      <c r="B2850" s="3" t="str">
        <f t="shared" si="88"/>
        <v>3</v>
      </c>
      <c r="C2850" s="4" t="s">
        <v>978</v>
      </c>
      <c r="D2850" s="6" t="s">
        <v>981</v>
      </c>
      <c r="E2850" s="4" t="s">
        <v>106</v>
      </c>
      <c r="F2850" s="2" t="str">
        <f t="shared" si="89"/>
        <v>Non-routine manual</v>
      </c>
    </row>
    <row r="2851" spans="1:6" ht="57" x14ac:dyDescent="0.4">
      <c r="A2851" s="3">
        <v>3222</v>
      </c>
      <c r="B2851" s="3" t="str">
        <f t="shared" si="88"/>
        <v>3</v>
      </c>
      <c r="C2851" s="4" t="s">
        <v>982</v>
      </c>
      <c r="D2851" s="5" t="s">
        <v>3282</v>
      </c>
      <c r="E2851" s="4" t="s">
        <v>4</v>
      </c>
      <c r="F2851" s="2" t="str">
        <f t="shared" si="89"/>
        <v>Non-routine cognitive</v>
      </c>
    </row>
    <row r="2852" spans="1:6" ht="42.75" x14ac:dyDescent="0.4">
      <c r="A2852" s="3">
        <v>3222</v>
      </c>
      <c r="B2852" s="3" t="str">
        <f t="shared" si="88"/>
        <v>3</v>
      </c>
      <c r="C2852" s="4" t="s">
        <v>982</v>
      </c>
      <c r="D2852" s="5" t="s">
        <v>3283</v>
      </c>
      <c r="E2852" s="4" t="s">
        <v>50</v>
      </c>
      <c r="F2852" s="2" t="str">
        <f t="shared" si="89"/>
        <v>Routine cognitive</v>
      </c>
    </row>
    <row r="2853" spans="1:6" ht="57" x14ac:dyDescent="0.4">
      <c r="A2853" s="3">
        <v>3222</v>
      </c>
      <c r="B2853" s="3" t="str">
        <f t="shared" si="88"/>
        <v>3</v>
      </c>
      <c r="C2853" s="4" t="s">
        <v>982</v>
      </c>
      <c r="D2853" s="5" t="s">
        <v>3284</v>
      </c>
      <c r="E2853" s="4" t="s">
        <v>106</v>
      </c>
      <c r="F2853" s="2" t="str">
        <f t="shared" si="89"/>
        <v>Non-routine manual</v>
      </c>
    </row>
    <row r="2854" spans="1:6" ht="57" x14ac:dyDescent="0.4">
      <c r="A2854" s="3">
        <v>3222</v>
      </c>
      <c r="B2854" s="3" t="str">
        <f t="shared" si="88"/>
        <v>3</v>
      </c>
      <c r="C2854" s="4" t="s">
        <v>982</v>
      </c>
      <c r="D2854" s="5" t="s">
        <v>3285</v>
      </c>
      <c r="E2854" s="4" t="s">
        <v>50</v>
      </c>
      <c r="F2854" s="2" t="str">
        <f t="shared" si="89"/>
        <v>Routine cognitive</v>
      </c>
    </row>
    <row r="2855" spans="1:6" ht="42.75" x14ac:dyDescent="0.4">
      <c r="A2855" s="3">
        <v>3230</v>
      </c>
      <c r="B2855" s="3" t="str">
        <f t="shared" si="88"/>
        <v>3</v>
      </c>
      <c r="C2855" s="4" t="s">
        <v>983</v>
      </c>
      <c r="D2855" s="5" t="s">
        <v>3286</v>
      </c>
      <c r="E2855" s="4" t="s">
        <v>3</v>
      </c>
      <c r="F2855" s="2" t="str">
        <f t="shared" si="89"/>
        <v>Non-routine cognitive</v>
      </c>
    </row>
    <row r="2856" spans="1:6" ht="71.25" x14ac:dyDescent="0.4">
      <c r="A2856" s="3">
        <v>3230</v>
      </c>
      <c r="B2856" s="3" t="str">
        <f t="shared" si="88"/>
        <v>3</v>
      </c>
      <c r="C2856" s="4" t="s">
        <v>983</v>
      </c>
      <c r="D2856" s="5" t="s">
        <v>3287</v>
      </c>
      <c r="E2856" s="4" t="s">
        <v>4</v>
      </c>
      <c r="F2856" s="2" t="str">
        <f t="shared" si="89"/>
        <v>Non-routine cognitive</v>
      </c>
    </row>
    <row r="2857" spans="1:6" ht="57" x14ac:dyDescent="0.4">
      <c r="A2857" s="3">
        <v>3230</v>
      </c>
      <c r="B2857" s="3" t="str">
        <f t="shared" si="88"/>
        <v>3</v>
      </c>
      <c r="C2857" s="4" t="s">
        <v>983</v>
      </c>
      <c r="D2857" s="5" t="s">
        <v>3288</v>
      </c>
      <c r="E2857" s="4" t="s">
        <v>50</v>
      </c>
      <c r="F2857" s="2" t="str">
        <f t="shared" si="89"/>
        <v>Routine cognitive</v>
      </c>
    </row>
    <row r="2858" spans="1:6" ht="57" x14ac:dyDescent="0.4">
      <c r="A2858" s="3">
        <v>3230</v>
      </c>
      <c r="B2858" s="3" t="str">
        <f t="shared" si="88"/>
        <v>3</v>
      </c>
      <c r="C2858" s="4" t="s">
        <v>983</v>
      </c>
      <c r="D2858" s="5" t="s">
        <v>3289</v>
      </c>
      <c r="E2858" s="4" t="s">
        <v>106</v>
      </c>
      <c r="F2858" s="2" t="str">
        <f t="shared" si="89"/>
        <v>Non-routine manual</v>
      </c>
    </row>
    <row r="2859" spans="1:6" ht="42.75" x14ac:dyDescent="0.4">
      <c r="A2859" s="3">
        <v>3230</v>
      </c>
      <c r="B2859" s="3" t="str">
        <f t="shared" si="88"/>
        <v>3</v>
      </c>
      <c r="C2859" s="4" t="s">
        <v>983</v>
      </c>
      <c r="D2859" s="8" t="s">
        <v>3290</v>
      </c>
      <c r="E2859" s="4" t="s">
        <v>4</v>
      </c>
      <c r="F2859" s="2" t="str">
        <f t="shared" si="89"/>
        <v>Non-routine cognitive</v>
      </c>
    </row>
    <row r="2860" spans="1:6" ht="42.75" x14ac:dyDescent="0.4">
      <c r="A2860" s="3">
        <v>3230</v>
      </c>
      <c r="B2860" s="3" t="str">
        <f t="shared" si="88"/>
        <v>3</v>
      </c>
      <c r="C2860" s="4" t="s">
        <v>983</v>
      </c>
      <c r="D2860" s="8" t="s">
        <v>3291</v>
      </c>
      <c r="E2860" s="4" t="s">
        <v>3</v>
      </c>
      <c r="F2860" s="2" t="str">
        <f t="shared" si="89"/>
        <v>Non-routine cognitive</v>
      </c>
    </row>
    <row r="2861" spans="1:6" ht="28.5" x14ac:dyDescent="0.4">
      <c r="A2861" s="3">
        <v>3256</v>
      </c>
      <c r="B2861" s="3" t="str">
        <f t="shared" si="88"/>
        <v>3</v>
      </c>
      <c r="C2861" s="4" t="s">
        <v>984</v>
      </c>
      <c r="D2861" s="6" t="s">
        <v>3679</v>
      </c>
      <c r="E2861" s="4" t="s">
        <v>3</v>
      </c>
      <c r="F2861" s="2" t="str">
        <f t="shared" si="89"/>
        <v>Non-routine cognitive</v>
      </c>
    </row>
    <row r="2862" spans="1:6" ht="71.25" x14ac:dyDescent="0.4">
      <c r="A2862" s="3">
        <v>3256</v>
      </c>
      <c r="B2862" s="3" t="str">
        <f t="shared" si="88"/>
        <v>3</v>
      </c>
      <c r="C2862" s="4" t="s">
        <v>984</v>
      </c>
      <c r="D2862" s="5" t="s">
        <v>3292</v>
      </c>
      <c r="E2862" s="4" t="s">
        <v>50</v>
      </c>
      <c r="F2862" s="2" t="str">
        <f t="shared" si="89"/>
        <v>Routine cognitive</v>
      </c>
    </row>
    <row r="2863" spans="1:6" ht="42.75" x14ac:dyDescent="0.4">
      <c r="A2863" s="3">
        <v>3256</v>
      </c>
      <c r="B2863" s="3" t="str">
        <f t="shared" si="88"/>
        <v>3</v>
      </c>
      <c r="C2863" s="4" t="s">
        <v>984</v>
      </c>
      <c r="D2863" s="5" t="s">
        <v>3293</v>
      </c>
      <c r="E2863" s="4" t="s">
        <v>3</v>
      </c>
      <c r="F2863" s="2" t="str">
        <f t="shared" si="89"/>
        <v>Non-routine cognitive</v>
      </c>
    </row>
    <row r="2864" spans="1:6" ht="57" x14ac:dyDescent="0.4">
      <c r="A2864" s="3">
        <v>3256</v>
      </c>
      <c r="B2864" s="3" t="str">
        <f t="shared" si="88"/>
        <v>3</v>
      </c>
      <c r="C2864" s="4" t="s">
        <v>984</v>
      </c>
      <c r="D2864" s="5" t="s">
        <v>3294</v>
      </c>
      <c r="E2864" s="4" t="s">
        <v>50</v>
      </c>
      <c r="F2864" s="2" t="str">
        <f t="shared" si="89"/>
        <v>Routine cognitive</v>
      </c>
    </row>
    <row r="2865" spans="1:6" ht="42.75" x14ac:dyDescent="0.4">
      <c r="A2865" s="3">
        <v>3256</v>
      </c>
      <c r="B2865" s="3" t="str">
        <f t="shared" si="88"/>
        <v>3</v>
      </c>
      <c r="C2865" s="4" t="s">
        <v>984</v>
      </c>
      <c r="D2865" s="5" t="s">
        <v>3295</v>
      </c>
      <c r="E2865" s="4" t="s">
        <v>50</v>
      </c>
      <c r="F2865" s="2" t="str">
        <f t="shared" si="89"/>
        <v>Routine cognitive</v>
      </c>
    </row>
    <row r="2866" spans="1:6" ht="42.75" x14ac:dyDescent="0.4">
      <c r="A2866" s="3">
        <v>3256</v>
      </c>
      <c r="B2866" s="3" t="str">
        <f t="shared" si="88"/>
        <v>3</v>
      </c>
      <c r="C2866" s="4" t="s">
        <v>984</v>
      </c>
      <c r="D2866" s="5" t="s">
        <v>3296</v>
      </c>
      <c r="E2866" s="4" t="s">
        <v>50</v>
      </c>
      <c r="F2866" s="2" t="str">
        <f t="shared" si="89"/>
        <v>Routine cognitive</v>
      </c>
    </row>
    <row r="2867" spans="1:6" ht="28.5" x14ac:dyDescent="0.4">
      <c r="A2867" s="3">
        <v>3256</v>
      </c>
      <c r="B2867" s="3" t="str">
        <f t="shared" si="88"/>
        <v>3</v>
      </c>
      <c r="C2867" s="4" t="s">
        <v>984</v>
      </c>
      <c r="D2867" s="8" t="s">
        <v>3297</v>
      </c>
      <c r="E2867" s="4" t="s">
        <v>50</v>
      </c>
      <c r="F2867" s="2" t="str">
        <f t="shared" si="89"/>
        <v>Routine cognitive</v>
      </c>
    </row>
    <row r="2868" spans="1:6" ht="28.5" x14ac:dyDescent="0.4">
      <c r="A2868" s="3">
        <v>3256</v>
      </c>
      <c r="B2868" s="3" t="str">
        <f t="shared" si="88"/>
        <v>3</v>
      </c>
      <c r="C2868" s="4" t="s">
        <v>984</v>
      </c>
      <c r="D2868" s="8" t="s">
        <v>3298</v>
      </c>
      <c r="E2868" s="4" t="s">
        <v>50</v>
      </c>
      <c r="F2868" s="2" t="str">
        <f t="shared" si="89"/>
        <v>Routine cognitive</v>
      </c>
    </row>
    <row r="2869" spans="1:6" ht="42.75" x14ac:dyDescent="0.4">
      <c r="A2869" s="3">
        <v>3256</v>
      </c>
      <c r="B2869" s="3" t="str">
        <f t="shared" si="88"/>
        <v>3</v>
      </c>
      <c r="C2869" s="4" t="s">
        <v>984</v>
      </c>
      <c r="D2869" s="5" t="s">
        <v>3680</v>
      </c>
      <c r="E2869" s="4" t="s">
        <v>50</v>
      </c>
      <c r="F2869" s="2" t="str">
        <f t="shared" si="89"/>
        <v>Routine cognitive</v>
      </c>
    </row>
    <row r="2870" spans="1:6" ht="42.75" x14ac:dyDescent="0.4">
      <c r="A2870" s="3">
        <v>3256</v>
      </c>
      <c r="B2870" s="3" t="str">
        <f t="shared" si="88"/>
        <v>3</v>
      </c>
      <c r="C2870" s="4" t="s">
        <v>984</v>
      </c>
      <c r="D2870" s="8" t="s">
        <v>3299</v>
      </c>
      <c r="E2870" s="4" t="s">
        <v>50</v>
      </c>
      <c r="F2870" s="2" t="str">
        <f t="shared" si="89"/>
        <v>Routine cognitive</v>
      </c>
    </row>
    <row r="2871" spans="1:6" ht="57" x14ac:dyDescent="0.4">
      <c r="A2871" s="3">
        <v>3258</v>
      </c>
      <c r="B2871" s="3" t="str">
        <f t="shared" si="88"/>
        <v>3</v>
      </c>
      <c r="C2871" s="4" t="s">
        <v>985</v>
      </c>
      <c r="D2871" s="5" t="s">
        <v>3300</v>
      </c>
      <c r="E2871" s="4" t="s">
        <v>50</v>
      </c>
      <c r="F2871" s="2" t="str">
        <f t="shared" si="89"/>
        <v>Routine cognitive</v>
      </c>
    </row>
    <row r="2872" spans="1:6" ht="57" x14ac:dyDescent="0.4">
      <c r="A2872" s="3">
        <v>3258</v>
      </c>
      <c r="B2872" s="3" t="str">
        <f t="shared" si="88"/>
        <v>3</v>
      </c>
      <c r="C2872" s="4" t="s">
        <v>985</v>
      </c>
      <c r="D2872" s="5" t="s">
        <v>3301</v>
      </c>
      <c r="E2872" s="4" t="s">
        <v>3</v>
      </c>
      <c r="F2872" s="2" t="str">
        <f t="shared" si="89"/>
        <v>Non-routine cognitive</v>
      </c>
    </row>
    <row r="2873" spans="1:6" ht="42.75" x14ac:dyDescent="0.4">
      <c r="A2873" s="3">
        <v>3258</v>
      </c>
      <c r="B2873" s="3" t="str">
        <f t="shared" si="88"/>
        <v>3</v>
      </c>
      <c r="C2873" s="4" t="s">
        <v>985</v>
      </c>
      <c r="D2873" s="5" t="s">
        <v>3302</v>
      </c>
      <c r="E2873" s="4" t="s">
        <v>50</v>
      </c>
      <c r="F2873" s="2" t="str">
        <f t="shared" si="89"/>
        <v>Routine cognitive</v>
      </c>
    </row>
    <row r="2874" spans="1:6" ht="42.75" x14ac:dyDescent="0.4">
      <c r="A2874" s="3">
        <v>3258</v>
      </c>
      <c r="B2874" s="3" t="str">
        <f t="shared" si="88"/>
        <v>3</v>
      </c>
      <c r="C2874" s="4" t="s">
        <v>985</v>
      </c>
      <c r="D2874" s="5" t="s">
        <v>3303</v>
      </c>
      <c r="E2874" s="4" t="s">
        <v>3</v>
      </c>
      <c r="F2874" s="2" t="str">
        <f t="shared" si="89"/>
        <v>Non-routine cognitive</v>
      </c>
    </row>
    <row r="2875" spans="1:6" ht="42.75" x14ac:dyDescent="0.4">
      <c r="A2875" s="3">
        <v>3258</v>
      </c>
      <c r="B2875" s="3" t="str">
        <f t="shared" si="88"/>
        <v>3</v>
      </c>
      <c r="C2875" s="4" t="s">
        <v>985</v>
      </c>
      <c r="D2875" s="5" t="s">
        <v>3304</v>
      </c>
      <c r="E2875" s="4" t="s">
        <v>106</v>
      </c>
      <c r="F2875" s="2" t="str">
        <f t="shared" si="89"/>
        <v>Non-routine manual</v>
      </c>
    </row>
    <row r="2876" spans="1:6" ht="42.75" x14ac:dyDescent="0.4">
      <c r="A2876" s="3">
        <v>3258</v>
      </c>
      <c r="B2876" s="3" t="str">
        <f t="shared" si="88"/>
        <v>3</v>
      </c>
      <c r="C2876" s="4" t="s">
        <v>985</v>
      </c>
      <c r="D2876" s="5" t="s">
        <v>3305</v>
      </c>
      <c r="E2876" s="4" t="s">
        <v>50</v>
      </c>
      <c r="F2876" s="2" t="str">
        <f t="shared" si="89"/>
        <v>Routine cognitive</v>
      </c>
    </row>
    <row r="2877" spans="1:6" ht="42.75" x14ac:dyDescent="0.4">
      <c r="A2877" s="3">
        <v>3259</v>
      </c>
      <c r="B2877" s="3" t="str">
        <f t="shared" si="88"/>
        <v>3</v>
      </c>
      <c r="C2877" s="4" t="s">
        <v>986</v>
      </c>
      <c r="D2877" s="5" t="s">
        <v>3306</v>
      </c>
      <c r="E2877" s="4" t="s">
        <v>3</v>
      </c>
      <c r="F2877" s="2" t="str">
        <f t="shared" si="89"/>
        <v>Non-routine cognitive</v>
      </c>
    </row>
    <row r="2878" spans="1:6" ht="57" x14ac:dyDescent="0.4">
      <c r="A2878" s="3">
        <v>3259</v>
      </c>
      <c r="B2878" s="3" t="str">
        <f t="shared" si="88"/>
        <v>3</v>
      </c>
      <c r="C2878" s="4" t="s">
        <v>986</v>
      </c>
      <c r="D2878" s="8" t="s">
        <v>3307</v>
      </c>
      <c r="E2878" s="4" t="s">
        <v>3</v>
      </c>
      <c r="F2878" s="2" t="str">
        <f t="shared" si="89"/>
        <v>Non-routine cognitive</v>
      </c>
    </row>
    <row r="2879" spans="1:6" ht="28.5" x14ac:dyDescent="0.4">
      <c r="A2879" s="3">
        <v>3259</v>
      </c>
      <c r="B2879" s="3" t="str">
        <f t="shared" si="88"/>
        <v>3</v>
      </c>
      <c r="C2879" s="4" t="s">
        <v>986</v>
      </c>
      <c r="D2879" s="6" t="s">
        <v>987</v>
      </c>
      <c r="E2879" s="4" t="s">
        <v>50</v>
      </c>
      <c r="F2879" s="2" t="str">
        <f t="shared" si="89"/>
        <v>Routine cognitive</v>
      </c>
    </row>
    <row r="2880" spans="1:6" ht="28.5" x14ac:dyDescent="0.4">
      <c r="A2880" s="3">
        <v>3259</v>
      </c>
      <c r="B2880" s="3" t="str">
        <f t="shared" si="88"/>
        <v>3</v>
      </c>
      <c r="C2880" s="4" t="s">
        <v>986</v>
      </c>
      <c r="D2880" s="4" t="s">
        <v>988</v>
      </c>
      <c r="E2880" s="4" t="s">
        <v>50</v>
      </c>
      <c r="F2880" s="2" t="str">
        <f t="shared" si="89"/>
        <v>Routine cognitive</v>
      </c>
    </row>
    <row r="2881" spans="1:6" ht="28.5" x14ac:dyDescent="0.4">
      <c r="A2881" s="3">
        <v>3259</v>
      </c>
      <c r="B2881" s="3" t="str">
        <f t="shared" si="88"/>
        <v>3</v>
      </c>
      <c r="C2881" s="4" t="s">
        <v>986</v>
      </c>
      <c r="D2881" s="5" t="s">
        <v>3308</v>
      </c>
      <c r="E2881" s="4" t="s">
        <v>50</v>
      </c>
      <c r="F2881" s="2" t="str">
        <f t="shared" si="89"/>
        <v>Routine cognitive</v>
      </c>
    </row>
    <row r="2882" spans="1:6" ht="42.75" x14ac:dyDescent="0.4">
      <c r="A2882" s="3">
        <v>3259</v>
      </c>
      <c r="B2882" s="3" t="str">
        <f t="shared" si="88"/>
        <v>3</v>
      </c>
      <c r="C2882" s="4" t="s">
        <v>986</v>
      </c>
      <c r="D2882" s="5" t="s">
        <v>3309</v>
      </c>
      <c r="E2882" s="4" t="s">
        <v>50</v>
      </c>
      <c r="F2882" s="2" t="str">
        <f t="shared" si="89"/>
        <v>Routine cognitive</v>
      </c>
    </row>
    <row r="2883" spans="1:6" ht="42.75" x14ac:dyDescent="0.4">
      <c r="A2883" s="3">
        <v>3259</v>
      </c>
      <c r="B2883" s="3" t="str">
        <f t="shared" ref="B2883:B2946" si="90">LEFT(A2883,1)</f>
        <v>3</v>
      </c>
      <c r="C2883" s="4" t="s">
        <v>986</v>
      </c>
      <c r="D2883" s="8" t="s">
        <v>3310</v>
      </c>
      <c r="E2883" s="4" t="s">
        <v>50</v>
      </c>
      <c r="F2883" s="2" t="str">
        <f t="shared" ref="F2883:F2946" si="91">IF(E2883="Non-routine interpersonal","Non-routine cognitive",IF(E2883="Non-routine analytical","Non-routine cognitive",IF(E2883="Non-routine manual physical","Non-routine manual",E2883)))</f>
        <v>Routine cognitive</v>
      </c>
    </row>
    <row r="2884" spans="1:6" ht="42.75" x14ac:dyDescent="0.4">
      <c r="A2884" s="3">
        <v>3259</v>
      </c>
      <c r="B2884" s="3" t="str">
        <f t="shared" si="90"/>
        <v>3</v>
      </c>
      <c r="C2884" s="4" t="s">
        <v>986</v>
      </c>
      <c r="D2884" s="8" t="s">
        <v>3311</v>
      </c>
      <c r="E2884" s="4" t="s">
        <v>3</v>
      </c>
      <c r="F2884" s="2" t="str">
        <f t="shared" si="91"/>
        <v>Non-routine cognitive</v>
      </c>
    </row>
    <row r="2885" spans="1:6" ht="28.5" x14ac:dyDescent="0.4">
      <c r="A2885" s="3">
        <v>3324</v>
      </c>
      <c r="B2885" s="3" t="str">
        <f t="shared" si="90"/>
        <v>3</v>
      </c>
      <c r="C2885" s="4" t="s">
        <v>989</v>
      </c>
      <c r="D2885" s="8" t="s">
        <v>3312</v>
      </c>
      <c r="E2885" s="4" t="s">
        <v>50</v>
      </c>
      <c r="F2885" s="2" t="str">
        <f t="shared" si="91"/>
        <v>Routine cognitive</v>
      </c>
    </row>
    <row r="2886" spans="1:6" ht="28.5" x14ac:dyDescent="0.4">
      <c r="A2886" s="3">
        <v>3324</v>
      </c>
      <c r="B2886" s="3" t="str">
        <f t="shared" si="90"/>
        <v>3</v>
      </c>
      <c r="C2886" s="4" t="s">
        <v>989</v>
      </c>
      <c r="D2886" s="4" t="s">
        <v>990</v>
      </c>
      <c r="E2886" s="4" t="s">
        <v>50</v>
      </c>
      <c r="F2886" s="2" t="str">
        <f t="shared" si="91"/>
        <v>Routine cognitive</v>
      </c>
    </row>
    <row r="2887" spans="1:6" x14ac:dyDescent="0.4">
      <c r="A2887" s="3">
        <v>3324</v>
      </c>
      <c r="B2887" s="3" t="str">
        <f t="shared" si="90"/>
        <v>3</v>
      </c>
      <c r="C2887" s="4" t="s">
        <v>989</v>
      </c>
      <c r="D2887" s="6" t="s">
        <v>991</v>
      </c>
      <c r="E2887" s="4" t="s">
        <v>50</v>
      </c>
      <c r="F2887" s="2" t="str">
        <f t="shared" si="91"/>
        <v>Routine cognitive</v>
      </c>
    </row>
    <row r="2888" spans="1:6" ht="28.5" x14ac:dyDescent="0.4">
      <c r="A2888" s="3">
        <v>3324</v>
      </c>
      <c r="B2888" s="3" t="str">
        <f t="shared" si="90"/>
        <v>3</v>
      </c>
      <c r="C2888" s="4" t="s">
        <v>989</v>
      </c>
      <c r="D2888" s="10" t="s">
        <v>3313</v>
      </c>
      <c r="E2888" s="4" t="s">
        <v>3</v>
      </c>
      <c r="F2888" s="2" t="str">
        <f t="shared" si="91"/>
        <v>Non-routine cognitive</v>
      </c>
    </row>
    <row r="2889" spans="1:6" ht="42.75" x14ac:dyDescent="0.4">
      <c r="A2889" s="3">
        <v>3324</v>
      </c>
      <c r="B2889" s="3" t="str">
        <f t="shared" si="90"/>
        <v>3</v>
      </c>
      <c r="C2889" s="4" t="s">
        <v>989</v>
      </c>
      <c r="D2889" s="5" t="s">
        <v>3314</v>
      </c>
      <c r="E2889" s="4" t="s">
        <v>3</v>
      </c>
      <c r="F2889" s="2" t="str">
        <f t="shared" si="91"/>
        <v>Non-routine cognitive</v>
      </c>
    </row>
    <row r="2890" spans="1:6" ht="42.75" x14ac:dyDescent="0.4">
      <c r="A2890" s="3">
        <v>3324</v>
      </c>
      <c r="B2890" s="3" t="str">
        <f t="shared" si="90"/>
        <v>3</v>
      </c>
      <c r="C2890" s="4" t="s">
        <v>989</v>
      </c>
      <c r="D2890" s="5" t="s">
        <v>3315</v>
      </c>
      <c r="E2890" s="4" t="s">
        <v>4</v>
      </c>
      <c r="F2890" s="2" t="str">
        <f t="shared" si="91"/>
        <v>Non-routine cognitive</v>
      </c>
    </row>
    <row r="2891" spans="1:6" x14ac:dyDescent="0.4">
      <c r="A2891" s="3">
        <v>3333</v>
      </c>
      <c r="B2891" s="3" t="str">
        <f t="shared" si="90"/>
        <v>3</v>
      </c>
      <c r="C2891" s="4" t="s">
        <v>992</v>
      </c>
      <c r="D2891" s="6" t="s">
        <v>993</v>
      </c>
      <c r="E2891" s="4" t="s">
        <v>50</v>
      </c>
      <c r="F2891" s="2" t="str">
        <f t="shared" si="91"/>
        <v>Routine cognitive</v>
      </c>
    </row>
    <row r="2892" spans="1:6" ht="28.5" x14ac:dyDescent="0.4">
      <c r="A2892" s="3">
        <v>3333</v>
      </c>
      <c r="B2892" s="3" t="str">
        <f t="shared" si="90"/>
        <v>3</v>
      </c>
      <c r="C2892" s="4" t="s">
        <v>992</v>
      </c>
      <c r="D2892" s="8" t="s">
        <v>3316</v>
      </c>
      <c r="E2892" s="4" t="s">
        <v>3</v>
      </c>
      <c r="F2892" s="2" t="str">
        <f t="shared" si="91"/>
        <v>Non-routine cognitive</v>
      </c>
    </row>
    <row r="2893" spans="1:6" ht="42.75" x14ac:dyDescent="0.4">
      <c r="A2893" s="3">
        <v>3333</v>
      </c>
      <c r="B2893" s="3" t="str">
        <f t="shared" si="90"/>
        <v>3</v>
      </c>
      <c r="C2893" s="4" t="s">
        <v>992</v>
      </c>
      <c r="D2893" s="5" t="s">
        <v>3317</v>
      </c>
      <c r="E2893" s="4" t="s">
        <v>3</v>
      </c>
      <c r="F2893" s="2" t="str">
        <f t="shared" si="91"/>
        <v>Non-routine cognitive</v>
      </c>
    </row>
    <row r="2894" spans="1:6" ht="42.75" x14ac:dyDescent="0.4">
      <c r="A2894" s="3">
        <v>3333</v>
      </c>
      <c r="B2894" s="3" t="str">
        <f t="shared" si="90"/>
        <v>3</v>
      </c>
      <c r="C2894" s="4" t="s">
        <v>992</v>
      </c>
      <c r="D2894" s="5" t="s">
        <v>3318</v>
      </c>
      <c r="E2894" s="4" t="s">
        <v>3</v>
      </c>
      <c r="F2894" s="2" t="str">
        <f t="shared" si="91"/>
        <v>Non-routine cognitive</v>
      </c>
    </row>
    <row r="2895" spans="1:6" ht="28.5" x14ac:dyDescent="0.4">
      <c r="A2895" s="3">
        <v>3333</v>
      </c>
      <c r="B2895" s="3" t="str">
        <f t="shared" si="90"/>
        <v>3</v>
      </c>
      <c r="C2895" s="4" t="s">
        <v>992</v>
      </c>
      <c r="D2895" s="7" t="s">
        <v>3681</v>
      </c>
      <c r="E2895" s="4" t="s">
        <v>50</v>
      </c>
      <c r="F2895" s="2" t="str">
        <f t="shared" si="91"/>
        <v>Routine cognitive</v>
      </c>
    </row>
    <row r="2896" spans="1:6" x14ac:dyDescent="0.4">
      <c r="A2896" s="3">
        <v>3333</v>
      </c>
      <c r="B2896" s="3" t="str">
        <f t="shared" si="90"/>
        <v>3</v>
      </c>
      <c r="C2896" s="4" t="s">
        <v>992</v>
      </c>
      <c r="D2896" s="14" t="s">
        <v>994</v>
      </c>
      <c r="E2896" s="4" t="s">
        <v>4</v>
      </c>
      <c r="F2896" s="2" t="str">
        <f t="shared" si="91"/>
        <v>Non-routine cognitive</v>
      </c>
    </row>
    <row r="2897" spans="1:6" ht="57" x14ac:dyDescent="0.4">
      <c r="A2897" s="3">
        <v>3354</v>
      </c>
      <c r="B2897" s="3" t="str">
        <f t="shared" si="90"/>
        <v>3</v>
      </c>
      <c r="C2897" s="4" t="s">
        <v>995</v>
      </c>
      <c r="D2897" s="5" t="s">
        <v>3319</v>
      </c>
      <c r="E2897" s="4" t="s">
        <v>4</v>
      </c>
      <c r="F2897" s="2" t="str">
        <f t="shared" si="91"/>
        <v>Non-routine cognitive</v>
      </c>
    </row>
    <row r="2898" spans="1:6" ht="57" x14ac:dyDescent="0.4">
      <c r="A2898" s="3">
        <v>3354</v>
      </c>
      <c r="B2898" s="3" t="str">
        <f t="shared" si="90"/>
        <v>3</v>
      </c>
      <c r="C2898" s="4" t="s">
        <v>995</v>
      </c>
      <c r="D2898" s="5" t="s">
        <v>3320</v>
      </c>
      <c r="E2898" s="4" t="s">
        <v>50</v>
      </c>
      <c r="F2898" s="2" t="str">
        <f t="shared" si="91"/>
        <v>Routine cognitive</v>
      </c>
    </row>
    <row r="2899" spans="1:6" ht="28.5" x14ac:dyDescent="0.4">
      <c r="A2899" s="3">
        <v>3354</v>
      </c>
      <c r="B2899" s="3" t="str">
        <f t="shared" si="90"/>
        <v>3</v>
      </c>
      <c r="C2899" s="4" t="s">
        <v>995</v>
      </c>
      <c r="D2899" s="10" t="s">
        <v>3321</v>
      </c>
      <c r="E2899" s="4" t="s">
        <v>50</v>
      </c>
      <c r="F2899" s="2" t="str">
        <f t="shared" si="91"/>
        <v>Routine cognitive</v>
      </c>
    </row>
    <row r="2900" spans="1:6" ht="57" x14ac:dyDescent="0.4">
      <c r="A2900" s="3">
        <v>3354</v>
      </c>
      <c r="B2900" s="3" t="str">
        <f t="shared" si="90"/>
        <v>3</v>
      </c>
      <c r="C2900" s="4" t="s">
        <v>995</v>
      </c>
      <c r="D2900" s="5" t="s">
        <v>3322</v>
      </c>
      <c r="E2900" s="4" t="s">
        <v>50</v>
      </c>
      <c r="F2900" s="2" t="str">
        <f t="shared" si="91"/>
        <v>Routine cognitive</v>
      </c>
    </row>
    <row r="2901" spans="1:6" ht="28.5" x14ac:dyDescent="0.4">
      <c r="A2901" s="3">
        <v>3354</v>
      </c>
      <c r="B2901" s="3" t="str">
        <f t="shared" si="90"/>
        <v>3</v>
      </c>
      <c r="C2901" s="4" t="s">
        <v>995</v>
      </c>
      <c r="D2901" s="8" t="s">
        <v>3323</v>
      </c>
      <c r="E2901" s="4" t="s">
        <v>50</v>
      </c>
      <c r="F2901" s="2" t="str">
        <f t="shared" si="91"/>
        <v>Routine cognitive</v>
      </c>
    </row>
    <row r="2902" spans="1:6" ht="85.5" x14ac:dyDescent="0.4">
      <c r="A2902" s="3">
        <v>3353</v>
      </c>
      <c r="B2902" s="3" t="str">
        <f t="shared" si="90"/>
        <v>3</v>
      </c>
      <c r="C2902" s="4" t="s">
        <v>996</v>
      </c>
      <c r="D2902" s="5" t="s">
        <v>3324</v>
      </c>
      <c r="E2902" s="4" t="s">
        <v>4</v>
      </c>
      <c r="F2902" s="2" t="str">
        <f t="shared" si="91"/>
        <v>Non-routine cognitive</v>
      </c>
    </row>
    <row r="2903" spans="1:6" ht="42.75" x14ac:dyDescent="0.4">
      <c r="A2903" s="3">
        <v>3353</v>
      </c>
      <c r="B2903" s="3" t="str">
        <f t="shared" si="90"/>
        <v>3</v>
      </c>
      <c r="C2903" s="4" t="s">
        <v>996</v>
      </c>
      <c r="D2903" s="5" t="s">
        <v>3325</v>
      </c>
      <c r="E2903" s="4" t="s">
        <v>4</v>
      </c>
      <c r="F2903" s="2" t="str">
        <f t="shared" si="91"/>
        <v>Non-routine cognitive</v>
      </c>
    </row>
    <row r="2904" spans="1:6" ht="42.75" x14ac:dyDescent="0.4">
      <c r="A2904" s="3">
        <v>3353</v>
      </c>
      <c r="B2904" s="3" t="str">
        <f t="shared" si="90"/>
        <v>3</v>
      </c>
      <c r="C2904" s="4" t="s">
        <v>996</v>
      </c>
      <c r="D2904" s="5" t="s">
        <v>3326</v>
      </c>
      <c r="E2904" s="4" t="s">
        <v>50</v>
      </c>
      <c r="F2904" s="2" t="str">
        <f t="shared" si="91"/>
        <v>Routine cognitive</v>
      </c>
    </row>
    <row r="2905" spans="1:6" ht="57" x14ac:dyDescent="0.4">
      <c r="A2905" s="3">
        <v>3353</v>
      </c>
      <c r="B2905" s="3" t="str">
        <f t="shared" si="90"/>
        <v>3</v>
      </c>
      <c r="C2905" s="4" t="s">
        <v>996</v>
      </c>
      <c r="D2905" s="5" t="s">
        <v>3327</v>
      </c>
      <c r="E2905" s="4" t="s">
        <v>50</v>
      </c>
      <c r="F2905" s="2" t="str">
        <f t="shared" si="91"/>
        <v>Routine cognitive</v>
      </c>
    </row>
    <row r="2906" spans="1:6" ht="28.5" x14ac:dyDescent="0.4">
      <c r="A2906" s="3">
        <v>3423</v>
      </c>
      <c r="B2906" s="3" t="str">
        <f t="shared" si="90"/>
        <v>3</v>
      </c>
      <c r="C2906" s="4" t="s">
        <v>997</v>
      </c>
      <c r="D2906" s="8" t="s">
        <v>3328</v>
      </c>
      <c r="E2906" s="4" t="s">
        <v>3</v>
      </c>
      <c r="F2906" s="2" t="str">
        <f t="shared" si="91"/>
        <v>Non-routine cognitive</v>
      </c>
    </row>
    <row r="2907" spans="1:6" ht="42.75" x14ac:dyDescent="0.4">
      <c r="A2907" s="3">
        <v>3423</v>
      </c>
      <c r="B2907" s="3" t="str">
        <f t="shared" si="90"/>
        <v>3</v>
      </c>
      <c r="C2907" s="4" t="s">
        <v>997</v>
      </c>
      <c r="D2907" s="8" t="s">
        <v>3329</v>
      </c>
      <c r="E2907" s="4" t="s">
        <v>50</v>
      </c>
      <c r="F2907" s="2" t="str">
        <f t="shared" si="91"/>
        <v>Routine cognitive</v>
      </c>
    </row>
    <row r="2908" spans="1:6" ht="28.5" x14ac:dyDescent="0.4">
      <c r="A2908" s="3">
        <v>3423</v>
      </c>
      <c r="B2908" s="3" t="str">
        <f t="shared" si="90"/>
        <v>3</v>
      </c>
      <c r="C2908" s="4" t="s">
        <v>997</v>
      </c>
      <c r="D2908" s="6" t="s">
        <v>998</v>
      </c>
      <c r="E2908" s="4" t="s">
        <v>4</v>
      </c>
      <c r="F2908" s="2" t="str">
        <f t="shared" si="91"/>
        <v>Non-routine cognitive</v>
      </c>
    </row>
    <row r="2909" spans="1:6" ht="42.75" x14ac:dyDescent="0.4">
      <c r="A2909" s="3">
        <v>3423</v>
      </c>
      <c r="B2909" s="3" t="str">
        <f t="shared" si="90"/>
        <v>3</v>
      </c>
      <c r="C2909" s="4" t="s">
        <v>997</v>
      </c>
      <c r="D2909" s="10" t="s">
        <v>3330</v>
      </c>
      <c r="E2909" s="4" t="s">
        <v>3</v>
      </c>
      <c r="F2909" s="2" t="str">
        <f t="shared" si="91"/>
        <v>Non-routine cognitive</v>
      </c>
    </row>
    <row r="2910" spans="1:6" ht="28.5" x14ac:dyDescent="0.4">
      <c r="A2910" s="3">
        <v>3423</v>
      </c>
      <c r="B2910" s="3" t="str">
        <f t="shared" si="90"/>
        <v>3</v>
      </c>
      <c r="C2910" s="4" t="s">
        <v>997</v>
      </c>
      <c r="D2910" s="7" t="s">
        <v>999</v>
      </c>
      <c r="E2910" s="4" t="s">
        <v>3</v>
      </c>
      <c r="F2910" s="2" t="str">
        <f t="shared" si="91"/>
        <v>Non-routine cognitive</v>
      </c>
    </row>
    <row r="2911" spans="1:6" ht="28.5" x14ac:dyDescent="0.4">
      <c r="A2911" s="3">
        <v>3423</v>
      </c>
      <c r="B2911" s="3" t="str">
        <f t="shared" si="90"/>
        <v>3</v>
      </c>
      <c r="C2911" s="4" t="s">
        <v>997</v>
      </c>
      <c r="D2911" s="8" t="s">
        <v>3331</v>
      </c>
      <c r="E2911" s="4" t="s">
        <v>3</v>
      </c>
      <c r="F2911" s="2" t="str">
        <f t="shared" si="91"/>
        <v>Non-routine cognitive</v>
      </c>
    </row>
    <row r="2912" spans="1:6" ht="28.5" x14ac:dyDescent="0.4">
      <c r="A2912" s="3">
        <v>3433</v>
      </c>
      <c r="B2912" s="3" t="str">
        <f t="shared" si="90"/>
        <v>3</v>
      </c>
      <c r="C2912" s="4" t="s">
        <v>1000</v>
      </c>
      <c r="D2912" s="6" t="s">
        <v>1001</v>
      </c>
      <c r="E2912" s="4" t="s">
        <v>106</v>
      </c>
      <c r="F2912" s="2" t="str">
        <f t="shared" si="91"/>
        <v>Non-routine manual</v>
      </c>
    </row>
    <row r="2913" spans="1:6" ht="28.5" x14ac:dyDescent="0.4">
      <c r="A2913" s="3">
        <v>3433</v>
      </c>
      <c r="B2913" s="3" t="str">
        <f t="shared" si="90"/>
        <v>3</v>
      </c>
      <c r="C2913" s="4" t="s">
        <v>1000</v>
      </c>
      <c r="D2913" s="8" t="s">
        <v>3332</v>
      </c>
      <c r="E2913" s="4" t="s">
        <v>4</v>
      </c>
      <c r="F2913" s="2" t="str">
        <f t="shared" si="91"/>
        <v>Non-routine cognitive</v>
      </c>
    </row>
    <row r="2914" spans="1:6" ht="28.5" x14ac:dyDescent="0.4">
      <c r="A2914" s="3">
        <v>3433</v>
      </c>
      <c r="B2914" s="3" t="str">
        <f t="shared" si="90"/>
        <v>3</v>
      </c>
      <c r="C2914" s="4" t="s">
        <v>1000</v>
      </c>
      <c r="D2914" s="10" t="s">
        <v>3333</v>
      </c>
      <c r="E2914" s="4" t="s">
        <v>106</v>
      </c>
      <c r="F2914" s="2" t="str">
        <f t="shared" si="91"/>
        <v>Non-routine manual</v>
      </c>
    </row>
    <row r="2915" spans="1:6" ht="28.5" x14ac:dyDescent="0.4">
      <c r="A2915" s="3">
        <v>3433</v>
      </c>
      <c r="B2915" s="3" t="str">
        <f t="shared" si="90"/>
        <v>3</v>
      </c>
      <c r="C2915" s="4" t="s">
        <v>1000</v>
      </c>
      <c r="D2915" s="11" t="s">
        <v>3334</v>
      </c>
      <c r="E2915" s="4" t="s">
        <v>182</v>
      </c>
      <c r="F2915" s="2" t="str">
        <f t="shared" si="91"/>
        <v>Routine manual</v>
      </c>
    </row>
    <row r="2916" spans="1:6" ht="28.5" x14ac:dyDescent="0.4">
      <c r="A2916" s="3">
        <v>3433</v>
      </c>
      <c r="B2916" s="3" t="str">
        <f t="shared" si="90"/>
        <v>3</v>
      </c>
      <c r="C2916" s="4" t="s">
        <v>1000</v>
      </c>
      <c r="D2916" s="8" t="s">
        <v>3335</v>
      </c>
      <c r="E2916" s="4" t="s">
        <v>50</v>
      </c>
      <c r="F2916" s="2" t="str">
        <f t="shared" si="91"/>
        <v>Routine cognitive</v>
      </c>
    </row>
    <row r="2917" spans="1:6" ht="28.5" x14ac:dyDescent="0.4">
      <c r="A2917" s="3">
        <v>3433</v>
      </c>
      <c r="B2917" s="3" t="str">
        <f t="shared" si="90"/>
        <v>3</v>
      </c>
      <c r="C2917" s="4" t="s">
        <v>1000</v>
      </c>
      <c r="D2917" s="7" t="s">
        <v>1002</v>
      </c>
      <c r="E2917" s="4" t="s">
        <v>50</v>
      </c>
      <c r="F2917" s="2" t="str">
        <f t="shared" si="91"/>
        <v>Routine cognitive</v>
      </c>
    </row>
    <row r="2918" spans="1:6" ht="28.5" x14ac:dyDescent="0.4">
      <c r="A2918" s="3">
        <v>3433</v>
      </c>
      <c r="B2918" s="3" t="str">
        <f t="shared" si="90"/>
        <v>3</v>
      </c>
      <c r="C2918" s="4" t="s">
        <v>1000</v>
      </c>
      <c r="D2918" s="23" t="s">
        <v>3336</v>
      </c>
      <c r="E2918" s="4" t="s">
        <v>50</v>
      </c>
      <c r="F2918" s="2" t="str">
        <f t="shared" si="91"/>
        <v>Routine cognitive</v>
      </c>
    </row>
    <row r="2919" spans="1:6" ht="28.5" x14ac:dyDescent="0.4">
      <c r="A2919" s="3">
        <v>3433</v>
      </c>
      <c r="B2919" s="3" t="str">
        <f t="shared" si="90"/>
        <v>3</v>
      </c>
      <c r="C2919" s="4" t="s">
        <v>1000</v>
      </c>
      <c r="D2919" s="6" t="s">
        <v>1003</v>
      </c>
      <c r="E2919" s="4" t="s">
        <v>182</v>
      </c>
      <c r="F2919" s="2" t="str">
        <f t="shared" si="91"/>
        <v>Routine manual</v>
      </c>
    </row>
    <row r="2920" spans="1:6" ht="28.5" x14ac:dyDescent="0.4">
      <c r="A2920" s="3">
        <v>3433</v>
      </c>
      <c r="B2920" s="3" t="str">
        <f t="shared" si="90"/>
        <v>3</v>
      </c>
      <c r="C2920" s="4" t="s">
        <v>1000</v>
      </c>
      <c r="D2920" s="7" t="s">
        <v>1004</v>
      </c>
      <c r="E2920" s="4" t="s">
        <v>50</v>
      </c>
      <c r="F2920" s="2" t="str">
        <f t="shared" si="91"/>
        <v>Routine cognitive</v>
      </c>
    </row>
    <row r="2921" spans="1:6" ht="42.75" x14ac:dyDescent="0.4">
      <c r="A2921" s="3">
        <v>3522</v>
      </c>
      <c r="B2921" s="3" t="str">
        <f t="shared" si="90"/>
        <v>3</v>
      </c>
      <c r="C2921" s="4" t="s">
        <v>1005</v>
      </c>
      <c r="D2921" s="5" t="s">
        <v>3337</v>
      </c>
      <c r="E2921" s="4" t="s">
        <v>4</v>
      </c>
      <c r="F2921" s="2" t="str">
        <f t="shared" si="91"/>
        <v>Non-routine cognitive</v>
      </c>
    </row>
    <row r="2922" spans="1:6" ht="28.5" x14ac:dyDescent="0.4">
      <c r="A2922" s="3">
        <v>3522</v>
      </c>
      <c r="B2922" s="3" t="str">
        <f t="shared" si="90"/>
        <v>3</v>
      </c>
      <c r="C2922" s="4" t="s">
        <v>1005</v>
      </c>
      <c r="D2922" s="5" t="s">
        <v>3338</v>
      </c>
      <c r="E2922" s="4" t="s">
        <v>4</v>
      </c>
      <c r="F2922" s="2" t="str">
        <f t="shared" si="91"/>
        <v>Non-routine cognitive</v>
      </c>
    </row>
    <row r="2923" spans="1:6" ht="57" x14ac:dyDescent="0.4">
      <c r="A2923" s="3">
        <v>3522</v>
      </c>
      <c r="B2923" s="3" t="str">
        <f t="shared" si="90"/>
        <v>3</v>
      </c>
      <c r="C2923" s="4" t="s">
        <v>1005</v>
      </c>
      <c r="D2923" s="5" t="s">
        <v>3339</v>
      </c>
      <c r="E2923" s="4" t="s">
        <v>4</v>
      </c>
      <c r="F2923" s="2" t="str">
        <f t="shared" si="91"/>
        <v>Non-routine cognitive</v>
      </c>
    </row>
    <row r="2924" spans="1:6" ht="57" x14ac:dyDescent="0.4">
      <c r="A2924" s="3">
        <v>3522</v>
      </c>
      <c r="B2924" s="3" t="str">
        <f t="shared" si="90"/>
        <v>3</v>
      </c>
      <c r="C2924" s="4" t="s">
        <v>1005</v>
      </c>
      <c r="D2924" s="5" t="s">
        <v>3340</v>
      </c>
      <c r="E2924" s="4" t="s">
        <v>3</v>
      </c>
      <c r="F2924" s="2" t="str">
        <f t="shared" si="91"/>
        <v>Non-routine cognitive</v>
      </c>
    </row>
    <row r="2925" spans="1:6" ht="57" x14ac:dyDescent="0.4">
      <c r="A2925" s="3">
        <v>3522</v>
      </c>
      <c r="B2925" s="3" t="str">
        <f t="shared" si="90"/>
        <v>3</v>
      </c>
      <c r="C2925" s="4" t="s">
        <v>1005</v>
      </c>
      <c r="D2925" s="5" t="s">
        <v>3341</v>
      </c>
      <c r="E2925" s="4" t="s">
        <v>4</v>
      </c>
      <c r="F2925" s="2" t="str">
        <f t="shared" si="91"/>
        <v>Non-routine cognitive</v>
      </c>
    </row>
    <row r="2926" spans="1:6" ht="42.75" x14ac:dyDescent="0.4">
      <c r="A2926" s="3">
        <v>4223</v>
      </c>
      <c r="B2926" s="3" t="str">
        <f t="shared" si="90"/>
        <v>4</v>
      </c>
      <c r="C2926" s="4" t="s">
        <v>1006</v>
      </c>
      <c r="D2926" s="5" t="s">
        <v>3342</v>
      </c>
      <c r="E2926" s="4" t="s">
        <v>182</v>
      </c>
      <c r="F2926" s="2" t="str">
        <f t="shared" si="91"/>
        <v>Routine manual</v>
      </c>
    </row>
    <row r="2927" spans="1:6" x14ac:dyDescent="0.4">
      <c r="A2927" s="3">
        <v>4223</v>
      </c>
      <c r="B2927" s="3" t="str">
        <f t="shared" si="90"/>
        <v>4</v>
      </c>
      <c r="C2927" s="4" t="s">
        <v>1006</v>
      </c>
      <c r="D2927" s="7" t="s">
        <v>1007</v>
      </c>
      <c r="E2927" s="4" t="s">
        <v>50</v>
      </c>
      <c r="F2927" s="2" t="str">
        <f t="shared" si="91"/>
        <v>Routine cognitive</v>
      </c>
    </row>
    <row r="2928" spans="1:6" ht="28.5" x14ac:dyDescent="0.4">
      <c r="A2928" s="3">
        <v>4223</v>
      </c>
      <c r="B2928" s="3" t="str">
        <f t="shared" si="90"/>
        <v>4</v>
      </c>
      <c r="C2928" s="4" t="s">
        <v>1006</v>
      </c>
      <c r="D2928" s="10" t="s">
        <v>3343</v>
      </c>
      <c r="E2928" s="4" t="s">
        <v>50</v>
      </c>
      <c r="F2928" s="2" t="str">
        <f t="shared" si="91"/>
        <v>Routine cognitive</v>
      </c>
    </row>
    <row r="2929" spans="1:6" ht="28.5" x14ac:dyDescent="0.4">
      <c r="A2929" s="3">
        <v>4223</v>
      </c>
      <c r="B2929" s="3" t="str">
        <f t="shared" si="90"/>
        <v>4</v>
      </c>
      <c r="C2929" s="5" t="s">
        <v>3344</v>
      </c>
      <c r="D2929" s="6" t="s">
        <v>1008</v>
      </c>
      <c r="E2929" s="4" t="s">
        <v>50</v>
      </c>
      <c r="F2929" s="2" t="str">
        <f t="shared" si="91"/>
        <v>Routine cognitive</v>
      </c>
    </row>
    <row r="2930" spans="1:6" ht="28.5" x14ac:dyDescent="0.4">
      <c r="A2930" s="3">
        <v>4223</v>
      </c>
      <c r="B2930" s="3" t="str">
        <f t="shared" si="90"/>
        <v>4</v>
      </c>
      <c r="C2930" s="5" t="s">
        <v>3344</v>
      </c>
      <c r="D2930" s="10" t="s">
        <v>3345</v>
      </c>
      <c r="E2930" s="4" t="s">
        <v>4</v>
      </c>
      <c r="F2930" s="2" t="str">
        <f t="shared" si="91"/>
        <v>Non-routine cognitive</v>
      </c>
    </row>
    <row r="2931" spans="1:6" ht="42.75" x14ac:dyDescent="0.4">
      <c r="A2931" s="3">
        <v>4227</v>
      </c>
      <c r="B2931" s="3" t="str">
        <f t="shared" si="90"/>
        <v>4</v>
      </c>
      <c r="C2931" s="4" t="s">
        <v>1009</v>
      </c>
      <c r="D2931" s="8" t="s">
        <v>3346</v>
      </c>
      <c r="E2931" s="4" t="s">
        <v>3</v>
      </c>
      <c r="F2931" s="2" t="str">
        <f t="shared" si="91"/>
        <v>Non-routine cognitive</v>
      </c>
    </row>
    <row r="2932" spans="1:6" ht="28.5" x14ac:dyDescent="0.4">
      <c r="A2932" s="3">
        <v>4227</v>
      </c>
      <c r="B2932" s="3" t="str">
        <f t="shared" si="90"/>
        <v>4</v>
      </c>
      <c r="C2932" s="4" t="s">
        <v>1009</v>
      </c>
      <c r="D2932" s="10" t="s">
        <v>3347</v>
      </c>
      <c r="E2932" s="4" t="s">
        <v>50</v>
      </c>
      <c r="F2932" s="2" t="str">
        <f t="shared" si="91"/>
        <v>Routine cognitive</v>
      </c>
    </row>
    <row r="2933" spans="1:6" ht="42.75" x14ac:dyDescent="0.4">
      <c r="A2933" s="3">
        <v>4227</v>
      </c>
      <c r="B2933" s="3" t="str">
        <f t="shared" si="90"/>
        <v>4</v>
      </c>
      <c r="C2933" s="4" t="s">
        <v>1009</v>
      </c>
      <c r="D2933" s="8" t="s">
        <v>3348</v>
      </c>
      <c r="E2933" s="4" t="s">
        <v>50</v>
      </c>
      <c r="F2933" s="2" t="str">
        <f t="shared" si="91"/>
        <v>Routine cognitive</v>
      </c>
    </row>
    <row r="2934" spans="1:6" ht="28.5" x14ac:dyDescent="0.4">
      <c r="A2934" s="3">
        <v>4227</v>
      </c>
      <c r="B2934" s="3" t="str">
        <f t="shared" si="90"/>
        <v>4</v>
      </c>
      <c r="C2934" s="4" t="s">
        <v>1009</v>
      </c>
      <c r="D2934" s="6" t="s">
        <v>1010</v>
      </c>
      <c r="E2934" s="4" t="s">
        <v>4</v>
      </c>
      <c r="F2934" s="2" t="str">
        <f t="shared" si="91"/>
        <v>Non-routine cognitive</v>
      </c>
    </row>
    <row r="2935" spans="1:6" ht="42.75" x14ac:dyDescent="0.4">
      <c r="A2935" s="3">
        <v>4227</v>
      </c>
      <c r="B2935" s="3" t="str">
        <f t="shared" si="90"/>
        <v>4</v>
      </c>
      <c r="C2935" s="4" t="s">
        <v>1009</v>
      </c>
      <c r="D2935" s="10" t="s">
        <v>3349</v>
      </c>
      <c r="E2935" s="4" t="s">
        <v>3</v>
      </c>
      <c r="F2935" s="2" t="str">
        <f t="shared" si="91"/>
        <v>Non-routine cognitive</v>
      </c>
    </row>
    <row r="2936" spans="1:6" ht="42.75" x14ac:dyDescent="0.4">
      <c r="A2936" s="3">
        <v>4412</v>
      </c>
      <c r="B2936" s="3" t="str">
        <f t="shared" si="90"/>
        <v>4</v>
      </c>
      <c r="C2936" s="4" t="s">
        <v>1011</v>
      </c>
      <c r="D2936" s="5" t="s">
        <v>3350</v>
      </c>
      <c r="E2936" s="4" t="s">
        <v>106</v>
      </c>
      <c r="F2936" s="2" t="str">
        <f t="shared" si="91"/>
        <v>Non-routine manual</v>
      </c>
    </row>
    <row r="2937" spans="1:6" ht="28.5" x14ac:dyDescent="0.4">
      <c r="A2937" s="3">
        <v>4412</v>
      </c>
      <c r="B2937" s="3" t="str">
        <f t="shared" si="90"/>
        <v>4</v>
      </c>
      <c r="C2937" s="4" t="s">
        <v>1011</v>
      </c>
      <c r="D2937" s="10" t="s">
        <v>3351</v>
      </c>
      <c r="E2937" s="4" t="s">
        <v>106</v>
      </c>
      <c r="F2937" s="2" t="str">
        <f t="shared" si="91"/>
        <v>Non-routine manual</v>
      </c>
    </row>
    <row r="2938" spans="1:6" ht="28.5" x14ac:dyDescent="0.4">
      <c r="A2938" s="3">
        <v>4412</v>
      </c>
      <c r="B2938" s="3" t="str">
        <f t="shared" si="90"/>
        <v>4</v>
      </c>
      <c r="C2938" s="4" t="s">
        <v>1011</v>
      </c>
      <c r="D2938" s="10" t="s">
        <v>3352</v>
      </c>
      <c r="E2938" s="4" t="s">
        <v>50</v>
      </c>
      <c r="F2938" s="2" t="str">
        <f t="shared" si="91"/>
        <v>Routine cognitive</v>
      </c>
    </row>
    <row r="2939" spans="1:6" ht="42.75" x14ac:dyDescent="0.4">
      <c r="A2939" s="3">
        <v>4412</v>
      </c>
      <c r="B2939" s="3" t="str">
        <f t="shared" si="90"/>
        <v>4</v>
      </c>
      <c r="C2939" s="4" t="s">
        <v>1011</v>
      </c>
      <c r="D2939" s="8" t="s">
        <v>3353</v>
      </c>
      <c r="E2939" s="4" t="s">
        <v>50</v>
      </c>
      <c r="F2939" s="2" t="str">
        <f t="shared" si="91"/>
        <v>Routine cognitive</v>
      </c>
    </row>
    <row r="2940" spans="1:6" ht="42.75" x14ac:dyDescent="0.4">
      <c r="A2940" s="3">
        <v>4414</v>
      </c>
      <c r="B2940" s="3" t="str">
        <f t="shared" si="90"/>
        <v>4</v>
      </c>
      <c r="C2940" s="4" t="s">
        <v>1012</v>
      </c>
      <c r="D2940" s="5" t="s">
        <v>3354</v>
      </c>
      <c r="E2940" s="4" t="s">
        <v>4</v>
      </c>
      <c r="F2940" s="2" t="str">
        <f t="shared" si="91"/>
        <v>Non-routine cognitive</v>
      </c>
    </row>
    <row r="2941" spans="1:6" ht="28.5" x14ac:dyDescent="0.4">
      <c r="A2941" s="3">
        <v>4414</v>
      </c>
      <c r="B2941" s="3" t="str">
        <f t="shared" si="90"/>
        <v>4</v>
      </c>
      <c r="C2941" s="4" t="s">
        <v>1012</v>
      </c>
      <c r="D2941" s="8" t="s">
        <v>3355</v>
      </c>
      <c r="E2941" s="4" t="s">
        <v>50</v>
      </c>
      <c r="F2941" s="2" t="str">
        <f t="shared" si="91"/>
        <v>Routine cognitive</v>
      </c>
    </row>
    <row r="2942" spans="1:6" ht="42.75" x14ac:dyDescent="0.4">
      <c r="A2942" s="3">
        <v>4414</v>
      </c>
      <c r="B2942" s="3" t="str">
        <f t="shared" si="90"/>
        <v>4</v>
      </c>
      <c r="C2942" s="4" t="s">
        <v>1012</v>
      </c>
      <c r="D2942" s="5" t="s">
        <v>3356</v>
      </c>
      <c r="E2942" s="4" t="s">
        <v>4</v>
      </c>
      <c r="F2942" s="2" t="str">
        <f t="shared" si="91"/>
        <v>Non-routine cognitive</v>
      </c>
    </row>
    <row r="2943" spans="1:6" ht="42.75" x14ac:dyDescent="0.4">
      <c r="A2943" s="3">
        <v>5161</v>
      </c>
      <c r="B2943" s="3" t="str">
        <f t="shared" si="90"/>
        <v>5</v>
      </c>
      <c r="C2943" s="4" t="s">
        <v>1013</v>
      </c>
      <c r="D2943" s="5" t="s">
        <v>3357</v>
      </c>
      <c r="E2943" s="4" t="s">
        <v>3</v>
      </c>
      <c r="F2943" s="2" t="str">
        <f t="shared" si="91"/>
        <v>Non-routine cognitive</v>
      </c>
    </row>
    <row r="2944" spans="1:6" ht="42.75" x14ac:dyDescent="0.4">
      <c r="A2944" s="3">
        <v>5161</v>
      </c>
      <c r="B2944" s="3" t="str">
        <f t="shared" si="90"/>
        <v>5</v>
      </c>
      <c r="C2944" s="4" t="s">
        <v>1013</v>
      </c>
      <c r="D2944" s="8" t="s">
        <v>3358</v>
      </c>
      <c r="E2944" s="4" t="s">
        <v>4</v>
      </c>
      <c r="F2944" s="2" t="str">
        <f t="shared" si="91"/>
        <v>Non-routine cognitive</v>
      </c>
    </row>
    <row r="2945" spans="1:6" ht="28.5" x14ac:dyDescent="0.4">
      <c r="A2945" s="3">
        <v>5161</v>
      </c>
      <c r="B2945" s="3" t="str">
        <f t="shared" si="90"/>
        <v>5</v>
      </c>
      <c r="C2945" s="4" t="s">
        <v>1013</v>
      </c>
      <c r="D2945" s="8" t="s">
        <v>3359</v>
      </c>
      <c r="E2945" s="4" t="s">
        <v>4</v>
      </c>
      <c r="F2945" s="2" t="str">
        <f t="shared" si="91"/>
        <v>Non-routine cognitive</v>
      </c>
    </row>
    <row r="2946" spans="1:6" ht="42.75" x14ac:dyDescent="0.4">
      <c r="A2946" s="3">
        <v>5161</v>
      </c>
      <c r="B2946" s="3" t="str">
        <f t="shared" si="90"/>
        <v>5</v>
      </c>
      <c r="C2946" s="4" t="s">
        <v>1013</v>
      </c>
      <c r="D2946" s="5" t="s">
        <v>3360</v>
      </c>
      <c r="E2946" s="4" t="s">
        <v>4</v>
      </c>
      <c r="F2946" s="2" t="str">
        <f t="shared" si="91"/>
        <v>Non-routine cognitive</v>
      </c>
    </row>
    <row r="2947" spans="1:6" ht="28.5" x14ac:dyDescent="0.4">
      <c r="A2947" s="3">
        <v>5161</v>
      </c>
      <c r="B2947" s="3" t="str">
        <f t="shared" ref="B2947:B3010" si="92">LEFT(A2947,1)</f>
        <v>5</v>
      </c>
      <c r="C2947" s="4" t="s">
        <v>1013</v>
      </c>
      <c r="D2947" s="4" t="s">
        <v>1014</v>
      </c>
      <c r="E2947" s="4" t="s">
        <v>4</v>
      </c>
      <c r="F2947" s="2" t="str">
        <f t="shared" ref="F2947:F3010" si="93">IF(E2947="Non-routine interpersonal","Non-routine cognitive",IF(E2947="Non-routine analytical","Non-routine cognitive",IF(E2947="Non-routine manual physical","Non-routine manual",E2947)))</f>
        <v>Non-routine cognitive</v>
      </c>
    </row>
    <row r="2948" spans="1:6" ht="28.5" x14ac:dyDescent="0.4">
      <c r="A2948" s="3">
        <v>5161</v>
      </c>
      <c r="B2948" s="3" t="str">
        <f t="shared" si="92"/>
        <v>5</v>
      </c>
      <c r="C2948" s="4" t="s">
        <v>1013</v>
      </c>
      <c r="D2948" s="10" t="s">
        <v>3361</v>
      </c>
      <c r="E2948" s="4" t="s">
        <v>4</v>
      </c>
      <c r="F2948" s="2" t="str">
        <f t="shared" si="93"/>
        <v>Non-routine cognitive</v>
      </c>
    </row>
    <row r="2949" spans="1:6" ht="57" x14ac:dyDescent="0.4">
      <c r="A2949" s="3">
        <v>5162</v>
      </c>
      <c r="B2949" s="3" t="str">
        <f t="shared" si="92"/>
        <v>5</v>
      </c>
      <c r="C2949" s="4" t="s">
        <v>1015</v>
      </c>
      <c r="D2949" s="5" t="s">
        <v>3362</v>
      </c>
      <c r="E2949" s="4" t="s">
        <v>3</v>
      </c>
      <c r="F2949" s="2" t="str">
        <f t="shared" si="93"/>
        <v>Non-routine cognitive</v>
      </c>
    </row>
    <row r="2950" spans="1:6" ht="28.5" x14ac:dyDescent="0.4">
      <c r="A2950" s="3">
        <v>5162</v>
      </c>
      <c r="B2950" s="3" t="str">
        <f t="shared" si="92"/>
        <v>5</v>
      </c>
      <c r="C2950" s="4" t="s">
        <v>1015</v>
      </c>
      <c r="D2950" s="10" t="s">
        <v>3363</v>
      </c>
      <c r="E2950" s="4" t="s">
        <v>50</v>
      </c>
      <c r="F2950" s="2" t="str">
        <f t="shared" si="93"/>
        <v>Routine cognitive</v>
      </c>
    </row>
    <row r="2951" spans="1:6" ht="28.5" x14ac:dyDescent="0.4">
      <c r="A2951" s="3">
        <v>5162</v>
      </c>
      <c r="B2951" s="3" t="str">
        <f t="shared" si="92"/>
        <v>5</v>
      </c>
      <c r="C2951" s="4" t="s">
        <v>1015</v>
      </c>
      <c r="D2951" s="10" t="s">
        <v>3364</v>
      </c>
      <c r="E2951" s="4" t="s">
        <v>106</v>
      </c>
      <c r="F2951" s="2" t="str">
        <f t="shared" si="93"/>
        <v>Non-routine manual</v>
      </c>
    </row>
    <row r="2952" spans="1:6" ht="28.5" x14ac:dyDescent="0.4">
      <c r="A2952" s="3">
        <v>5164</v>
      </c>
      <c r="B2952" s="3" t="str">
        <f t="shared" si="92"/>
        <v>5</v>
      </c>
      <c r="C2952" s="5" t="s">
        <v>3365</v>
      </c>
      <c r="D2952" s="14" t="s">
        <v>1016</v>
      </c>
      <c r="E2952" s="4" t="s">
        <v>106</v>
      </c>
      <c r="F2952" s="2" t="str">
        <f t="shared" si="93"/>
        <v>Non-routine manual</v>
      </c>
    </row>
    <row r="2953" spans="1:6" ht="28.5" x14ac:dyDescent="0.4">
      <c r="A2953" s="3">
        <v>5164</v>
      </c>
      <c r="B2953" s="3" t="str">
        <f t="shared" si="92"/>
        <v>5</v>
      </c>
      <c r="C2953" s="4" t="s">
        <v>1017</v>
      </c>
      <c r="D2953" s="10" t="s">
        <v>3366</v>
      </c>
      <c r="E2953" s="4" t="s">
        <v>3</v>
      </c>
      <c r="F2953" s="2" t="str">
        <f t="shared" si="93"/>
        <v>Non-routine cognitive</v>
      </c>
    </row>
    <row r="2954" spans="1:6" ht="28.5" x14ac:dyDescent="0.4">
      <c r="A2954" s="3">
        <v>5164</v>
      </c>
      <c r="B2954" s="3" t="str">
        <f t="shared" si="92"/>
        <v>5</v>
      </c>
      <c r="C2954" s="4" t="s">
        <v>1017</v>
      </c>
      <c r="D2954" s="10" t="s">
        <v>3367</v>
      </c>
      <c r="E2954" s="4" t="s">
        <v>106</v>
      </c>
      <c r="F2954" s="2" t="str">
        <f t="shared" si="93"/>
        <v>Non-routine manual</v>
      </c>
    </row>
    <row r="2955" spans="1:6" ht="28.5" x14ac:dyDescent="0.4">
      <c r="A2955" s="3">
        <v>5164</v>
      </c>
      <c r="B2955" s="3" t="str">
        <f t="shared" si="92"/>
        <v>5</v>
      </c>
      <c r="C2955" s="4" t="s">
        <v>1017</v>
      </c>
      <c r="D2955" s="8" t="s">
        <v>3368</v>
      </c>
      <c r="E2955" s="4" t="s">
        <v>50</v>
      </c>
      <c r="F2955" s="2" t="str">
        <f t="shared" si="93"/>
        <v>Routine cognitive</v>
      </c>
    </row>
    <row r="2956" spans="1:6" ht="28.5" x14ac:dyDescent="0.4">
      <c r="A2956" s="3">
        <v>5164</v>
      </c>
      <c r="B2956" s="3" t="str">
        <f t="shared" si="92"/>
        <v>5</v>
      </c>
      <c r="C2956" s="4" t="s">
        <v>1017</v>
      </c>
      <c r="D2956" s="6" t="s">
        <v>1018</v>
      </c>
      <c r="E2956" s="4" t="s">
        <v>106</v>
      </c>
      <c r="F2956" s="2" t="str">
        <f t="shared" si="93"/>
        <v>Non-routine manual</v>
      </c>
    </row>
    <row r="2957" spans="1:6" ht="57" x14ac:dyDescent="0.4">
      <c r="A2957" s="3">
        <v>5164</v>
      </c>
      <c r="B2957" s="3" t="str">
        <f t="shared" si="92"/>
        <v>5</v>
      </c>
      <c r="C2957" s="4" t="s">
        <v>1017</v>
      </c>
      <c r="D2957" s="5" t="s">
        <v>3369</v>
      </c>
      <c r="E2957" s="4" t="s">
        <v>106</v>
      </c>
      <c r="F2957" s="2" t="str">
        <f t="shared" si="93"/>
        <v>Non-routine manual</v>
      </c>
    </row>
    <row r="2958" spans="1:6" ht="57" x14ac:dyDescent="0.4">
      <c r="A2958" s="3">
        <v>5164</v>
      </c>
      <c r="B2958" s="3" t="str">
        <f t="shared" si="92"/>
        <v>5</v>
      </c>
      <c r="C2958" s="4" t="s">
        <v>1017</v>
      </c>
      <c r="D2958" s="5" t="s">
        <v>3370</v>
      </c>
      <c r="E2958" s="4" t="s">
        <v>50</v>
      </c>
      <c r="F2958" s="2" t="str">
        <f t="shared" si="93"/>
        <v>Routine cognitive</v>
      </c>
    </row>
    <row r="2959" spans="1:6" ht="28.5" x14ac:dyDescent="0.4">
      <c r="A2959" s="3">
        <v>5164</v>
      </c>
      <c r="B2959" s="3" t="str">
        <f t="shared" si="92"/>
        <v>5</v>
      </c>
      <c r="C2959" s="4" t="s">
        <v>1017</v>
      </c>
      <c r="D2959" s="8" t="s">
        <v>3682</v>
      </c>
      <c r="E2959" s="4" t="s">
        <v>3</v>
      </c>
      <c r="F2959" s="2" t="str">
        <f t="shared" si="93"/>
        <v>Non-routine cognitive</v>
      </c>
    </row>
    <row r="2960" spans="1:6" ht="42.75" x14ac:dyDescent="0.4">
      <c r="A2960" s="3">
        <v>5164</v>
      </c>
      <c r="B2960" s="3" t="str">
        <f t="shared" si="92"/>
        <v>5</v>
      </c>
      <c r="C2960" s="4" t="s">
        <v>1017</v>
      </c>
      <c r="D2960" s="10" t="s">
        <v>3371</v>
      </c>
      <c r="E2960" s="4" t="s">
        <v>106</v>
      </c>
      <c r="F2960" s="2" t="str">
        <f t="shared" si="93"/>
        <v>Non-routine manual</v>
      </c>
    </row>
    <row r="2961" spans="1:6" ht="57" x14ac:dyDescent="0.4">
      <c r="A2961" s="3">
        <v>5165</v>
      </c>
      <c r="B2961" s="3" t="str">
        <f t="shared" si="92"/>
        <v>5</v>
      </c>
      <c r="C2961" s="4" t="s">
        <v>1019</v>
      </c>
      <c r="D2961" s="5" t="s">
        <v>3372</v>
      </c>
      <c r="E2961" s="4" t="s">
        <v>3</v>
      </c>
      <c r="F2961" s="2" t="str">
        <f t="shared" si="93"/>
        <v>Non-routine cognitive</v>
      </c>
    </row>
    <row r="2962" spans="1:6" x14ac:dyDescent="0.4">
      <c r="A2962" s="3">
        <v>5165</v>
      </c>
      <c r="B2962" s="3" t="str">
        <f t="shared" si="92"/>
        <v>5</v>
      </c>
      <c r="C2962" s="4" t="s">
        <v>1019</v>
      </c>
      <c r="D2962" s="14" t="s">
        <v>1020</v>
      </c>
      <c r="E2962" s="4" t="s">
        <v>3</v>
      </c>
      <c r="F2962" s="2" t="str">
        <f t="shared" si="93"/>
        <v>Non-routine cognitive</v>
      </c>
    </row>
    <row r="2963" spans="1:6" x14ac:dyDescent="0.4">
      <c r="A2963" s="3">
        <v>5165</v>
      </c>
      <c r="B2963" s="3" t="str">
        <f t="shared" si="92"/>
        <v>5</v>
      </c>
      <c r="C2963" s="4" t="s">
        <v>1019</v>
      </c>
      <c r="D2963" s="7" t="s">
        <v>1021</v>
      </c>
      <c r="E2963" s="4" t="s">
        <v>3</v>
      </c>
      <c r="F2963" s="2" t="str">
        <f t="shared" si="93"/>
        <v>Non-routine cognitive</v>
      </c>
    </row>
    <row r="2964" spans="1:6" ht="28.5" x14ac:dyDescent="0.4">
      <c r="A2964" s="3">
        <v>5165</v>
      </c>
      <c r="B2964" s="3" t="str">
        <f t="shared" si="92"/>
        <v>5</v>
      </c>
      <c r="C2964" s="4" t="s">
        <v>1019</v>
      </c>
      <c r="D2964" s="10" t="s">
        <v>3373</v>
      </c>
      <c r="E2964" s="4" t="s">
        <v>4</v>
      </c>
      <c r="F2964" s="2" t="str">
        <f t="shared" si="93"/>
        <v>Non-routine cognitive</v>
      </c>
    </row>
    <row r="2965" spans="1:6" ht="42.75" x14ac:dyDescent="0.4">
      <c r="A2965" s="3">
        <v>5165</v>
      </c>
      <c r="B2965" s="3" t="str">
        <f t="shared" si="92"/>
        <v>5</v>
      </c>
      <c r="C2965" s="4" t="s">
        <v>1019</v>
      </c>
      <c r="D2965" s="5" t="s">
        <v>3374</v>
      </c>
      <c r="E2965" s="4" t="s">
        <v>4</v>
      </c>
      <c r="F2965" s="2" t="str">
        <f t="shared" si="93"/>
        <v>Non-routine cognitive</v>
      </c>
    </row>
    <row r="2966" spans="1:6" ht="42.75" x14ac:dyDescent="0.4">
      <c r="A2966" s="3">
        <v>5165</v>
      </c>
      <c r="B2966" s="3" t="str">
        <f t="shared" si="92"/>
        <v>5</v>
      </c>
      <c r="C2966" s="4" t="s">
        <v>1019</v>
      </c>
      <c r="D2966" s="8" t="s">
        <v>3375</v>
      </c>
      <c r="E2966" s="4" t="s">
        <v>3</v>
      </c>
      <c r="F2966" s="2" t="str">
        <f t="shared" si="93"/>
        <v>Non-routine cognitive</v>
      </c>
    </row>
    <row r="2967" spans="1:6" ht="28.5" x14ac:dyDescent="0.4">
      <c r="A2967" s="3">
        <v>5241</v>
      </c>
      <c r="B2967" s="3" t="str">
        <f t="shared" si="92"/>
        <v>5</v>
      </c>
      <c r="C2967" s="4" t="s">
        <v>1022</v>
      </c>
      <c r="D2967" s="8" t="s">
        <v>3376</v>
      </c>
      <c r="E2967" s="4" t="s">
        <v>3</v>
      </c>
      <c r="F2967" s="2" t="str">
        <f t="shared" si="93"/>
        <v>Non-routine cognitive</v>
      </c>
    </row>
    <row r="2968" spans="1:6" ht="42.75" x14ac:dyDescent="0.4">
      <c r="A2968" s="3">
        <v>5241</v>
      </c>
      <c r="B2968" s="3" t="str">
        <f t="shared" si="92"/>
        <v>5</v>
      </c>
      <c r="C2968" s="4" t="s">
        <v>1022</v>
      </c>
      <c r="D2968" s="5" t="s">
        <v>3377</v>
      </c>
      <c r="E2968" s="4" t="s">
        <v>3</v>
      </c>
      <c r="F2968" s="2" t="str">
        <f t="shared" si="93"/>
        <v>Non-routine cognitive</v>
      </c>
    </row>
    <row r="2969" spans="1:6" ht="28.5" x14ac:dyDescent="0.4">
      <c r="A2969" s="3">
        <v>5241</v>
      </c>
      <c r="B2969" s="3" t="str">
        <f t="shared" si="92"/>
        <v>5</v>
      </c>
      <c r="C2969" s="4" t="s">
        <v>1022</v>
      </c>
      <c r="D2969" s="8" t="s">
        <v>3378</v>
      </c>
      <c r="E2969" s="4" t="s">
        <v>3</v>
      </c>
      <c r="F2969" s="2" t="str">
        <f t="shared" si="93"/>
        <v>Non-routine cognitive</v>
      </c>
    </row>
    <row r="2970" spans="1:6" ht="28.5" x14ac:dyDescent="0.4">
      <c r="A2970" s="3">
        <v>5241</v>
      </c>
      <c r="B2970" s="3" t="str">
        <f t="shared" si="92"/>
        <v>5</v>
      </c>
      <c r="C2970" s="4" t="s">
        <v>1022</v>
      </c>
      <c r="D2970" s="8" t="s">
        <v>3379</v>
      </c>
      <c r="E2970" s="4" t="s">
        <v>3</v>
      </c>
      <c r="F2970" s="2" t="str">
        <f t="shared" si="93"/>
        <v>Non-routine cognitive</v>
      </c>
    </row>
    <row r="2971" spans="1:6" ht="28.5" x14ac:dyDescent="0.4">
      <c r="A2971" s="3">
        <v>5241</v>
      </c>
      <c r="B2971" s="3" t="str">
        <f t="shared" si="92"/>
        <v>5</v>
      </c>
      <c r="C2971" s="4" t="s">
        <v>1022</v>
      </c>
      <c r="D2971" s="5" t="s">
        <v>3380</v>
      </c>
      <c r="E2971" s="4" t="s">
        <v>3</v>
      </c>
      <c r="F2971" s="2" t="str">
        <f t="shared" si="93"/>
        <v>Non-routine cognitive</v>
      </c>
    </row>
    <row r="2972" spans="1:6" ht="42.75" x14ac:dyDescent="0.4">
      <c r="A2972" s="3">
        <v>6210</v>
      </c>
      <c r="B2972" s="3" t="str">
        <f t="shared" si="92"/>
        <v>6</v>
      </c>
      <c r="C2972" s="4" t="s">
        <v>1023</v>
      </c>
      <c r="D2972" s="5" t="s">
        <v>3381</v>
      </c>
      <c r="E2972" s="4" t="s">
        <v>4</v>
      </c>
      <c r="F2972" s="2" t="str">
        <f t="shared" si="93"/>
        <v>Non-routine cognitive</v>
      </c>
    </row>
    <row r="2973" spans="1:6" ht="28.5" x14ac:dyDescent="0.4">
      <c r="A2973" s="3">
        <v>6210</v>
      </c>
      <c r="B2973" s="3" t="str">
        <f t="shared" si="92"/>
        <v>6</v>
      </c>
      <c r="C2973" s="4" t="s">
        <v>1023</v>
      </c>
      <c r="D2973" s="8" t="s">
        <v>3382</v>
      </c>
      <c r="E2973" s="4" t="s">
        <v>4</v>
      </c>
      <c r="F2973" s="2" t="str">
        <f t="shared" si="93"/>
        <v>Non-routine cognitive</v>
      </c>
    </row>
    <row r="2974" spans="1:6" ht="42.75" x14ac:dyDescent="0.4">
      <c r="A2974" s="3">
        <v>6210</v>
      </c>
      <c r="B2974" s="3" t="str">
        <f t="shared" si="92"/>
        <v>6</v>
      </c>
      <c r="C2974" s="4" t="s">
        <v>1023</v>
      </c>
      <c r="D2974" s="5" t="s">
        <v>3383</v>
      </c>
      <c r="E2974" s="4" t="s">
        <v>182</v>
      </c>
      <c r="F2974" s="2" t="str">
        <f t="shared" si="93"/>
        <v>Routine manual</v>
      </c>
    </row>
    <row r="2975" spans="1:6" ht="28.5" x14ac:dyDescent="0.4">
      <c r="A2975" s="3">
        <v>6210</v>
      </c>
      <c r="B2975" s="3" t="str">
        <f t="shared" si="92"/>
        <v>6</v>
      </c>
      <c r="C2975" s="4" t="s">
        <v>1023</v>
      </c>
      <c r="D2975" s="8" t="s">
        <v>3384</v>
      </c>
      <c r="E2975" s="4" t="s">
        <v>106</v>
      </c>
      <c r="F2975" s="2" t="str">
        <f t="shared" si="93"/>
        <v>Non-routine manual</v>
      </c>
    </row>
    <row r="2976" spans="1:6" ht="28.5" x14ac:dyDescent="0.4">
      <c r="A2976" s="3">
        <v>6210</v>
      </c>
      <c r="B2976" s="3" t="str">
        <f t="shared" si="92"/>
        <v>6</v>
      </c>
      <c r="C2976" s="4" t="s">
        <v>1023</v>
      </c>
      <c r="D2976" s="8" t="s">
        <v>3385</v>
      </c>
      <c r="E2976" s="4" t="s">
        <v>182</v>
      </c>
      <c r="F2976" s="2" t="str">
        <f t="shared" si="93"/>
        <v>Routine manual</v>
      </c>
    </row>
    <row r="2977" spans="1:6" ht="42.75" x14ac:dyDescent="0.4">
      <c r="A2977" s="3">
        <v>6210</v>
      </c>
      <c r="B2977" s="3" t="str">
        <f t="shared" si="92"/>
        <v>6</v>
      </c>
      <c r="C2977" s="4" t="s">
        <v>1023</v>
      </c>
      <c r="D2977" s="5" t="s">
        <v>3386</v>
      </c>
      <c r="E2977" s="4" t="s">
        <v>3</v>
      </c>
      <c r="F2977" s="2" t="str">
        <f t="shared" si="93"/>
        <v>Non-routine cognitive</v>
      </c>
    </row>
    <row r="2978" spans="1:6" ht="42.75" x14ac:dyDescent="0.4">
      <c r="A2978" s="3">
        <v>6210</v>
      </c>
      <c r="B2978" s="3" t="str">
        <f t="shared" si="92"/>
        <v>6</v>
      </c>
      <c r="C2978" s="4" t="s">
        <v>1023</v>
      </c>
      <c r="D2978" s="8" t="s">
        <v>3387</v>
      </c>
      <c r="E2978" s="4" t="s">
        <v>106</v>
      </c>
      <c r="F2978" s="2" t="str">
        <f t="shared" si="93"/>
        <v>Non-routine manual</v>
      </c>
    </row>
    <row r="2979" spans="1:6" ht="57" x14ac:dyDescent="0.4">
      <c r="A2979" s="3">
        <v>6210</v>
      </c>
      <c r="B2979" s="3" t="str">
        <f t="shared" si="92"/>
        <v>6</v>
      </c>
      <c r="C2979" s="4" t="s">
        <v>1023</v>
      </c>
      <c r="D2979" s="5" t="s">
        <v>3388</v>
      </c>
      <c r="E2979" s="4" t="s">
        <v>182</v>
      </c>
      <c r="F2979" s="2" t="str">
        <f t="shared" si="93"/>
        <v>Routine manual</v>
      </c>
    </row>
    <row r="2980" spans="1:6" ht="42.75" x14ac:dyDescent="0.4">
      <c r="A2980" s="3">
        <v>6210</v>
      </c>
      <c r="B2980" s="3" t="str">
        <f t="shared" si="92"/>
        <v>6</v>
      </c>
      <c r="C2980" s="4" t="s">
        <v>1023</v>
      </c>
      <c r="D2980" s="5" t="s">
        <v>3389</v>
      </c>
      <c r="E2980" s="4" t="s">
        <v>106</v>
      </c>
      <c r="F2980" s="2" t="str">
        <f t="shared" si="93"/>
        <v>Non-routine manual</v>
      </c>
    </row>
    <row r="2981" spans="1:6" ht="28.5" x14ac:dyDescent="0.4">
      <c r="A2981" s="3">
        <v>6210</v>
      </c>
      <c r="B2981" s="3" t="str">
        <f t="shared" si="92"/>
        <v>6</v>
      </c>
      <c r="C2981" s="4" t="s">
        <v>1023</v>
      </c>
      <c r="D2981" s="8" t="s">
        <v>3390</v>
      </c>
      <c r="E2981" s="4" t="s">
        <v>3</v>
      </c>
      <c r="F2981" s="2" t="str">
        <f t="shared" si="93"/>
        <v>Non-routine cognitive</v>
      </c>
    </row>
    <row r="2982" spans="1:6" ht="28.5" x14ac:dyDescent="0.4">
      <c r="A2982" s="3">
        <v>6222</v>
      </c>
      <c r="B2982" s="3" t="str">
        <f t="shared" si="92"/>
        <v>6</v>
      </c>
      <c r="C2982" s="4" t="s">
        <v>492</v>
      </c>
      <c r="D2982" s="5" t="s">
        <v>3391</v>
      </c>
      <c r="E2982" s="4" t="s">
        <v>106</v>
      </c>
      <c r="F2982" s="2" t="str">
        <f t="shared" si="93"/>
        <v>Non-routine manual</v>
      </c>
    </row>
    <row r="2983" spans="1:6" ht="42.75" x14ac:dyDescent="0.4">
      <c r="A2983" s="3">
        <v>6222</v>
      </c>
      <c r="B2983" s="3" t="str">
        <f t="shared" si="92"/>
        <v>6</v>
      </c>
      <c r="C2983" s="4" t="s">
        <v>492</v>
      </c>
      <c r="D2983" s="8" t="s">
        <v>3392</v>
      </c>
      <c r="E2983" s="4" t="s">
        <v>50</v>
      </c>
      <c r="F2983" s="2" t="str">
        <f t="shared" si="93"/>
        <v>Routine cognitive</v>
      </c>
    </row>
    <row r="2984" spans="1:6" ht="28.5" x14ac:dyDescent="0.4">
      <c r="A2984" s="3">
        <v>6222</v>
      </c>
      <c r="B2984" s="3" t="str">
        <f t="shared" si="92"/>
        <v>6</v>
      </c>
      <c r="C2984" s="5" t="s">
        <v>2362</v>
      </c>
      <c r="D2984" s="8" t="s">
        <v>3393</v>
      </c>
      <c r="E2984" s="4" t="s">
        <v>106</v>
      </c>
      <c r="F2984" s="2" t="str">
        <f t="shared" si="93"/>
        <v>Non-routine manual</v>
      </c>
    </row>
    <row r="2985" spans="1:6" ht="42.75" x14ac:dyDescent="0.4">
      <c r="A2985" s="3">
        <v>6222</v>
      </c>
      <c r="B2985" s="3" t="str">
        <f t="shared" si="92"/>
        <v>6</v>
      </c>
      <c r="C2985" s="4" t="s">
        <v>492</v>
      </c>
      <c r="D2985" s="5" t="s">
        <v>3394</v>
      </c>
      <c r="E2985" s="4" t="s">
        <v>106</v>
      </c>
      <c r="F2985" s="2" t="str">
        <f t="shared" si="93"/>
        <v>Non-routine manual</v>
      </c>
    </row>
    <row r="2986" spans="1:6" ht="28.5" x14ac:dyDescent="0.4">
      <c r="A2986" s="3">
        <v>6222</v>
      </c>
      <c r="B2986" s="3" t="str">
        <f t="shared" si="92"/>
        <v>6</v>
      </c>
      <c r="C2986" s="4" t="s">
        <v>492</v>
      </c>
      <c r="D2986" s="8" t="s">
        <v>3395</v>
      </c>
      <c r="E2986" s="4" t="s">
        <v>106</v>
      </c>
      <c r="F2986" s="2" t="str">
        <f t="shared" si="93"/>
        <v>Non-routine manual</v>
      </c>
    </row>
    <row r="2987" spans="1:6" ht="28.5" x14ac:dyDescent="0.4">
      <c r="A2987" s="3">
        <v>6222</v>
      </c>
      <c r="B2987" s="3" t="str">
        <f t="shared" si="92"/>
        <v>6</v>
      </c>
      <c r="C2987" s="4" t="s">
        <v>492</v>
      </c>
      <c r="D2987" s="8" t="s">
        <v>3396</v>
      </c>
      <c r="E2987" s="4" t="s">
        <v>106</v>
      </c>
      <c r="F2987" s="2" t="str">
        <f t="shared" si="93"/>
        <v>Non-routine manual</v>
      </c>
    </row>
    <row r="2988" spans="1:6" ht="57" x14ac:dyDescent="0.4">
      <c r="A2988" s="3">
        <v>6222</v>
      </c>
      <c r="B2988" s="3" t="str">
        <f t="shared" si="92"/>
        <v>6</v>
      </c>
      <c r="C2988" s="4" t="s">
        <v>492</v>
      </c>
      <c r="D2988" s="5" t="s">
        <v>3397</v>
      </c>
      <c r="E2988" s="4" t="s">
        <v>50</v>
      </c>
      <c r="F2988" s="2" t="str">
        <f t="shared" si="93"/>
        <v>Routine cognitive</v>
      </c>
    </row>
    <row r="2989" spans="1:6" ht="28.5" x14ac:dyDescent="0.4">
      <c r="A2989" s="3">
        <v>6222</v>
      </c>
      <c r="B2989" s="3" t="str">
        <f t="shared" si="92"/>
        <v>6</v>
      </c>
      <c r="C2989" s="5" t="s">
        <v>2365</v>
      </c>
      <c r="D2989" s="6" t="s">
        <v>1024</v>
      </c>
      <c r="E2989" s="4" t="s">
        <v>182</v>
      </c>
      <c r="F2989" s="2" t="str">
        <f t="shared" si="93"/>
        <v>Routine manual</v>
      </c>
    </row>
    <row r="2990" spans="1:6" ht="57" x14ac:dyDescent="0.4">
      <c r="A2990" s="3">
        <v>6222</v>
      </c>
      <c r="B2990" s="3" t="str">
        <f t="shared" si="92"/>
        <v>6</v>
      </c>
      <c r="C2990" s="4" t="s">
        <v>492</v>
      </c>
      <c r="D2990" s="5" t="s">
        <v>3398</v>
      </c>
      <c r="E2990" s="4" t="s">
        <v>50</v>
      </c>
      <c r="F2990" s="2" t="str">
        <f t="shared" si="93"/>
        <v>Routine cognitive</v>
      </c>
    </row>
    <row r="2991" spans="1:6" ht="28.5" x14ac:dyDescent="0.4">
      <c r="A2991" s="3">
        <v>6222</v>
      </c>
      <c r="B2991" s="3" t="str">
        <f t="shared" si="92"/>
        <v>6</v>
      </c>
      <c r="C2991" s="5" t="s">
        <v>2365</v>
      </c>
      <c r="D2991" s="10" t="s">
        <v>3399</v>
      </c>
      <c r="E2991" s="4" t="s">
        <v>3</v>
      </c>
      <c r="F2991" s="2" t="str">
        <f t="shared" si="93"/>
        <v>Non-routine cognitive</v>
      </c>
    </row>
    <row r="2992" spans="1:6" ht="28.5" x14ac:dyDescent="0.4">
      <c r="A2992" s="3">
        <v>6223</v>
      </c>
      <c r="B2992" s="3" t="str">
        <f t="shared" si="92"/>
        <v>6</v>
      </c>
      <c r="C2992" s="4" t="s">
        <v>1025</v>
      </c>
      <c r="D2992" s="5" t="s">
        <v>3391</v>
      </c>
      <c r="E2992" s="4" t="s">
        <v>106</v>
      </c>
      <c r="F2992" s="2" t="str">
        <f t="shared" si="93"/>
        <v>Non-routine manual</v>
      </c>
    </row>
    <row r="2993" spans="1:6" ht="28.5" x14ac:dyDescent="0.4">
      <c r="A2993" s="3">
        <v>6223</v>
      </c>
      <c r="B2993" s="3" t="str">
        <f t="shared" si="92"/>
        <v>6</v>
      </c>
      <c r="C2993" s="4" t="s">
        <v>1025</v>
      </c>
      <c r="D2993" s="8" t="s">
        <v>3400</v>
      </c>
      <c r="E2993" s="4" t="s">
        <v>106</v>
      </c>
      <c r="F2993" s="2" t="str">
        <f t="shared" si="93"/>
        <v>Non-routine manual</v>
      </c>
    </row>
    <row r="2994" spans="1:6" ht="42.75" x14ac:dyDescent="0.4">
      <c r="A2994" s="3">
        <v>6223</v>
      </c>
      <c r="B2994" s="3" t="str">
        <f t="shared" si="92"/>
        <v>6</v>
      </c>
      <c r="C2994" s="4" t="s">
        <v>1025</v>
      </c>
      <c r="D2994" s="5" t="s">
        <v>3401</v>
      </c>
      <c r="E2994" s="4" t="s">
        <v>50</v>
      </c>
      <c r="F2994" s="2" t="str">
        <f t="shared" si="93"/>
        <v>Routine cognitive</v>
      </c>
    </row>
    <row r="2995" spans="1:6" ht="42.75" x14ac:dyDescent="0.4">
      <c r="A2995" s="3">
        <v>6223</v>
      </c>
      <c r="B2995" s="3" t="str">
        <f t="shared" si="92"/>
        <v>6</v>
      </c>
      <c r="C2995" s="4" t="s">
        <v>1025</v>
      </c>
      <c r="D2995" s="5" t="s">
        <v>3402</v>
      </c>
      <c r="E2995" s="4" t="s">
        <v>106</v>
      </c>
      <c r="F2995" s="2" t="str">
        <f t="shared" si="93"/>
        <v>Non-routine manual</v>
      </c>
    </row>
    <row r="2996" spans="1:6" ht="28.5" x14ac:dyDescent="0.4">
      <c r="A2996" s="3">
        <v>6223</v>
      </c>
      <c r="B2996" s="3" t="str">
        <f t="shared" si="92"/>
        <v>6</v>
      </c>
      <c r="C2996" s="4" t="s">
        <v>1025</v>
      </c>
      <c r="D2996" s="10" t="s">
        <v>3403</v>
      </c>
      <c r="E2996" s="4" t="s">
        <v>3</v>
      </c>
      <c r="F2996" s="2" t="str">
        <f t="shared" si="93"/>
        <v>Non-routine cognitive</v>
      </c>
    </row>
    <row r="2997" spans="1:6" ht="28.5" x14ac:dyDescent="0.4">
      <c r="A2997" s="3">
        <v>6223</v>
      </c>
      <c r="B2997" s="3" t="str">
        <f t="shared" si="92"/>
        <v>6</v>
      </c>
      <c r="C2997" s="4" t="s">
        <v>1025</v>
      </c>
      <c r="D2997" s="8" t="s">
        <v>3404</v>
      </c>
      <c r="E2997" s="4" t="s">
        <v>50</v>
      </c>
      <c r="F2997" s="2" t="str">
        <f t="shared" si="93"/>
        <v>Routine cognitive</v>
      </c>
    </row>
    <row r="2998" spans="1:6" ht="28.5" x14ac:dyDescent="0.4">
      <c r="A2998" s="3">
        <v>6223</v>
      </c>
      <c r="B2998" s="3" t="str">
        <f t="shared" si="92"/>
        <v>6</v>
      </c>
      <c r="C2998" s="4" t="s">
        <v>1025</v>
      </c>
      <c r="D2998" s="14" t="s">
        <v>1026</v>
      </c>
      <c r="E2998" s="4" t="s">
        <v>106</v>
      </c>
      <c r="F2998" s="2" t="str">
        <f t="shared" si="93"/>
        <v>Non-routine manual</v>
      </c>
    </row>
    <row r="2999" spans="1:6" ht="28.5" x14ac:dyDescent="0.4">
      <c r="A2999" s="3">
        <v>6223</v>
      </c>
      <c r="B2999" s="3" t="str">
        <f t="shared" si="92"/>
        <v>6</v>
      </c>
      <c r="C2999" s="4" t="s">
        <v>1025</v>
      </c>
      <c r="D2999" s="4" t="s">
        <v>1027</v>
      </c>
      <c r="E2999" s="4" t="s">
        <v>106</v>
      </c>
      <c r="F2999" s="2" t="str">
        <f t="shared" si="93"/>
        <v>Non-routine manual</v>
      </c>
    </row>
    <row r="3000" spans="1:6" x14ac:dyDescent="0.4">
      <c r="A3000" s="3">
        <v>6223</v>
      </c>
      <c r="B3000" s="3" t="str">
        <f t="shared" si="92"/>
        <v>6</v>
      </c>
      <c r="C3000" s="4" t="s">
        <v>1025</v>
      </c>
      <c r="D3000" s="7" t="s">
        <v>1028</v>
      </c>
      <c r="E3000" s="4" t="s">
        <v>3</v>
      </c>
      <c r="F3000" s="2" t="str">
        <f t="shared" si="93"/>
        <v>Non-routine cognitive</v>
      </c>
    </row>
    <row r="3001" spans="1:6" ht="28.5" x14ac:dyDescent="0.4">
      <c r="A3001" s="3">
        <v>6224</v>
      </c>
      <c r="B3001" s="3" t="str">
        <f t="shared" si="92"/>
        <v>6</v>
      </c>
      <c r="C3001" s="4" t="s">
        <v>1029</v>
      </c>
      <c r="D3001" s="7" t="s">
        <v>1030</v>
      </c>
      <c r="E3001" s="4" t="s">
        <v>106</v>
      </c>
      <c r="F3001" s="2" t="str">
        <f t="shared" si="93"/>
        <v>Non-routine manual</v>
      </c>
    </row>
    <row r="3002" spans="1:6" ht="42.75" x14ac:dyDescent="0.4">
      <c r="A3002" s="3">
        <v>6224</v>
      </c>
      <c r="B3002" s="3" t="str">
        <f t="shared" si="92"/>
        <v>6</v>
      </c>
      <c r="C3002" s="4" t="s">
        <v>1029</v>
      </c>
      <c r="D3002" s="5" t="s">
        <v>3405</v>
      </c>
      <c r="E3002" s="4" t="s">
        <v>106</v>
      </c>
      <c r="F3002" s="2" t="str">
        <f t="shared" si="93"/>
        <v>Non-routine manual</v>
      </c>
    </row>
    <row r="3003" spans="1:6" ht="28.5" x14ac:dyDescent="0.4">
      <c r="A3003" s="3">
        <v>6224</v>
      </c>
      <c r="B3003" s="3" t="str">
        <f t="shared" si="92"/>
        <v>6</v>
      </c>
      <c r="C3003" s="4" t="s">
        <v>1029</v>
      </c>
      <c r="D3003" s="8" t="s">
        <v>3406</v>
      </c>
      <c r="E3003" s="4" t="s">
        <v>106</v>
      </c>
      <c r="F3003" s="2" t="str">
        <f t="shared" si="93"/>
        <v>Non-routine manual</v>
      </c>
    </row>
    <row r="3004" spans="1:6" ht="28.5" x14ac:dyDescent="0.4">
      <c r="A3004" s="3">
        <v>6224</v>
      </c>
      <c r="B3004" s="3" t="str">
        <f t="shared" si="92"/>
        <v>6</v>
      </c>
      <c r="C3004" s="4" t="s">
        <v>1029</v>
      </c>
      <c r="D3004" s="8" t="s">
        <v>3407</v>
      </c>
      <c r="E3004" s="4" t="s">
        <v>50</v>
      </c>
      <c r="F3004" s="2" t="str">
        <f t="shared" si="93"/>
        <v>Routine cognitive</v>
      </c>
    </row>
    <row r="3005" spans="1:6" ht="28.5" x14ac:dyDescent="0.4">
      <c r="A3005" s="3">
        <v>6224</v>
      </c>
      <c r="B3005" s="3" t="str">
        <f t="shared" si="92"/>
        <v>6</v>
      </c>
      <c r="C3005" s="4" t="s">
        <v>1029</v>
      </c>
      <c r="D3005" s="6" t="s">
        <v>1031</v>
      </c>
      <c r="E3005" s="4" t="s">
        <v>106</v>
      </c>
      <c r="F3005" s="2" t="str">
        <f t="shared" si="93"/>
        <v>Non-routine manual</v>
      </c>
    </row>
    <row r="3006" spans="1:6" ht="28.5" x14ac:dyDescent="0.4">
      <c r="A3006" s="3">
        <v>6310</v>
      </c>
      <c r="B3006" s="3" t="str">
        <f t="shared" si="92"/>
        <v>6</v>
      </c>
      <c r="C3006" s="4" t="s">
        <v>1032</v>
      </c>
      <c r="D3006" s="8" t="s">
        <v>3408</v>
      </c>
      <c r="E3006" s="4" t="s">
        <v>106</v>
      </c>
      <c r="F3006" s="2" t="str">
        <f t="shared" si="93"/>
        <v>Non-routine manual</v>
      </c>
    </row>
    <row r="3007" spans="1:6" ht="28.5" x14ac:dyDescent="0.4">
      <c r="A3007" s="3">
        <v>6310</v>
      </c>
      <c r="B3007" s="3" t="str">
        <f t="shared" si="92"/>
        <v>6</v>
      </c>
      <c r="C3007" s="4" t="s">
        <v>1032</v>
      </c>
      <c r="D3007" s="4" t="s">
        <v>499</v>
      </c>
      <c r="E3007" s="4" t="s">
        <v>106</v>
      </c>
      <c r="F3007" s="2" t="str">
        <f t="shared" si="93"/>
        <v>Non-routine manual</v>
      </c>
    </row>
    <row r="3008" spans="1:6" ht="28.5" x14ac:dyDescent="0.4">
      <c r="A3008" s="3">
        <v>6310</v>
      </c>
      <c r="B3008" s="3" t="str">
        <f t="shared" si="92"/>
        <v>6</v>
      </c>
      <c r="C3008" s="4" t="s">
        <v>1032</v>
      </c>
      <c r="D3008" s="14" t="s">
        <v>1033</v>
      </c>
      <c r="E3008" s="4" t="s">
        <v>106</v>
      </c>
      <c r="F3008" s="2" t="str">
        <f t="shared" si="93"/>
        <v>Non-routine manual</v>
      </c>
    </row>
    <row r="3009" spans="1:6" ht="28.5" x14ac:dyDescent="0.4">
      <c r="A3009" s="3">
        <v>6310</v>
      </c>
      <c r="B3009" s="3" t="str">
        <f t="shared" si="92"/>
        <v>6</v>
      </c>
      <c r="C3009" s="4" t="s">
        <v>1032</v>
      </c>
      <c r="D3009" s="8" t="s">
        <v>3409</v>
      </c>
      <c r="E3009" s="4" t="s">
        <v>106</v>
      </c>
      <c r="F3009" s="2" t="str">
        <f t="shared" si="93"/>
        <v>Non-routine manual</v>
      </c>
    </row>
    <row r="3010" spans="1:6" ht="28.5" x14ac:dyDescent="0.4">
      <c r="A3010" s="3">
        <v>6310</v>
      </c>
      <c r="B3010" s="3" t="str">
        <f t="shared" si="92"/>
        <v>6</v>
      </c>
      <c r="C3010" s="4" t="s">
        <v>1032</v>
      </c>
      <c r="D3010" s="6" t="s">
        <v>1034</v>
      </c>
      <c r="E3010" s="4" t="s">
        <v>106</v>
      </c>
      <c r="F3010" s="2" t="str">
        <f t="shared" si="93"/>
        <v>Non-routine manual</v>
      </c>
    </row>
    <row r="3011" spans="1:6" ht="28.5" x14ac:dyDescent="0.4">
      <c r="A3011" s="3">
        <v>6310</v>
      </c>
      <c r="B3011" s="3" t="str">
        <f t="shared" ref="B3011:B3074" si="94">LEFT(A3011,1)</f>
        <v>6</v>
      </c>
      <c r="C3011" s="4" t="s">
        <v>1032</v>
      </c>
      <c r="D3011" s="8" t="s">
        <v>3410</v>
      </c>
      <c r="E3011" s="4" t="s">
        <v>106</v>
      </c>
      <c r="F3011" s="2" t="str">
        <f t="shared" ref="F3011:F3074" si="95">IF(E3011="Non-routine interpersonal","Non-routine cognitive",IF(E3011="Non-routine analytical","Non-routine cognitive",IF(E3011="Non-routine manual physical","Non-routine manual",E3011)))</f>
        <v>Non-routine manual</v>
      </c>
    </row>
    <row r="3012" spans="1:6" x14ac:dyDescent="0.4">
      <c r="A3012" s="3">
        <v>6310</v>
      </c>
      <c r="B3012" s="3" t="str">
        <f t="shared" si="94"/>
        <v>6</v>
      </c>
      <c r="C3012" s="4" t="s">
        <v>1032</v>
      </c>
      <c r="D3012" s="6" t="s">
        <v>1035</v>
      </c>
      <c r="E3012" s="4" t="s">
        <v>50</v>
      </c>
      <c r="F3012" s="2" t="str">
        <f t="shared" si="95"/>
        <v>Routine cognitive</v>
      </c>
    </row>
    <row r="3013" spans="1:6" ht="42.75" x14ac:dyDescent="0.4">
      <c r="A3013" s="3">
        <v>6320</v>
      </c>
      <c r="B3013" s="3" t="str">
        <f t="shared" si="94"/>
        <v>6</v>
      </c>
      <c r="C3013" s="4" t="s">
        <v>1036</v>
      </c>
      <c r="D3013" s="8" t="s">
        <v>3411</v>
      </c>
      <c r="E3013" s="4" t="s">
        <v>50</v>
      </c>
      <c r="F3013" s="2" t="str">
        <f t="shared" si="95"/>
        <v>Routine cognitive</v>
      </c>
    </row>
    <row r="3014" spans="1:6" ht="28.5" x14ac:dyDescent="0.4">
      <c r="A3014" s="3">
        <v>6320</v>
      </c>
      <c r="B3014" s="3" t="str">
        <f t="shared" si="94"/>
        <v>6</v>
      </c>
      <c r="C3014" s="4" t="s">
        <v>1036</v>
      </c>
      <c r="D3014" s="8" t="s">
        <v>3412</v>
      </c>
      <c r="E3014" s="4" t="s">
        <v>50</v>
      </c>
      <c r="F3014" s="2" t="str">
        <f t="shared" si="95"/>
        <v>Routine cognitive</v>
      </c>
    </row>
    <row r="3015" spans="1:6" ht="28.5" x14ac:dyDescent="0.4">
      <c r="A3015" s="3">
        <v>6320</v>
      </c>
      <c r="B3015" s="3" t="str">
        <f t="shared" si="94"/>
        <v>6</v>
      </c>
      <c r="C3015" s="4" t="s">
        <v>1036</v>
      </c>
      <c r="D3015" s="8" t="s">
        <v>3413</v>
      </c>
      <c r="E3015" s="4" t="s">
        <v>106</v>
      </c>
      <c r="F3015" s="2" t="str">
        <f t="shared" si="95"/>
        <v>Non-routine manual</v>
      </c>
    </row>
    <row r="3016" spans="1:6" ht="28.5" x14ac:dyDescent="0.4">
      <c r="A3016" s="3">
        <v>6320</v>
      </c>
      <c r="B3016" s="3" t="str">
        <f t="shared" si="94"/>
        <v>6</v>
      </c>
      <c r="C3016" s="4" t="s">
        <v>1036</v>
      </c>
      <c r="D3016" s="8" t="s">
        <v>3414</v>
      </c>
      <c r="E3016" s="4" t="s">
        <v>3</v>
      </c>
      <c r="F3016" s="2" t="str">
        <f t="shared" si="95"/>
        <v>Non-routine cognitive</v>
      </c>
    </row>
    <row r="3017" spans="1:6" ht="28.5" x14ac:dyDescent="0.4">
      <c r="A3017" s="3">
        <v>6320</v>
      </c>
      <c r="B3017" s="3" t="str">
        <f t="shared" si="94"/>
        <v>6</v>
      </c>
      <c r="C3017" s="4" t="s">
        <v>1036</v>
      </c>
      <c r="D3017" s="8" t="s">
        <v>3415</v>
      </c>
      <c r="E3017" s="4" t="s">
        <v>106</v>
      </c>
      <c r="F3017" s="2" t="str">
        <f t="shared" si="95"/>
        <v>Non-routine manual</v>
      </c>
    </row>
    <row r="3018" spans="1:6" ht="28.5" x14ac:dyDescent="0.4">
      <c r="A3018" s="3">
        <v>6320</v>
      </c>
      <c r="B3018" s="3" t="str">
        <f t="shared" si="94"/>
        <v>6</v>
      </c>
      <c r="C3018" s="4" t="s">
        <v>1036</v>
      </c>
      <c r="D3018" s="7" t="s">
        <v>1037</v>
      </c>
      <c r="E3018" s="4" t="s">
        <v>106</v>
      </c>
      <c r="F3018" s="2" t="str">
        <f t="shared" si="95"/>
        <v>Non-routine manual</v>
      </c>
    </row>
    <row r="3019" spans="1:6" ht="42.75" x14ac:dyDescent="0.4">
      <c r="A3019" s="3">
        <v>6320</v>
      </c>
      <c r="B3019" s="3" t="str">
        <f t="shared" si="94"/>
        <v>6</v>
      </c>
      <c r="C3019" s="4" t="s">
        <v>1036</v>
      </c>
      <c r="D3019" s="8" t="s">
        <v>3416</v>
      </c>
      <c r="E3019" s="4" t="s">
        <v>106</v>
      </c>
      <c r="F3019" s="2" t="str">
        <f t="shared" si="95"/>
        <v>Non-routine manual</v>
      </c>
    </row>
    <row r="3020" spans="1:6" ht="28.5" x14ac:dyDescent="0.4">
      <c r="A3020" s="3">
        <v>6320</v>
      </c>
      <c r="B3020" s="3" t="str">
        <f t="shared" si="94"/>
        <v>6</v>
      </c>
      <c r="C3020" s="4" t="s">
        <v>1036</v>
      </c>
      <c r="D3020" s="4" t="s">
        <v>1038</v>
      </c>
      <c r="E3020" s="4" t="s">
        <v>106</v>
      </c>
      <c r="F3020" s="2" t="str">
        <f t="shared" si="95"/>
        <v>Non-routine manual</v>
      </c>
    </row>
    <row r="3021" spans="1:6" ht="28.5" x14ac:dyDescent="0.4">
      <c r="A3021" s="3">
        <v>6320</v>
      </c>
      <c r="B3021" s="3" t="str">
        <f t="shared" si="94"/>
        <v>6</v>
      </c>
      <c r="C3021" s="4" t="s">
        <v>1036</v>
      </c>
      <c r="D3021" s="6" t="s">
        <v>1039</v>
      </c>
      <c r="E3021" s="4" t="s">
        <v>106</v>
      </c>
      <c r="F3021" s="2" t="str">
        <f t="shared" si="95"/>
        <v>Non-routine manual</v>
      </c>
    </row>
    <row r="3022" spans="1:6" ht="28.5" x14ac:dyDescent="0.4">
      <c r="A3022" s="3">
        <v>6320</v>
      </c>
      <c r="B3022" s="3" t="str">
        <f t="shared" si="94"/>
        <v>6</v>
      </c>
      <c r="C3022" s="4" t="s">
        <v>1036</v>
      </c>
      <c r="D3022" s="8" t="s">
        <v>3417</v>
      </c>
      <c r="E3022" s="4" t="s">
        <v>106</v>
      </c>
      <c r="F3022" s="2" t="str">
        <f t="shared" si="95"/>
        <v>Non-routine manual</v>
      </c>
    </row>
    <row r="3023" spans="1:6" ht="28.5" x14ac:dyDescent="0.4">
      <c r="A3023" s="3">
        <v>6320</v>
      </c>
      <c r="B3023" s="3" t="str">
        <f t="shared" si="94"/>
        <v>6</v>
      </c>
      <c r="C3023" s="4" t="s">
        <v>1036</v>
      </c>
      <c r="D3023" s="14" t="s">
        <v>1040</v>
      </c>
      <c r="E3023" s="4" t="s">
        <v>106</v>
      </c>
      <c r="F3023" s="2" t="str">
        <f t="shared" si="95"/>
        <v>Non-routine manual</v>
      </c>
    </row>
    <row r="3024" spans="1:6" ht="28.5" x14ac:dyDescent="0.4">
      <c r="A3024" s="3">
        <v>6320</v>
      </c>
      <c r="B3024" s="3" t="str">
        <f t="shared" si="94"/>
        <v>6</v>
      </c>
      <c r="C3024" s="4" t="s">
        <v>1036</v>
      </c>
      <c r="D3024" s="10" t="s">
        <v>3418</v>
      </c>
      <c r="E3024" s="4" t="s">
        <v>50</v>
      </c>
      <c r="F3024" s="2" t="str">
        <f t="shared" si="95"/>
        <v>Routine cognitive</v>
      </c>
    </row>
    <row r="3025" spans="1:6" ht="28.5" x14ac:dyDescent="0.4">
      <c r="A3025" s="3">
        <v>6340</v>
      </c>
      <c r="B3025" s="3" t="str">
        <f t="shared" si="94"/>
        <v>6</v>
      </c>
      <c r="C3025" s="4" t="s">
        <v>1041</v>
      </c>
      <c r="D3025" s="10" t="s">
        <v>3419</v>
      </c>
      <c r="E3025" s="4" t="s">
        <v>106</v>
      </c>
      <c r="F3025" s="2" t="str">
        <f t="shared" si="95"/>
        <v>Non-routine manual</v>
      </c>
    </row>
    <row r="3026" spans="1:6" ht="28.5" x14ac:dyDescent="0.4">
      <c r="A3026" s="3">
        <v>6340</v>
      </c>
      <c r="B3026" s="3" t="str">
        <f t="shared" si="94"/>
        <v>6</v>
      </c>
      <c r="C3026" s="4" t="s">
        <v>1041</v>
      </c>
      <c r="D3026" s="5" t="s">
        <v>3420</v>
      </c>
      <c r="E3026" s="4" t="s">
        <v>106</v>
      </c>
      <c r="F3026" s="2" t="str">
        <f t="shared" si="95"/>
        <v>Non-routine manual</v>
      </c>
    </row>
    <row r="3027" spans="1:6" ht="28.5" x14ac:dyDescent="0.4">
      <c r="A3027" s="3">
        <v>6340</v>
      </c>
      <c r="B3027" s="3" t="str">
        <f t="shared" si="94"/>
        <v>6</v>
      </c>
      <c r="C3027" s="4" t="s">
        <v>1041</v>
      </c>
      <c r="D3027" s="14" t="s">
        <v>1033</v>
      </c>
      <c r="E3027" s="4" t="s">
        <v>106</v>
      </c>
      <c r="F3027" s="2" t="str">
        <f t="shared" si="95"/>
        <v>Non-routine manual</v>
      </c>
    </row>
    <row r="3028" spans="1:6" ht="28.5" x14ac:dyDescent="0.4">
      <c r="A3028" s="3">
        <v>6340</v>
      </c>
      <c r="B3028" s="3" t="str">
        <f t="shared" si="94"/>
        <v>6</v>
      </c>
      <c r="C3028" s="4" t="s">
        <v>1041</v>
      </c>
      <c r="D3028" s="11" t="s">
        <v>3421</v>
      </c>
      <c r="E3028" s="4" t="s">
        <v>106</v>
      </c>
      <c r="F3028" s="2" t="str">
        <f t="shared" si="95"/>
        <v>Non-routine manual</v>
      </c>
    </row>
    <row r="3029" spans="1:6" ht="28.5" x14ac:dyDescent="0.4">
      <c r="A3029" s="3">
        <v>6340</v>
      </c>
      <c r="B3029" s="3" t="str">
        <f t="shared" si="94"/>
        <v>6</v>
      </c>
      <c r="C3029" s="4" t="s">
        <v>1041</v>
      </c>
      <c r="D3029" s="10" t="s">
        <v>3422</v>
      </c>
      <c r="E3029" s="4" t="s">
        <v>106</v>
      </c>
      <c r="F3029" s="2" t="str">
        <f t="shared" si="95"/>
        <v>Non-routine manual</v>
      </c>
    </row>
    <row r="3030" spans="1:6" ht="28.5" x14ac:dyDescent="0.4">
      <c r="A3030" s="3">
        <v>6340</v>
      </c>
      <c r="B3030" s="3" t="str">
        <f t="shared" si="94"/>
        <v>6</v>
      </c>
      <c r="C3030" s="4" t="s">
        <v>1041</v>
      </c>
      <c r="D3030" s="6" t="s">
        <v>1042</v>
      </c>
      <c r="E3030" s="4" t="s">
        <v>106</v>
      </c>
      <c r="F3030" s="2" t="str">
        <f t="shared" si="95"/>
        <v>Non-routine manual</v>
      </c>
    </row>
    <row r="3031" spans="1:6" ht="28.5" x14ac:dyDescent="0.4">
      <c r="A3031" s="3">
        <v>6340</v>
      </c>
      <c r="B3031" s="3" t="str">
        <f t="shared" si="94"/>
        <v>6</v>
      </c>
      <c r="C3031" s="4" t="s">
        <v>1041</v>
      </c>
      <c r="D3031" s="8" t="s">
        <v>3423</v>
      </c>
      <c r="E3031" s="4" t="s">
        <v>106</v>
      </c>
      <c r="F3031" s="2" t="str">
        <f t="shared" si="95"/>
        <v>Non-routine manual</v>
      </c>
    </row>
    <row r="3032" spans="1:6" ht="28.5" x14ac:dyDescent="0.4">
      <c r="A3032" s="3">
        <v>6340</v>
      </c>
      <c r="B3032" s="3" t="str">
        <f t="shared" si="94"/>
        <v>6</v>
      </c>
      <c r="C3032" s="4" t="s">
        <v>1041</v>
      </c>
      <c r="D3032" s="6" t="s">
        <v>1043</v>
      </c>
      <c r="E3032" s="4" t="s">
        <v>50</v>
      </c>
      <c r="F3032" s="2" t="str">
        <f t="shared" si="95"/>
        <v>Routine cognitive</v>
      </c>
    </row>
    <row r="3033" spans="1:6" ht="28.5" x14ac:dyDescent="0.4">
      <c r="A3033" s="3">
        <v>7111</v>
      </c>
      <c r="B3033" s="3" t="str">
        <f t="shared" si="94"/>
        <v>7</v>
      </c>
      <c r="C3033" s="4" t="s">
        <v>1044</v>
      </c>
      <c r="D3033" s="10" t="s">
        <v>3424</v>
      </c>
      <c r="E3033" s="4" t="s">
        <v>106</v>
      </c>
      <c r="F3033" s="2" t="str">
        <f t="shared" si="95"/>
        <v>Non-routine manual</v>
      </c>
    </row>
    <row r="3034" spans="1:6" ht="28.5" x14ac:dyDescent="0.4">
      <c r="A3034" s="3">
        <v>7111</v>
      </c>
      <c r="B3034" s="3" t="str">
        <f t="shared" si="94"/>
        <v>7</v>
      </c>
      <c r="C3034" s="4" t="s">
        <v>1044</v>
      </c>
      <c r="D3034" s="10" t="s">
        <v>3425</v>
      </c>
      <c r="E3034" s="4" t="s">
        <v>106</v>
      </c>
      <c r="F3034" s="2" t="str">
        <f t="shared" si="95"/>
        <v>Non-routine manual</v>
      </c>
    </row>
    <row r="3035" spans="1:6" ht="28.5" x14ac:dyDescent="0.4">
      <c r="A3035" s="3">
        <v>7111</v>
      </c>
      <c r="B3035" s="3" t="str">
        <f t="shared" si="94"/>
        <v>7</v>
      </c>
      <c r="C3035" s="4" t="s">
        <v>1044</v>
      </c>
      <c r="D3035" s="8" t="s">
        <v>3426</v>
      </c>
      <c r="E3035" s="4" t="s">
        <v>106</v>
      </c>
      <c r="F3035" s="2" t="str">
        <f t="shared" si="95"/>
        <v>Non-routine manual</v>
      </c>
    </row>
    <row r="3036" spans="1:6" ht="28.5" x14ac:dyDescent="0.4">
      <c r="A3036" s="3">
        <v>7111</v>
      </c>
      <c r="B3036" s="3" t="str">
        <f t="shared" si="94"/>
        <v>7</v>
      </c>
      <c r="C3036" s="4" t="s">
        <v>1044</v>
      </c>
      <c r="D3036" s="6" t="s">
        <v>1045</v>
      </c>
      <c r="E3036" s="4" t="s">
        <v>106</v>
      </c>
      <c r="F3036" s="2" t="str">
        <f t="shared" si="95"/>
        <v>Non-routine manual</v>
      </c>
    </row>
    <row r="3037" spans="1:6" ht="28.5" x14ac:dyDescent="0.4">
      <c r="A3037" s="3">
        <v>7111</v>
      </c>
      <c r="B3037" s="3" t="str">
        <f t="shared" si="94"/>
        <v>7</v>
      </c>
      <c r="C3037" s="4" t="s">
        <v>1044</v>
      </c>
      <c r="D3037" s="6" t="s">
        <v>1046</v>
      </c>
      <c r="E3037" s="4" t="s">
        <v>106</v>
      </c>
      <c r="F3037" s="2" t="str">
        <f t="shared" si="95"/>
        <v>Non-routine manual</v>
      </c>
    </row>
    <row r="3038" spans="1:6" ht="42.75" x14ac:dyDescent="0.4">
      <c r="A3038" s="3">
        <v>7111</v>
      </c>
      <c r="B3038" s="3" t="str">
        <f t="shared" si="94"/>
        <v>7</v>
      </c>
      <c r="C3038" s="4" t="s">
        <v>1044</v>
      </c>
      <c r="D3038" s="5" t="s">
        <v>3427</v>
      </c>
      <c r="E3038" s="4" t="s">
        <v>3</v>
      </c>
      <c r="F3038" s="2" t="str">
        <f t="shared" si="95"/>
        <v>Non-routine cognitive</v>
      </c>
    </row>
    <row r="3039" spans="1:6" ht="42.75" x14ac:dyDescent="0.4">
      <c r="A3039" s="3">
        <v>7111</v>
      </c>
      <c r="B3039" s="3" t="str">
        <f t="shared" si="94"/>
        <v>7</v>
      </c>
      <c r="C3039" s="4" t="s">
        <v>1044</v>
      </c>
      <c r="D3039" s="8" t="s">
        <v>3428</v>
      </c>
      <c r="E3039" s="4" t="s">
        <v>3</v>
      </c>
      <c r="F3039" s="2" t="str">
        <f t="shared" si="95"/>
        <v>Non-routine cognitive</v>
      </c>
    </row>
    <row r="3040" spans="1:6" ht="42.75" x14ac:dyDescent="0.4">
      <c r="A3040" s="3">
        <v>7114</v>
      </c>
      <c r="B3040" s="3" t="str">
        <f t="shared" si="94"/>
        <v>7</v>
      </c>
      <c r="C3040" s="4" t="s">
        <v>1047</v>
      </c>
      <c r="D3040" s="8" t="s">
        <v>3429</v>
      </c>
      <c r="E3040" s="4" t="s">
        <v>106</v>
      </c>
      <c r="F3040" s="2" t="str">
        <f t="shared" si="95"/>
        <v>Non-routine manual</v>
      </c>
    </row>
    <row r="3041" spans="1:6" ht="28.5" x14ac:dyDescent="0.4">
      <c r="A3041" s="3">
        <v>7114</v>
      </c>
      <c r="B3041" s="3" t="str">
        <f t="shared" si="94"/>
        <v>7</v>
      </c>
      <c r="C3041" s="4" t="s">
        <v>1047</v>
      </c>
      <c r="D3041" s="8" t="s">
        <v>3430</v>
      </c>
      <c r="E3041" s="4" t="s">
        <v>106</v>
      </c>
      <c r="F3041" s="2" t="str">
        <f t="shared" si="95"/>
        <v>Non-routine manual</v>
      </c>
    </row>
    <row r="3042" spans="1:6" ht="28.5" x14ac:dyDescent="0.4">
      <c r="A3042" s="3">
        <v>7114</v>
      </c>
      <c r="B3042" s="3" t="str">
        <f t="shared" si="94"/>
        <v>7</v>
      </c>
      <c r="C3042" s="4" t="s">
        <v>1047</v>
      </c>
      <c r="D3042" s="9" t="s">
        <v>1048</v>
      </c>
      <c r="E3042" s="4" t="s">
        <v>106</v>
      </c>
      <c r="F3042" s="2" t="str">
        <f t="shared" si="95"/>
        <v>Non-routine manual</v>
      </c>
    </row>
    <row r="3043" spans="1:6" ht="28.5" x14ac:dyDescent="0.4">
      <c r="A3043" s="3">
        <v>7114</v>
      </c>
      <c r="B3043" s="3" t="str">
        <f t="shared" si="94"/>
        <v>7</v>
      </c>
      <c r="C3043" s="4" t="s">
        <v>1047</v>
      </c>
      <c r="D3043" s="18" t="s">
        <v>1049</v>
      </c>
      <c r="E3043" s="4" t="s">
        <v>106</v>
      </c>
      <c r="F3043" s="2" t="str">
        <f t="shared" si="95"/>
        <v>Non-routine manual</v>
      </c>
    </row>
    <row r="3044" spans="1:6" ht="42.75" x14ac:dyDescent="0.4">
      <c r="A3044" s="3">
        <v>7114</v>
      </c>
      <c r="B3044" s="3" t="str">
        <f t="shared" si="94"/>
        <v>7</v>
      </c>
      <c r="C3044" s="4" t="s">
        <v>1047</v>
      </c>
      <c r="D3044" s="8" t="s">
        <v>3431</v>
      </c>
      <c r="E3044" s="4" t="s">
        <v>106</v>
      </c>
      <c r="F3044" s="2" t="str">
        <f t="shared" si="95"/>
        <v>Non-routine manual</v>
      </c>
    </row>
    <row r="3045" spans="1:6" ht="42.75" x14ac:dyDescent="0.4">
      <c r="A3045" s="3">
        <v>7123</v>
      </c>
      <c r="B3045" s="3" t="str">
        <f t="shared" si="94"/>
        <v>7</v>
      </c>
      <c r="C3045" s="4" t="s">
        <v>1050</v>
      </c>
      <c r="D3045" s="8" t="s">
        <v>3432</v>
      </c>
      <c r="E3045" s="4" t="s">
        <v>106</v>
      </c>
      <c r="F3045" s="2" t="str">
        <f t="shared" si="95"/>
        <v>Non-routine manual</v>
      </c>
    </row>
    <row r="3046" spans="1:6" ht="42.75" x14ac:dyDescent="0.4">
      <c r="A3046" s="3">
        <v>7123</v>
      </c>
      <c r="B3046" s="3" t="str">
        <f t="shared" si="94"/>
        <v>7</v>
      </c>
      <c r="C3046" s="4" t="s">
        <v>1050</v>
      </c>
      <c r="D3046" s="5" t="s">
        <v>3433</v>
      </c>
      <c r="E3046" s="4" t="s">
        <v>50</v>
      </c>
      <c r="F3046" s="2" t="str">
        <f t="shared" si="95"/>
        <v>Routine cognitive</v>
      </c>
    </row>
    <row r="3047" spans="1:6" ht="42.75" x14ac:dyDescent="0.4">
      <c r="A3047" s="3">
        <v>7123</v>
      </c>
      <c r="B3047" s="3" t="str">
        <f t="shared" si="94"/>
        <v>7</v>
      </c>
      <c r="C3047" s="4" t="s">
        <v>1050</v>
      </c>
      <c r="D3047" s="8" t="s">
        <v>3434</v>
      </c>
      <c r="E3047" s="4" t="s">
        <v>50</v>
      </c>
      <c r="F3047" s="2" t="str">
        <f t="shared" si="95"/>
        <v>Routine cognitive</v>
      </c>
    </row>
    <row r="3048" spans="1:6" ht="42.75" x14ac:dyDescent="0.4">
      <c r="A3048" s="3">
        <v>7123</v>
      </c>
      <c r="B3048" s="3" t="str">
        <f t="shared" si="94"/>
        <v>7</v>
      </c>
      <c r="C3048" s="4" t="s">
        <v>1050</v>
      </c>
      <c r="D3048" s="10" t="s">
        <v>3435</v>
      </c>
      <c r="E3048" s="4" t="s">
        <v>106</v>
      </c>
      <c r="F3048" s="2" t="str">
        <f t="shared" si="95"/>
        <v>Non-routine manual</v>
      </c>
    </row>
    <row r="3049" spans="1:6" ht="42.75" x14ac:dyDescent="0.4">
      <c r="A3049" s="3">
        <v>7123</v>
      </c>
      <c r="B3049" s="3" t="str">
        <f t="shared" si="94"/>
        <v>7</v>
      </c>
      <c r="C3049" s="4" t="s">
        <v>1050</v>
      </c>
      <c r="D3049" s="8" t="s">
        <v>3436</v>
      </c>
      <c r="E3049" s="4" t="s">
        <v>106</v>
      </c>
      <c r="F3049" s="2" t="str">
        <f t="shared" si="95"/>
        <v>Non-routine manual</v>
      </c>
    </row>
    <row r="3050" spans="1:6" ht="28.5" x14ac:dyDescent="0.4">
      <c r="A3050" s="3">
        <v>7123</v>
      </c>
      <c r="B3050" s="3" t="str">
        <f t="shared" si="94"/>
        <v>7</v>
      </c>
      <c r="C3050" s="4" t="s">
        <v>1050</v>
      </c>
      <c r="D3050" s="8" t="s">
        <v>3437</v>
      </c>
      <c r="E3050" s="4" t="s">
        <v>106</v>
      </c>
      <c r="F3050" s="2" t="str">
        <f t="shared" si="95"/>
        <v>Non-routine manual</v>
      </c>
    </row>
    <row r="3051" spans="1:6" ht="42.75" x14ac:dyDescent="0.4">
      <c r="A3051" s="3">
        <v>7123</v>
      </c>
      <c r="B3051" s="3" t="str">
        <f t="shared" si="94"/>
        <v>7</v>
      </c>
      <c r="C3051" s="4" t="s">
        <v>1050</v>
      </c>
      <c r="D3051" s="8" t="s">
        <v>3438</v>
      </c>
      <c r="E3051" s="4" t="s">
        <v>106</v>
      </c>
      <c r="F3051" s="2" t="str">
        <f t="shared" si="95"/>
        <v>Non-routine manual</v>
      </c>
    </row>
    <row r="3052" spans="1:6" ht="42.75" x14ac:dyDescent="0.4">
      <c r="A3052" s="3">
        <v>7133</v>
      </c>
      <c r="B3052" s="3" t="str">
        <f t="shared" si="94"/>
        <v>7</v>
      </c>
      <c r="C3052" s="4" t="s">
        <v>1051</v>
      </c>
      <c r="D3052" s="5" t="s">
        <v>3439</v>
      </c>
      <c r="E3052" s="4" t="s">
        <v>106</v>
      </c>
      <c r="F3052" s="2" t="str">
        <f t="shared" si="95"/>
        <v>Non-routine manual</v>
      </c>
    </row>
    <row r="3053" spans="1:6" ht="28.5" x14ac:dyDescent="0.4">
      <c r="A3053" s="3">
        <v>7133</v>
      </c>
      <c r="B3053" s="3" t="str">
        <f t="shared" si="94"/>
        <v>7</v>
      </c>
      <c r="C3053" s="4" t="s">
        <v>1051</v>
      </c>
      <c r="D3053" s="8" t="s">
        <v>3440</v>
      </c>
      <c r="E3053" s="4" t="s">
        <v>106</v>
      </c>
      <c r="F3053" s="2" t="str">
        <f t="shared" si="95"/>
        <v>Non-routine manual</v>
      </c>
    </row>
    <row r="3054" spans="1:6" ht="28.5" x14ac:dyDescent="0.4">
      <c r="A3054" s="3">
        <v>7133</v>
      </c>
      <c r="B3054" s="3" t="str">
        <f t="shared" si="94"/>
        <v>7</v>
      </c>
      <c r="C3054" s="4" t="s">
        <v>1051</v>
      </c>
      <c r="D3054" s="8" t="s">
        <v>3441</v>
      </c>
      <c r="E3054" s="4" t="s">
        <v>106</v>
      </c>
      <c r="F3054" s="2" t="str">
        <f t="shared" si="95"/>
        <v>Non-routine manual</v>
      </c>
    </row>
    <row r="3055" spans="1:6" ht="28.5" x14ac:dyDescent="0.4">
      <c r="A3055" s="3">
        <v>7234</v>
      </c>
      <c r="B3055" s="3" t="str">
        <f t="shared" si="94"/>
        <v>7</v>
      </c>
      <c r="C3055" s="4" t="s">
        <v>1052</v>
      </c>
      <c r="D3055" s="8" t="s">
        <v>3442</v>
      </c>
      <c r="E3055" s="4" t="s">
        <v>106</v>
      </c>
      <c r="F3055" s="2" t="str">
        <f t="shared" si="95"/>
        <v>Non-routine manual</v>
      </c>
    </row>
    <row r="3056" spans="1:6" ht="28.5" x14ac:dyDescent="0.4">
      <c r="A3056" s="3">
        <v>7234</v>
      </c>
      <c r="B3056" s="3" t="str">
        <f t="shared" si="94"/>
        <v>7</v>
      </c>
      <c r="C3056" s="4" t="s">
        <v>1052</v>
      </c>
      <c r="D3056" s="8" t="s">
        <v>3443</v>
      </c>
      <c r="E3056" s="4" t="s">
        <v>106</v>
      </c>
      <c r="F3056" s="2" t="str">
        <f t="shared" si="95"/>
        <v>Non-routine manual</v>
      </c>
    </row>
    <row r="3057" spans="1:6" ht="42.75" x14ac:dyDescent="0.4">
      <c r="A3057" s="3">
        <v>7234</v>
      </c>
      <c r="B3057" s="3" t="str">
        <f t="shared" si="94"/>
        <v>7</v>
      </c>
      <c r="C3057" s="4" t="s">
        <v>1052</v>
      </c>
      <c r="D3057" s="5" t="s">
        <v>3444</v>
      </c>
      <c r="E3057" s="4" t="s">
        <v>106</v>
      </c>
      <c r="F3057" s="2" t="str">
        <f t="shared" si="95"/>
        <v>Non-routine manual</v>
      </c>
    </row>
    <row r="3058" spans="1:6" ht="28.5" x14ac:dyDescent="0.4">
      <c r="A3058" s="3">
        <v>7234</v>
      </c>
      <c r="B3058" s="3" t="str">
        <f t="shared" si="94"/>
        <v>7</v>
      </c>
      <c r="C3058" s="4" t="s">
        <v>1052</v>
      </c>
      <c r="D3058" s="14" t="s">
        <v>1053</v>
      </c>
      <c r="E3058" s="4" t="s">
        <v>106</v>
      </c>
      <c r="F3058" s="2" t="str">
        <f t="shared" si="95"/>
        <v>Non-routine manual</v>
      </c>
    </row>
    <row r="3059" spans="1:6" ht="28.5" x14ac:dyDescent="0.4">
      <c r="A3059" s="3">
        <v>7234</v>
      </c>
      <c r="B3059" s="3" t="str">
        <f t="shared" si="94"/>
        <v>7</v>
      </c>
      <c r="C3059" s="4" t="s">
        <v>1052</v>
      </c>
      <c r="D3059" s="9" t="s">
        <v>1054</v>
      </c>
      <c r="E3059" s="4" t="s">
        <v>106</v>
      </c>
      <c r="F3059" s="2" t="str">
        <f t="shared" si="95"/>
        <v>Non-routine manual</v>
      </c>
    </row>
    <row r="3060" spans="1:6" ht="28.5" x14ac:dyDescent="0.4">
      <c r="A3060" s="3">
        <v>7234</v>
      </c>
      <c r="B3060" s="3" t="str">
        <f t="shared" si="94"/>
        <v>7</v>
      </c>
      <c r="C3060" s="4" t="s">
        <v>1052</v>
      </c>
      <c r="D3060" s="8" t="s">
        <v>3445</v>
      </c>
      <c r="E3060" s="4" t="s">
        <v>106</v>
      </c>
      <c r="F3060" s="2" t="str">
        <f t="shared" si="95"/>
        <v>Non-routine manual</v>
      </c>
    </row>
    <row r="3061" spans="1:6" ht="28.5" x14ac:dyDescent="0.4">
      <c r="A3061" s="3">
        <v>7314</v>
      </c>
      <c r="B3061" s="3" t="str">
        <f t="shared" si="94"/>
        <v>7</v>
      </c>
      <c r="C3061" s="4" t="s">
        <v>1055</v>
      </c>
      <c r="D3061" s="6" t="s">
        <v>1056</v>
      </c>
      <c r="E3061" s="4" t="s">
        <v>106</v>
      </c>
      <c r="F3061" s="2" t="str">
        <f t="shared" si="95"/>
        <v>Non-routine manual</v>
      </c>
    </row>
    <row r="3062" spans="1:6" ht="28.5" x14ac:dyDescent="0.4">
      <c r="A3062" s="3">
        <v>7314</v>
      </c>
      <c r="B3062" s="3" t="str">
        <f t="shared" si="94"/>
        <v>7</v>
      </c>
      <c r="C3062" s="4" t="s">
        <v>1055</v>
      </c>
      <c r="D3062" s="6" t="s">
        <v>1057</v>
      </c>
      <c r="E3062" s="4" t="s">
        <v>106</v>
      </c>
      <c r="F3062" s="2" t="str">
        <f t="shared" si="95"/>
        <v>Non-routine manual</v>
      </c>
    </row>
    <row r="3063" spans="1:6" ht="28.5" x14ac:dyDescent="0.4">
      <c r="A3063" s="3">
        <v>7314</v>
      </c>
      <c r="B3063" s="3" t="str">
        <f t="shared" si="94"/>
        <v>7</v>
      </c>
      <c r="C3063" s="4" t="s">
        <v>1055</v>
      </c>
      <c r="D3063" s="8" t="s">
        <v>3446</v>
      </c>
      <c r="E3063" s="4" t="s">
        <v>50</v>
      </c>
      <c r="F3063" s="2" t="str">
        <f t="shared" si="95"/>
        <v>Routine cognitive</v>
      </c>
    </row>
    <row r="3064" spans="1:6" ht="71.25" x14ac:dyDescent="0.4">
      <c r="A3064" s="3">
        <v>7314</v>
      </c>
      <c r="B3064" s="3" t="str">
        <f t="shared" si="94"/>
        <v>7</v>
      </c>
      <c r="C3064" s="4" t="s">
        <v>1055</v>
      </c>
      <c r="D3064" s="5" t="s">
        <v>3447</v>
      </c>
      <c r="E3064" s="4" t="s">
        <v>106</v>
      </c>
      <c r="F3064" s="2" t="str">
        <f t="shared" si="95"/>
        <v>Non-routine manual</v>
      </c>
    </row>
    <row r="3065" spans="1:6" ht="42.75" x14ac:dyDescent="0.4">
      <c r="A3065" s="3">
        <v>7314</v>
      </c>
      <c r="B3065" s="3" t="str">
        <f t="shared" si="94"/>
        <v>7</v>
      </c>
      <c r="C3065" s="4" t="s">
        <v>1055</v>
      </c>
      <c r="D3065" s="10" t="s">
        <v>3448</v>
      </c>
      <c r="E3065" s="4" t="s">
        <v>182</v>
      </c>
      <c r="F3065" s="2" t="str">
        <f t="shared" si="95"/>
        <v>Routine manual</v>
      </c>
    </row>
    <row r="3066" spans="1:6" ht="28.5" x14ac:dyDescent="0.4">
      <c r="A3066" s="3">
        <v>7314</v>
      </c>
      <c r="B3066" s="3" t="str">
        <f t="shared" si="94"/>
        <v>7</v>
      </c>
      <c r="C3066" s="4" t="s">
        <v>1055</v>
      </c>
      <c r="D3066" s="8" t="s">
        <v>3449</v>
      </c>
      <c r="E3066" s="4" t="s">
        <v>182</v>
      </c>
      <c r="F3066" s="2" t="str">
        <f t="shared" si="95"/>
        <v>Routine manual</v>
      </c>
    </row>
    <row r="3067" spans="1:6" ht="42.75" x14ac:dyDescent="0.4">
      <c r="A3067" s="3">
        <v>7314</v>
      </c>
      <c r="B3067" s="3" t="str">
        <f t="shared" si="94"/>
        <v>7</v>
      </c>
      <c r="C3067" s="4" t="s">
        <v>1055</v>
      </c>
      <c r="D3067" s="8" t="s">
        <v>3450</v>
      </c>
      <c r="E3067" s="4" t="s">
        <v>182</v>
      </c>
      <c r="F3067" s="2" t="str">
        <f t="shared" si="95"/>
        <v>Routine manual</v>
      </c>
    </row>
    <row r="3068" spans="1:6" ht="28.5" x14ac:dyDescent="0.4">
      <c r="A3068" s="3">
        <v>7314</v>
      </c>
      <c r="B3068" s="3" t="str">
        <f t="shared" si="94"/>
        <v>7</v>
      </c>
      <c r="C3068" s="4" t="s">
        <v>1055</v>
      </c>
      <c r="D3068" s="8" t="s">
        <v>3451</v>
      </c>
      <c r="E3068" s="4" t="s">
        <v>106</v>
      </c>
      <c r="F3068" s="2" t="str">
        <f t="shared" si="95"/>
        <v>Non-routine manual</v>
      </c>
    </row>
    <row r="3069" spans="1:6" ht="42.75" x14ac:dyDescent="0.4">
      <c r="A3069" s="3">
        <v>7314</v>
      </c>
      <c r="B3069" s="3" t="str">
        <f t="shared" si="94"/>
        <v>7</v>
      </c>
      <c r="C3069" s="4" t="s">
        <v>1055</v>
      </c>
      <c r="D3069" s="8" t="s">
        <v>3452</v>
      </c>
      <c r="E3069" s="4" t="s">
        <v>106</v>
      </c>
      <c r="F3069" s="2" t="str">
        <f t="shared" si="95"/>
        <v>Non-routine manual</v>
      </c>
    </row>
    <row r="3070" spans="1:6" ht="42.75" x14ac:dyDescent="0.4">
      <c r="A3070" s="3">
        <v>7314</v>
      </c>
      <c r="B3070" s="3" t="str">
        <f t="shared" si="94"/>
        <v>7</v>
      </c>
      <c r="C3070" s="4" t="s">
        <v>1055</v>
      </c>
      <c r="D3070" s="8" t="s">
        <v>3453</v>
      </c>
      <c r="E3070" s="4" t="s">
        <v>50</v>
      </c>
      <c r="F3070" s="2" t="str">
        <f t="shared" si="95"/>
        <v>Routine cognitive</v>
      </c>
    </row>
    <row r="3071" spans="1:6" ht="42.75" x14ac:dyDescent="0.4">
      <c r="A3071" s="3">
        <v>7314</v>
      </c>
      <c r="B3071" s="3" t="str">
        <f t="shared" si="94"/>
        <v>7</v>
      </c>
      <c r="C3071" s="4" t="s">
        <v>1055</v>
      </c>
      <c r="D3071" s="8" t="s">
        <v>3454</v>
      </c>
      <c r="E3071" s="4" t="s">
        <v>3</v>
      </c>
      <c r="F3071" s="2" t="str">
        <f t="shared" si="95"/>
        <v>Non-routine cognitive</v>
      </c>
    </row>
    <row r="3072" spans="1:6" ht="28.5" x14ac:dyDescent="0.4">
      <c r="A3072" s="3">
        <v>7316</v>
      </c>
      <c r="B3072" s="3" t="str">
        <f t="shared" si="94"/>
        <v>7</v>
      </c>
      <c r="C3072" s="4" t="s">
        <v>1058</v>
      </c>
      <c r="D3072" s="8" t="s">
        <v>3455</v>
      </c>
      <c r="E3072" s="4" t="s">
        <v>106</v>
      </c>
      <c r="F3072" s="2" t="str">
        <f t="shared" si="95"/>
        <v>Non-routine manual</v>
      </c>
    </row>
    <row r="3073" spans="1:6" ht="28.5" x14ac:dyDescent="0.4">
      <c r="A3073" s="3">
        <v>7316</v>
      </c>
      <c r="B3073" s="3" t="str">
        <f t="shared" si="94"/>
        <v>7</v>
      </c>
      <c r="C3073" s="4" t="s">
        <v>1058</v>
      </c>
      <c r="D3073" s="8" t="s">
        <v>3456</v>
      </c>
      <c r="E3073" s="4" t="s">
        <v>106</v>
      </c>
      <c r="F3073" s="2" t="str">
        <f t="shared" si="95"/>
        <v>Non-routine manual</v>
      </c>
    </row>
    <row r="3074" spans="1:6" ht="57" x14ac:dyDescent="0.4">
      <c r="A3074" s="3">
        <v>7316</v>
      </c>
      <c r="B3074" s="3" t="str">
        <f t="shared" si="94"/>
        <v>7</v>
      </c>
      <c r="C3074" s="4" t="s">
        <v>1058</v>
      </c>
      <c r="D3074" s="5" t="s">
        <v>3457</v>
      </c>
      <c r="E3074" s="4" t="s">
        <v>4</v>
      </c>
      <c r="F3074" s="2" t="str">
        <f t="shared" si="95"/>
        <v>Non-routine cognitive</v>
      </c>
    </row>
    <row r="3075" spans="1:6" ht="28.5" x14ac:dyDescent="0.4">
      <c r="A3075" s="3">
        <v>7316</v>
      </c>
      <c r="B3075" s="3" t="str">
        <f t="shared" ref="B3075:B3138" si="96">LEFT(A3075,1)</f>
        <v>7</v>
      </c>
      <c r="C3075" s="4" t="s">
        <v>1058</v>
      </c>
      <c r="D3075" s="8" t="s">
        <v>3458</v>
      </c>
      <c r="E3075" s="4" t="s">
        <v>106</v>
      </c>
      <c r="F3075" s="2" t="str">
        <f t="shared" ref="F3075:F3138" si="97">IF(E3075="Non-routine interpersonal","Non-routine cognitive",IF(E3075="Non-routine analytical","Non-routine cognitive",IF(E3075="Non-routine manual physical","Non-routine manual",E3075)))</f>
        <v>Non-routine manual</v>
      </c>
    </row>
    <row r="3076" spans="1:6" ht="28.5" x14ac:dyDescent="0.4">
      <c r="A3076" s="3">
        <v>7316</v>
      </c>
      <c r="B3076" s="3" t="str">
        <f t="shared" si="96"/>
        <v>7</v>
      </c>
      <c r="C3076" s="4" t="s">
        <v>1058</v>
      </c>
      <c r="D3076" s="6" t="s">
        <v>1059</v>
      </c>
      <c r="E3076" s="4" t="s">
        <v>4</v>
      </c>
      <c r="F3076" s="2" t="str">
        <f t="shared" si="97"/>
        <v>Non-routine cognitive</v>
      </c>
    </row>
    <row r="3077" spans="1:6" ht="28.5" x14ac:dyDescent="0.4">
      <c r="A3077" s="3">
        <v>7316</v>
      </c>
      <c r="B3077" s="3" t="str">
        <f t="shared" si="96"/>
        <v>7</v>
      </c>
      <c r="C3077" s="4" t="s">
        <v>1058</v>
      </c>
      <c r="D3077" s="8" t="s">
        <v>3459</v>
      </c>
      <c r="E3077" s="4" t="s">
        <v>4</v>
      </c>
      <c r="F3077" s="2" t="str">
        <f t="shared" si="97"/>
        <v>Non-routine cognitive</v>
      </c>
    </row>
    <row r="3078" spans="1:6" ht="42.75" x14ac:dyDescent="0.4">
      <c r="A3078" s="3">
        <v>7316</v>
      </c>
      <c r="B3078" s="3" t="str">
        <f t="shared" si="96"/>
        <v>7</v>
      </c>
      <c r="C3078" s="4" t="s">
        <v>1058</v>
      </c>
      <c r="D3078" s="5" t="s">
        <v>3460</v>
      </c>
      <c r="E3078" s="4" t="s">
        <v>50</v>
      </c>
      <c r="F3078" s="2" t="str">
        <f t="shared" si="97"/>
        <v>Routine cognitive</v>
      </c>
    </row>
    <row r="3079" spans="1:6" ht="42.75" x14ac:dyDescent="0.4">
      <c r="A3079" s="3">
        <v>7316</v>
      </c>
      <c r="B3079" s="3" t="str">
        <f t="shared" si="96"/>
        <v>7</v>
      </c>
      <c r="C3079" s="4" t="s">
        <v>1058</v>
      </c>
      <c r="D3079" s="8" t="s">
        <v>3461</v>
      </c>
      <c r="E3079" s="4" t="s">
        <v>4</v>
      </c>
      <c r="F3079" s="2" t="str">
        <f t="shared" si="97"/>
        <v>Non-routine cognitive</v>
      </c>
    </row>
    <row r="3080" spans="1:6" ht="28.5" x14ac:dyDescent="0.4">
      <c r="A3080" s="3">
        <v>7316</v>
      </c>
      <c r="B3080" s="3" t="str">
        <f t="shared" si="96"/>
        <v>7</v>
      </c>
      <c r="C3080" s="4" t="s">
        <v>1058</v>
      </c>
      <c r="D3080" s="8" t="s">
        <v>3462</v>
      </c>
      <c r="E3080" s="4" t="s">
        <v>106</v>
      </c>
      <c r="F3080" s="2" t="str">
        <f t="shared" si="97"/>
        <v>Non-routine manual</v>
      </c>
    </row>
    <row r="3081" spans="1:6" ht="57" x14ac:dyDescent="0.4">
      <c r="A3081" s="3">
        <v>7316</v>
      </c>
      <c r="B3081" s="3" t="str">
        <f t="shared" si="96"/>
        <v>7</v>
      </c>
      <c r="C3081" s="4" t="s">
        <v>1058</v>
      </c>
      <c r="D3081" s="8" t="s">
        <v>3463</v>
      </c>
      <c r="E3081" s="4" t="s">
        <v>106</v>
      </c>
      <c r="F3081" s="2" t="str">
        <f t="shared" si="97"/>
        <v>Non-routine manual</v>
      </c>
    </row>
    <row r="3082" spans="1:6" ht="42.75" x14ac:dyDescent="0.4">
      <c r="A3082" s="3">
        <v>7316</v>
      </c>
      <c r="B3082" s="3" t="str">
        <f t="shared" si="96"/>
        <v>7</v>
      </c>
      <c r="C3082" s="4" t="s">
        <v>1058</v>
      </c>
      <c r="D3082" s="5" t="s">
        <v>3464</v>
      </c>
      <c r="E3082" s="4" t="s">
        <v>4</v>
      </c>
      <c r="F3082" s="2" t="str">
        <f t="shared" si="97"/>
        <v>Non-routine cognitive</v>
      </c>
    </row>
    <row r="3083" spans="1:6" ht="42.75" x14ac:dyDescent="0.4">
      <c r="A3083" s="3">
        <v>7316</v>
      </c>
      <c r="B3083" s="3" t="str">
        <f t="shared" si="96"/>
        <v>7</v>
      </c>
      <c r="C3083" s="4" t="s">
        <v>1058</v>
      </c>
      <c r="D3083" s="8" t="s">
        <v>3465</v>
      </c>
      <c r="E3083" s="4" t="s">
        <v>50</v>
      </c>
      <c r="F3083" s="2" t="str">
        <f t="shared" si="97"/>
        <v>Routine cognitive</v>
      </c>
    </row>
    <row r="3084" spans="1:6" ht="57" x14ac:dyDescent="0.4">
      <c r="A3084" s="3">
        <v>7316</v>
      </c>
      <c r="B3084" s="3" t="str">
        <f t="shared" si="96"/>
        <v>7</v>
      </c>
      <c r="C3084" s="4" t="s">
        <v>1058</v>
      </c>
      <c r="D3084" s="8" t="s">
        <v>3466</v>
      </c>
      <c r="E3084" s="4" t="s">
        <v>106</v>
      </c>
      <c r="F3084" s="2" t="str">
        <f t="shared" si="97"/>
        <v>Non-routine manual</v>
      </c>
    </row>
    <row r="3085" spans="1:6" ht="28.5" x14ac:dyDescent="0.4">
      <c r="A3085" s="3">
        <v>7316</v>
      </c>
      <c r="B3085" s="3" t="str">
        <f t="shared" si="96"/>
        <v>7</v>
      </c>
      <c r="C3085" s="4" t="s">
        <v>1058</v>
      </c>
      <c r="D3085" s="8" t="s">
        <v>3467</v>
      </c>
      <c r="E3085" s="4" t="s">
        <v>106</v>
      </c>
      <c r="F3085" s="2" t="str">
        <f t="shared" si="97"/>
        <v>Non-routine manual</v>
      </c>
    </row>
    <row r="3086" spans="1:6" ht="42.75" x14ac:dyDescent="0.4">
      <c r="A3086" s="3">
        <v>7321</v>
      </c>
      <c r="B3086" s="3" t="str">
        <f t="shared" si="96"/>
        <v>7</v>
      </c>
      <c r="C3086" s="4" t="s">
        <v>1060</v>
      </c>
      <c r="D3086" s="5" t="s">
        <v>3468</v>
      </c>
      <c r="E3086" s="4" t="s">
        <v>50</v>
      </c>
      <c r="F3086" s="2" t="str">
        <f t="shared" si="97"/>
        <v>Routine cognitive</v>
      </c>
    </row>
    <row r="3087" spans="1:6" ht="28.5" x14ac:dyDescent="0.4">
      <c r="A3087" s="3">
        <v>7321</v>
      </c>
      <c r="B3087" s="3" t="str">
        <f t="shared" si="96"/>
        <v>7</v>
      </c>
      <c r="C3087" s="4" t="s">
        <v>1060</v>
      </c>
      <c r="D3087" s="8" t="s">
        <v>3469</v>
      </c>
      <c r="E3087" s="4" t="s">
        <v>50</v>
      </c>
      <c r="F3087" s="2" t="str">
        <f t="shared" si="97"/>
        <v>Routine cognitive</v>
      </c>
    </row>
    <row r="3088" spans="1:6" ht="42.75" x14ac:dyDescent="0.4">
      <c r="A3088" s="3">
        <v>7321</v>
      </c>
      <c r="B3088" s="3" t="str">
        <f t="shared" si="96"/>
        <v>7</v>
      </c>
      <c r="C3088" s="4" t="s">
        <v>1060</v>
      </c>
      <c r="D3088" s="5" t="s">
        <v>3470</v>
      </c>
      <c r="E3088" s="4" t="s">
        <v>50</v>
      </c>
      <c r="F3088" s="2" t="str">
        <f t="shared" si="97"/>
        <v>Routine cognitive</v>
      </c>
    </row>
    <row r="3089" spans="1:6" ht="71.25" x14ac:dyDescent="0.4">
      <c r="A3089" s="3">
        <v>7321</v>
      </c>
      <c r="B3089" s="3" t="str">
        <f t="shared" si="96"/>
        <v>7</v>
      </c>
      <c r="C3089" s="4" t="s">
        <v>1060</v>
      </c>
      <c r="D3089" s="5" t="s">
        <v>3471</v>
      </c>
      <c r="E3089" s="4" t="s">
        <v>50</v>
      </c>
      <c r="F3089" s="2" t="str">
        <f t="shared" si="97"/>
        <v>Routine cognitive</v>
      </c>
    </row>
    <row r="3090" spans="1:6" ht="28.5" x14ac:dyDescent="0.4">
      <c r="A3090" s="3">
        <v>7321</v>
      </c>
      <c r="B3090" s="3" t="str">
        <f t="shared" si="96"/>
        <v>7</v>
      </c>
      <c r="C3090" s="4" t="s">
        <v>1060</v>
      </c>
      <c r="D3090" s="5" t="s">
        <v>3472</v>
      </c>
      <c r="E3090" s="4" t="s">
        <v>50</v>
      </c>
      <c r="F3090" s="2" t="str">
        <f t="shared" si="97"/>
        <v>Routine cognitive</v>
      </c>
    </row>
    <row r="3091" spans="1:6" ht="28.5" x14ac:dyDescent="0.4">
      <c r="A3091" s="3">
        <v>7321</v>
      </c>
      <c r="B3091" s="3" t="str">
        <f t="shared" si="96"/>
        <v>7</v>
      </c>
      <c r="C3091" s="4" t="s">
        <v>1060</v>
      </c>
      <c r="D3091" s="8" t="s">
        <v>3473</v>
      </c>
      <c r="E3091" s="4" t="s">
        <v>50</v>
      </c>
      <c r="F3091" s="2" t="str">
        <f t="shared" si="97"/>
        <v>Routine cognitive</v>
      </c>
    </row>
    <row r="3092" spans="1:6" ht="42.75" x14ac:dyDescent="0.4">
      <c r="A3092" s="3">
        <v>7321</v>
      </c>
      <c r="B3092" s="3" t="str">
        <f t="shared" si="96"/>
        <v>7</v>
      </c>
      <c r="C3092" s="4" t="s">
        <v>1060</v>
      </c>
      <c r="D3092" s="8" t="s">
        <v>3474</v>
      </c>
      <c r="E3092" s="4" t="s">
        <v>4</v>
      </c>
      <c r="F3092" s="2" t="str">
        <f t="shared" si="97"/>
        <v>Non-routine cognitive</v>
      </c>
    </row>
    <row r="3093" spans="1:6" ht="42.75" x14ac:dyDescent="0.4">
      <c r="A3093" s="3">
        <v>7515</v>
      </c>
      <c r="B3093" s="3" t="str">
        <f t="shared" si="96"/>
        <v>7</v>
      </c>
      <c r="C3093" s="4" t="s">
        <v>1061</v>
      </c>
      <c r="D3093" s="5" t="s">
        <v>3475</v>
      </c>
      <c r="E3093" s="4" t="s">
        <v>50</v>
      </c>
      <c r="F3093" s="2" t="str">
        <f t="shared" si="97"/>
        <v>Routine cognitive</v>
      </c>
    </row>
    <row r="3094" spans="1:6" ht="42.75" x14ac:dyDescent="0.4">
      <c r="A3094" s="3">
        <v>7515</v>
      </c>
      <c r="B3094" s="3" t="str">
        <f t="shared" si="96"/>
        <v>7</v>
      </c>
      <c r="C3094" s="4" t="s">
        <v>1061</v>
      </c>
      <c r="D3094" s="8" t="s">
        <v>3476</v>
      </c>
      <c r="E3094" s="4" t="s">
        <v>50</v>
      </c>
      <c r="F3094" s="2" t="str">
        <f t="shared" si="97"/>
        <v>Routine cognitive</v>
      </c>
    </row>
    <row r="3095" spans="1:6" ht="28.5" x14ac:dyDescent="0.4">
      <c r="A3095" s="3">
        <v>7515</v>
      </c>
      <c r="B3095" s="3" t="str">
        <f t="shared" si="96"/>
        <v>7</v>
      </c>
      <c r="C3095" s="4" t="s">
        <v>1061</v>
      </c>
      <c r="D3095" s="14" t="s">
        <v>1062</v>
      </c>
      <c r="E3095" s="4" t="s">
        <v>50</v>
      </c>
      <c r="F3095" s="2" t="str">
        <f t="shared" si="97"/>
        <v>Routine cognitive</v>
      </c>
    </row>
    <row r="3096" spans="1:6" ht="28.5" x14ac:dyDescent="0.4">
      <c r="A3096" s="3">
        <v>7515</v>
      </c>
      <c r="B3096" s="3" t="str">
        <f t="shared" si="96"/>
        <v>7</v>
      </c>
      <c r="C3096" s="4" t="s">
        <v>1061</v>
      </c>
      <c r="D3096" s="5" t="s">
        <v>3477</v>
      </c>
      <c r="E3096" s="4" t="s">
        <v>50</v>
      </c>
      <c r="F3096" s="2" t="str">
        <f t="shared" si="97"/>
        <v>Routine cognitive</v>
      </c>
    </row>
    <row r="3097" spans="1:6" ht="28.5" x14ac:dyDescent="0.4">
      <c r="A3097" s="3">
        <v>7515</v>
      </c>
      <c r="B3097" s="3" t="str">
        <f t="shared" si="96"/>
        <v>7</v>
      </c>
      <c r="C3097" s="4" t="s">
        <v>1061</v>
      </c>
      <c r="D3097" s="6" t="s">
        <v>1063</v>
      </c>
      <c r="E3097" s="4" t="s">
        <v>50</v>
      </c>
      <c r="F3097" s="2" t="str">
        <f t="shared" si="97"/>
        <v>Routine cognitive</v>
      </c>
    </row>
    <row r="3098" spans="1:6" ht="28.5" x14ac:dyDescent="0.4">
      <c r="A3098" s="3">
        <v>7516</v>
      </c>
      <c r="B3098" s="3" t="str">
        <f t="shared" si="96"/>
        <v>7</v>
      </c>
      <c r="C3098" s="4" t="s">
        <v>1064</v>
      </c>
      <c r="D3098" s="10" t="s">
        <v>3478</v>
      </c>
      <c r="E3098" s="4" t="s">
        <v>50</v>
      </c>
      <c r="F3098" s="2" t="str">
        <f t="shared" si="97"/>
        <v>Routine cognitive</v>
      </c>
    </row>
    <row r="3099" spans="1:6" ht="28.5" x14ac:dyDescent="0.4">
      <c r="A3099" s="3">
        <v>7516</v>
      </c>
      <c r="B3099" s="3" t="str">
        <f t="shared" si="96"/>
        <v>7</v>
      </c>
      <c r="C3099" s="4" t="s">
        <v>1064</v>
      </c>
      <c r="D3099" s="8" t="s">
        <v>3479</v>
      </c>
      <c r="E3099" s="4" t="s">
        <v>106</v>
      </c>
      <c r="F3099" s="2" t="str">
        <f t="shared" si="97"/>
        <v>Non-routine manual</v>
      </c>
    </row>
    <row r="3100" spans="1:6" ht="28.5" x14ac:dyDescent="0.4">
      <c r="A3100" s="3">
        <v>7516</v>
      </c>
      <c r="B3100" s="3" t="str">
        <f t="shared" si="96"/>
        <v>7</v>
      </c>
      <c r="C3100" s="4" t="s">
        <v>1064</v>
      </c>
      <c r="D3100" s="5" t="s">
        <v>3480</v>
      </c>
      <c r="E3100" s="4" t="s">
        <v>106</v>
      </c>
      <c r="F3100" s="2" t="str">
        <f t="shared" si="97"/>
        <v>Non-routine manual</v>
      </c>
    </row>
    <row r="3101" spans="1:6" ht="28.5" x14ac:dyDescent="0.4">
      <c r="A3101" s="3">
        <v>7516</v>
      </c>
      <c r="B3101" s="3" t="str">
        <f t="shared" si="96"/>
        <v>7</v>
      </c>
      <c r="C3101" s="4" t="s">
        <v>1064</v>
      </c>
      <c r="D3101" s="5" t="s">
        <v>3481</v>
      </c>
      <c r="E3101" s="4" t="s">
        <v>106</v>
      </c>
      <c r="F3101" s="2" t="str">
        <f t="shared" si="97"/>
        <v>Non-routine manual</v>
      </c>
    </row>
    <row r="3102" spans="1:6" ht="42.75" x14ac:dyDescent="0.4">
      <c r="A3102" s="3">
        <v>7516</v>
      </c>
      <c r="B3102" s="3" t="str">
        <f t="shared" si="96"/>
        <v>7</v>
      </c>
      <c r="C3102" s="4" t="s">
        <v>1064</v>
      </c>
      <c r="D3102" s="8" t="s">
        <v>3482</v>
      </c>
      <c r="E3102" s="4" t="s">
        <v>106</v>
      </c>
      <c r="F3102" s="2" t="str">
        <f t="shared" si="97"/>
        <v>Non-routine manual</v>
      </c>
    </row>
    <row r="3103" spans="1:6" ht="57" x14ac:dyDescent="0.4">
      <c r="A3103" s="3">
        <v>7521</v>
      </c>
      <c r="B3103" s="3" t="str">
        <f t="shared" si="96"/>
        <v>7</v>
      </c>
      <c r="C3103" s="4" t="s">
        <v>1065</v>
      </c>
      <c r="D3103" s="5" t="s">
        <v>3483</v>
      </c>
      <c r="E3103" s="4" t="s">
        <v>182</v>
      </c>
      <c r="F3103" s="2" t="str">
        <f t="shared" si="97"/>
        <v>Routine manual</v>
      </c>
    </row>
    <row r="3104" spans="1:6" ht="57" x14ac:dyDescent="0.4">
      <c r="A3104" s="3">
        <v>7521</v>
      </c>
      <c r="B3104" s="3" t="str">
        <f t="shared" si="96"/>
        <v>7</v>
      </c>
      <c r="C3104" s="4" t="s">
        <v>1065</v>
      </c>
      <c r="D3104" s="5" t="s">
        <v>3484</v>
      </c>
      <c r="E3104" s="4" t="s">
        <v>182</v>
      </c>
      <c r="F3104" s="2" t="str">
        <f t="shared" si="97"/>
        <v>Routine manual</v>
      </c>
    </row>
    <row r="3105" spans="1:6" ht="57" x14ac:dyDescent="0.4">
      <c r="A3105" s="3">
        <v>7521</v>
      </c>
      <c r="B3105" s="3" t="str">
        <f t="shared" si="96"/>
        <v>7</v>
      </c>
      <c r="C3105" s="4" t="s">
        <v>1065</v>
      </c>
      <c r="D3105" s="5" t="s">
        <v>3485</v>
      </c>
      <c r="E3105" s="4" t="s">
        <v>182</v>
      </c>
      <c r="F3105" s="2" t="str">
        <f t="shared" si="97"/>
        <v>Routine manual</v>
      </c>
    </row>
    <row r="3106" spans="1:6" ht="57" x14ac:dyDescent="0.4">
      <c r="A3106" s="3">
        <v>7521</v>
      </c>
      <c r="B3106" s="3" t="str">
        <f t="shared" si="96"/>
        <v>7</v>
      </c>
      <c r="C3106" s="4" t="s">
        <v>1065</v>
      </c>
      <c r="D3106" s="5" t="s">
        <v>3486</v>
      </c>
      <c r="E3106" s="4" t="s">
        <v>182</v>
      </c>
      <c r="F3106" s="2" t="str">
        <f t="shared" si="97"/>
        <v>Routine manual</v>
      </c>
    </row>
    <row r="3107" spans="1:6" ht="28.5" x14ac:dyDescent="0.4">
      <c r="A3107" s="3">
        <v>7521</v>
      </c>
      <c r="B3107" s="3" t="str">
        <f t="shared" si="96"/>
        <v>7</v>
      </c>
      <c r="C3107" s="4" t="s">
        <v>1065</v>
      </c>
      <c r="D3107" s="10" t="s">
        <v>3487</v>
      </c>
      <c r="E3107" s="4" t="s">
        <v>106</v>
      </c>
      <c r="F3107" s="2" t="str">
        <f t="shared" si="97"/>
        <v>Non-routine manual</v>
      </c>
    </row>
    <row r="3108" spans="1:6" ht="28.5" x14ac:dyDescent="0.4">
      <c r="A3108" s="3">
        <v>7521</v>
      </c>
      <c r="B3108" s="3" t="str">
        <f t="shared" si="96"/>
        <v>7</v>
      </c>
      <c r="C3108" s="4" t="s">
        <v>1065</v>
      </c>
      <c r="D3108" s="6" t="s">
        <v>1066</v>
      </c>
      <c r="E3108" s="4" t="s">
        <v>106</v>
      </c>
      <c r="F3108" s="2" t="str">
        <f t="shared" si="97"/>
        <v>Non-routine manual</v>
      </c>
    </row>
    <row r="3109" spans="1:6" ht="28.5" x14ac:dyDescent="0.4">
      <c r="A3109" s="3">
        <v>7521</v>
      </c>
      <c r="B3109" s="3" t="str">
        <f t="shared" si="96"/>
        <v>7</v>
      </c>
      <c r="C3109" s="4" t="s">
        <v>1065</v>
      </c>
      <c r="D3109" s="8" t="s">
        <v>3488</v>
      </c>
      <c r="E3109" s="4" t="s">
        <v>106</v>
      </c>
      <c r="F3109" s="2" t="str">
        <f t="shared" si="97"/>
        <v>Non-routine manual</v>
      </c>
    </row>
    <row r="3110" spans="1:6" ht="28.5" x14ac:dyDescent="0.4">
      <c r="A3110" s="3">
        <v>7521</v>
      </c>
      <c r="B3110" s="3" t="str">
        <f t="shared" si="96"/>
        <v>7</v>
      </c>
      <c r="C3110" s="4" t="s">
        <v>1065</v>
      </c>
      <c r="D3110" s="11" t="s">
        <v>3489</v>
      </c>
      <c r="E3110" s="4" t="s">
        <v>50</v>
      </c>
      <c r="F3110" s="2" t="str">
        <f t="shared" si="97"/>
        <v>Routine cognitive</v>
      </c>
    </row>
    <row r="3111" spans="1:6" ht="71.25" x14ac:dyDescent="0.4">
      <c r="A3111" s="3">
        <v>7523</v>
      </c>
      <c r="B3111" s="3" t="str">
        <f t="shared" si="96"/>
        <v>7</v>
      </c>
      <c r="C3111" s="4" t="s">
        <v>1067</v>
      </c>
      <c r="D3111" s="5" t="s">
        <v>3490</v>
      </c>
      <c r="E3111" s="4" t="s">
        <v>182</v>
      </c>
      <c r="F3111" s="2" t="str">
        <f t="shared" si="97"/>
        <v>Routine manual</v>
      </c>
    </row>
    <row r="3112" spans="1:6" ht="57" x14ac:dyDescent="0.4">
      <c r="A3112" s="3">
        <v>7523</v>
      </c>
      <c r="B3112" s="3" t="str">
        <f t="shared" si="96"/>
        <v>7</v>
      </c>
      <c r="C3112" s="4" t="s">
        <v>1067</v>
      </c>
      <c r="D3112" s="8" t="s">
        <v>3491</v>
      </c>
      <c r="E3112" s="4" t="s">
        <v>182</v>
      </c>
      <c r="F3112" s="2" t="str">
        <f t="shared" si="97"/>
        <v>Routine manual</v>
      </c>
    </row>
    <row r="3113" spans="1:6" ht="42.75" x14ac:dyDescent="0.4">
      <c r="A3113" s="3">
        <v>7523</v>
      </c>
      <c r="B3113" s="3" t="str">
        <f t="shared" si="96"/>
        <v>7</v>
      </c>
      <c r="C3113" s="4" t="s">
        <v>1067</v>
      </c>
      <c r="D3113" s="5" t="s">
        <v>3492</v>
      </c>
      <c r="E3113" s="4" t="s">
        <v>50</v>
      </c>
      <c r="F3113" s="2" t="str">
        <f t="shared" si="97"/>
        <v>Routine cognitive</v>
      </c>
    </row>
    <row r="3114" spans="1:6" ht="28.5" x14ac:dyDescent="0.4">
      <c r="A3114" s="3">
        <v>7523</v>
      </c>
      <c r="B3114" s="3" t="str">
        <f t="shared" si="96"/>
        <v>7</v>
      </c>
      <c r="C3114" s="4" t="s">
        <v>1067</v>
      </c>
      <c r="D3114" s="6" t="s">
        <v>1068</v>
      </c>
      <c r="E3114" s="4" t="s">
        <v>106</v>
      </c>
      <c r="F3114" s="2" t="str">
        <f t="shared" si="97"/>
        <v>Non-routine manual</v>
      </c>
    </row>
    <row r="3115" spans="1:6" ht="28.5" x14ac:dyDescent="0.4">
      <c r="A3115" s="3">
        <v>7523</v>
      </c>
      <c r="B3115" s="3" t="str">
        <f t="shared" si="96"/>
        <v>7</v>
      </c>
      <c r="C3115" s="4" t="s">
        <v>1067</v>
      </c>
      <c r="D3115" s="8" t="s">
        <v>3493</v>
      </c>
      <c r="E3115" s="4" t="s">
        <v>106</v>
      </c>
      <c r="F3115" s="2" t="str">
        <f t="shared" si="97"/>
        <v>Non-routine manual</v>
      </c>
    </row>
    <row r="3116" spans="1:6" ht="28.5" x14ac:dyDescent="0.4">
      <c r="A3116" s="3">
        <v>7523</v>
      </c>
      <c r="B3116" s="3" t="str">
        <f t="shared" si="96"/>
        <v>7</v>
      </c>
      <c r="C3116" s="4" t="s">
        <v>1067</v>
      </c>
      <c r="D3116" s="10" t="s">
        <v>3494</v>
      </c>
      <c r="E3116" s="4" t="s">
        <v>50</v>
      </c>
      <c r="F3116" s="2" t="str">
        <f t="shared" si="97"/>
        <v>Routine cognitive</v>
      </c>
    </row>
    <row r="3117" spans="1:6" ht="57" x14ac:dyDescent="0.4">
      <c r="A3117" s="3">
        <v>7534</v>
      </c>
      <c r="B3117" s="3" t="str">
        <f t="shared" si="96"/>
        <v>7</v>
      </c>
      <c r="C3117" s="4" t="s">
        <v>1069</v>
      </c>
      <c r="D3117" s="8" t="s">
        <v>3495</v>
      </c>
      <c r="E3117" s="4" t="s">
        <v>3</v>
      </c>
      <c r="F3117" s="2" t="str">
        <f t="shared" si="97"/>
        <v>Non-routine cognitive</v>
      </c>
    </row>
    <row r="3118" spans="1:6" ht="28.5" x14ac:dyDescent="0.4">
      <c r="A3118" s="3">
        <v>7534</v>
      </c>
      <c r="B3118" s="3" t="str">
        <f t="shared" si="96"/>
        <v>7</v>
      </c>
      <c r="C3118" s="4" t="s">
        <v>1069</v>
      </c>
      <c r="D3118" s="5" t="s">
        <v>3496</v>
      </c>
      <c r="E3118" s="4" t="s">
        <v>4</v>
      </c>
      <c r="F3118" s="2" t="str">
        <f t="shared" si="97"/>
        <v>Non-routine cognitive</v>
      </c>
    </row>
    <row r="3119" spans="1:6" ht="42.75" x14ac:dyDescent="0.4">
      <c r="A3119" s="3">
        <v>7534</v>
      </c>
      <c r="B3119" s="3" t="str">
        <f t="shared" si="96"/>
        <v>7</v>
      </c>
      <c r="C3119" s="4" t="s">
        <v>1069</v>
      </c>
      <c r="D3119" s="8" t="s">
        <v>3497</v>
      </c>
      <c r="E3119" s="4" t="s">
        <v>4</v>
      </c>
      <c r="F3119" s="2" t="str">
        <f t="shared" si="97"/>
        <v>Non-routine cognitive</v>
      </c>
    </row>
    <row r="3120" spans="1:6" ht="42.75" x14ac:dyDescent="0.4">
      <c r="A3120" s="3">
        <v>7534</v>
      </c>
      <c r="B3120" s="3" t="str">
        <f t="shared" si="96"/>
        <v>7</v>
      </c>
      <c r="C3120" s="4" t="s">
        <v>1069</v>
      </c>
      <c r="D3120" s="5" t="s">
        <v>3498</v>
      </c>
      <c r="E3120" s="4" t="s">
        <v>106</v>
      </c>
      <c r="F3120" s="2" t="str">
        <f t="shared" si="97"/>
        <v>Non-routine manual</v>
      </c>
    </row>
    <row r="3121" spans="1:6" ht="28.5" x14ac:dyDescent="0.4">
      <c r="A3121" s="3">
        <v>7534</v>
      </c>
      <c r="B3121" s="3" t="str">
        <f t="shared" si="96"/>
        <v>7</v>
      </c>
      <c r="C3121" s="4" t="s">
        <v>1069</v>
      </c>
      <c r="D3121" s="8" t="s">
        <v>3499</v>
      </c>
      <c r="E3121" s="4" t="s">
        <v>106</v>
      </c>
      <c r="F3121" s="2" t="str">
        <f t="shared" si="97"/>
        <v>Non-routine manual</v>
      </c>
    </row>
    <row r="3122" spans="1:6" ht="28.5" x14ac:dyDescent="0.4">
      <c r="A3122" s="3">
        <v>7534</v>
      </c>
      <c r="B3122" s="3" t="str">
        <f t="shared" si="96"/>
        <v>7</v>
      </c>
      <c r="C3122" s="4" t="s">
        <v>1069</v>
      </c>
      <c r="D3122" s="8" t="s">
        <v>3500</v>
      </c>
      <c r="E3122" s="4" t="s">
        <v>106</v>
      </c>
      <c r="F3122" s="2" t="str">
        <f t="shared" si="97"/>
        <v>Non-routine manual</v>
      </c>
    </row>
    <row r="3123" spans="1:6" ht="42.75" x14ac:dyDescent="0.4">
      <c r="A3123" s="3">
        <v>7534</v>
      </c>
      <c r="B3123" s="3" t="str">
        <f t="shared" si="96"/>
        <v>7</v>
      </c>
      <c r="C3123" s="4" t="s">
        <v>1069</v>
      </c>
      <c r="D3123" s="8" t="s">
        <v>3501</v>
      </c>
      <c r="E3123" s="4" t="s">
        <v>106</v>
      </c>
      <c r="F3123" s="2" t="str">
        <f t="shared" si="97"/>
        <v>Non-routine manual</v>
      </c>
    </row>
    <row r="3124" spans="1:6" ht="42.75" x14ac:dyDescent="0.4">
      <c r="A3124" s="3">
        <v>7534</v>
      </c>
      <c r="B3124" s="3" t="str">
        <f t="shared" si="96"/>
        <v>7</v>
      </c>
      <c r="C3124" s="4" t="s">
        <v>1069</v>
      </c>
      <c r="D3124" s="8" t="s">
        <v>3502</v>
      </c>
      <c r="E3124" s="4" t="s">
        <v>106</v>
      </c>
      <c r="F3124" s="2" t="str">
        <f t="shared" si="97"/>
        <v>Non-routine manual</v>
      </c>
    </row>
    <row r="3125" spans="1:6" ht="28.5" x14ac:dyDescent="0.4">
      <c r="A3125" s="3">
        <v>7534</v>
      </c>
      <c r="B3125" s="3" t="str">
        <f t="shared" si="96"/>
        <v>7</v>
      </c>
      <c r="C3125" s="4" t="s">
        <v>1069</v>
      </c>
      <c r="D3125" s="6" t="s">
        <v>1070</v>
      </c>
      <c r="E3125" s="4" t="s">
        <v>106</v>
      </c>
      <c r="F3125" s="2" t="str">
        <f t="shared" si="97"/>
        <v>Non-routine manual</v>
      </c>
    </row>
    <row r="3126" spans="1:6" ht="42.75" x14ac:dyDescent="0.4">
      <c r="A3126" s="3">
        <v>7534</v>
      </c>
      <c r="B3126" s="3" t="str">
        <f t="shared" si="96"/>
        <v>7</v>
      </c>
      <c r="C3126" s="4" t="s">
        <v>1069</v>
      </c>
      <c r="D3126" s="5" t="s">
        <v>3503</v>
      </c>
      <c r="E3126" s="4" t="s">
        <v>106</v>
      </c>
      <c r="F3126" s="2" t="str">
        <f t="shared" si="97"/>
        <v>Non-routine manual</v>
      </c>
    </row>
    <row r="3127" spans="1:6" ht="42.75" x14ac:dyDescent="0.4">
      <c r="A3127" s="3">
        <v>7534</v>
      </c>
      <c r="B3127" s="3" t="str">
        <f t="shared" si="96"/>
        <v>7</v>
      </c>
      <c r="C3127" s="4" t="s">
        <v>1069</v>
      </c>
      <c r="D3127" s="8" t="s">
        <v>3504</v>
      </c>
      <c r="E3127" s="4" t="s">
        <v>3</v>
      </c>
      <c r="F3127" s="2" t="str">
        <f t="shared" si="97"/>
        <v>Non-routine cognitive</v>
      </c>
    </row>
    <row r="3128" spans="1:6" ht="28.5" x14ac:dyDescent="0.4">
      <c r="A3128" s="3">
        <v>7534</v>
      </c>
      <c r="B3128" s="3" t="str">
        <f t="shared" si="96"/>
        <v>7</v>
      </c>
      <c r="C3128" s="4" t="s">
        <v>1069</v>
      </c>
      <c r="D3128" s="7" t="s">
        <v>1071</v>
      </c>
      <c r="E3128" s="4" t="s">
        <v>106</v>
      </c>
      <c r="F3128" s="2" t="str">
        <f t="shared" si="97"/>
        <v>Non-routine manual</v>
      </c>
    </row>
    <row r="3129" spans="1:6" ht="28.5" x14ac:dyDescent="0.4">
      <c r="A3129" s="3">
        <v>7535</v>
      </c>
      <c r="B3129" s="3" t="str">
        <f t="shared" si="96"/>
        <v>7</v>
      </c>
      <c r="C3129" s="4" t="s">
        <v>1072</v>
      </c>
      <c r="D3129" s="8" t="s">
        <v>3505</v>
      </c>
      <c r="E3129" s="4" t="s">
        <v>50</v>
      </c>
      <c r="F3129" s="2" t="str">
        <f t="shared" si="97"/>
        <v>Routine cognitive</v>
      </c>
    </row>
    <row r="3130" spans="1:6" ht="42.75" x14ac:dyDescent="0.4">
      <c r="A3130" s="3">
        <v>7535</v>
      </c>
      <c r="B3130" s="3" t="str">
        <f t="shared" si="96"/>
        <v>7</v>
      </c>
      <c r="C3130" s="4" t="s">
        <v>1072</v>
      </c>
      <c r="D3130" s="8" t="s">
        <v>3506</v>
      </c>
      <c r="E3130" s="4" t="s">
        <v>106</v>
      </c>
      <c r="F3130" s="2" t="str">
        <f t="shared" si="97"/>
        <v>Non-routine manual</v>
      </c>
    </row>
    <row r="3131" spans="1:6" ht="28.5" x14ac:dyDescent="0.4">
      <c r="A3131" s="3">
        <v>7535</v>
      </c>
      <c r="B3131" s="3" t="str">
        <f t="shared" si="96"/>
        <v>7</v>
      </c>
      <c r="C3131" s="5" t="s">
        <v>3507</v>
      </c>
      <c r="D3131" s="6" t="s">
        <v>1073</v>
      </c>
      <c r="E3131" s="4" t="s">
        <v>106</v>
      </c>
      <c r="F3131" s="2" t="str">
        <f t="shared" si="97"/>
        <v>Non-routine manual</v>
      </c>
    </row>
    <row r="3132" spans="1:6" ht="28.5" x14ac:dyDescent="0.4">
      <c r="A3132" s="3">
        <v>7535</v>
      </c>
      <c r="B3132" s="3" t="str">
        <f t="shared" si="96"/>
        <v>7</v>
      </c>
      <c r="C3132" s="4" t="s">
        <v>1072</v>
      </c>
      <c r="D3132" s="6" t="s">
        <v>1074</v>
      </c>
      <c r="E3132" s="4" t="s">
        <v>106</v>
      </c>
      <c r="F3132" s="2" t="str">
        <f t="shared" si="97"/>
        <v>Non-routine manual</v>
      </c>
    </row>
    <row r="3133" spans="1:6" ht="28.5" x14ac:dyDescent="0.4">
      <c r="A3133" s="3">
        <v>7535</v>
      </c>
      <c r="B3133" s="3" t="str">
        <f t="shared" si="96"/>
        <v>7</v>
      </c>
      <c r="C3133" s="5" t="s">
        <v>3508</v>
      </c>
      <c r="D3133" s="5" t="s">
        <v>3509</v>
      </c>
      <c r="E3133" s="4" t="s">
        <v>106</v>
      </c>
      <c r="F3133" s="2" t="str">
        <f t="shared" si="97"/>
        <v>Non-routine manual</v>
      </c>
    </row>
    <row r="3134" spans="1:6" ht="42.75" x14ac:dyDescent="0.4">
      <c r="A3134" s="3">
        <v>7535</v>
      </c>
      <c r="B3134" s="3" t="str">
        <f t="shared" si="96"/>
        <v>7</v>
      </c>
      <c r="C3134" s="4" t="s">
        <v>1072</v>
      </c>
      <c r="D3134" s="5" t="s">
        <v>3510</v>
      </c>
      <c r="E3134" s="4" t="s">
        <v>106</v>
      </c>
      <c r="F3134" s="2" t="str">
        <f t="shared" si="97"/>
        <v>Non-routine manual</v>
      </c>
    </row>
    <row r="3135" spans="1:6" ht="28.5" x14ac:dyDescent="0.4">
      <c r="A3135" s="3">
        <v>7535</v>
      </c>
      <c r="B3135" s="3" t="str">
        <f t="shared" si="96"/>
        <v>7</v>
      </c>
      <c r="C3135" s="5" t="s">
        <v>3508</v>
      </c>
      <c r="D3135" s="8" t="s">
        <v>3511</v>
      </c>
      <c r="E3135" s="4" t="s">
        <v>106</v>
      </c>
      <c r="F3135" s="2" t="str">
        <f t="shared" si="97"/>
        <v>Non-routine manual</v>
      </c>
    </row>
    <row r="3136" spans="1:6" ht="28.5" x14ac:dyDescent="0.4">
      <c r="A3136" s="3">
        <v>7535</v>
      </c>
      <c r="B3136" s="3" t="str">
        <f t="shared" si="96"/>
        <v>7</v>
      </c>
      <c r="C3136" s="4" t="s">
        <v>1072</v>
      </c>
      <c r="D3136" s="8" t="s">
        <v>3512</v>
      </c>
      <c r="E3136" s="4" t="s">
        <v>106</v>
      </c>
      <c r="F3136" s="2" t="str">
        <f t="shared" si="97"/>
        <v>Non-routine manual</v>
      </c>
    </row>
    <row r="3137" spans="1:6" ht="28.5" x14ac:dyDescent="0.4">
      <c r="A3137" s="3">
        <v>7535</v>
      </c>
      <c r="B3137" s="3" t="str">
        <f t="shared" si="96"/>
        <v>7</v>
      </c>
      <c r="C3137" s="4" t="s">
        <v>1072</v>
      </c>
      <c r="D3137" s="6" t="s">
        <v>1075</v>
      </c>
      <c r="E3137" s="4" t="s">
        <v>106</v>
      </c>
      <c r="F3137" s="2" t="str">
        <f t="shared" si="97"/>
        <v>Non-routine manual</v>
      </c>
    </row>
    <row r="3138" spans="1:6" ht="28.5" x14ac:dyDescent="0.4">
      <c r="A3138" s="3">
        <v>7535</v>
      </c>
      <c r="B3138" s="3" t="str">
        <f t="shared" si="96"/>
        <v>7</v>
      </c>
      <c r="C3138" s="4" t="s">
        <v>1072</v>
      </c>
      <c r="D3138" s="8" t="s">
        <v>3513</v>
      </c>
      <c r="E3138" s="4" t="s">
        <v>106</v>
      </c>
      <c r="F3138" s="2" t="str">
        <f t="shared" si="97"/>
        <v>Non-routine manual</v>
      </c>
    </row>
    <row r="3139" spans="1:6" ht="28.5" x14ac:dyDescent="0.4">
      <c r="A3139" s="3">
        <v>7535</v>
      </c>
      <c r="B3139" s="3" t="str">
        <f t="shared" ref="B3139:B3202" si="98">LEFT(A3139,1)</f>
        <v>7</v>
      </c>
      <c r="C3139" s="5" t="s">
        <v>3507</v>
      </c>
      <c r="D3139" s="7" t="s">
        <v>1076</v>
      </c>
      <c r="E3139" s="4" t="s">
        <v>106</v>
      </c>
      <c r="F3139" s="2" t="str">
        <f t="shared" ref="F3139:F3202" si="99">IF(E3139="Non-routine interpersonal","Non-routine cognitive",IF(E3139="Non-routine analytical","Non-routine cognitive",IF(E3139="Non-routine manual physical","Non-routine manual",E3139)))</f>
        <v>Non-routine manual</v>
      </c>
    </row>
    <row r="3140" spans="1:6" ht="28.5" x14ac:dyDescent="0.4">
      <c r="A3140" s="3">
        <v>7535</v>
      </c>
      <c r="B3140" s="3" t="str">
        <f t="shared" si="98"/>
        <v>7</v>
      </c>
      <c r="C3140" s="5" t="s">
        <v>3507</v>
      </c>
      <c r="D3140" s="6" t="s">
        <v>1077</v>
      </c>
      <c r="E3140" s="4" t="s">
        <v>106</v>
      </c>
      <c r="F3140" s="2" t="str">
        <f t="shared" si="99"/>
        <v>Non-routine manual</v>
      </c>
    </row>
    <row r="3141" spans="1:6" ht="42.75" x14ac:dyDescent="0.4">
      <c r="A3141" s="3">
        <v>7535</v>
      </c>
      <c r="B3141" s="3" t="str">
        <f t="shared" si="98"/>
        <v>7</v>
      </c>
      <c r="C3141" s="4" t="s">
        <v>1072</v>
      </c>
      <c r="D3141" s="8" t="s">
        <v>3514</v>
      </c>
      <c r="E3141" s="4" t="s">
        <v>106</v>
      </c>
      <c r="F3141" s="2" t="str">
        <f t="shared" si="99"/>
        <v>Non-routine manual</v>
      </c>
    </row>
    <row r="3142" spans="1:6" ht="28.5" x14ac:dyDescent="0.4">
      <c r="A3142" s="3">
        <v>7541</v>
      </c>
      <c r="B3142" s="3" t="str">
        <f t="shared" si="98"/>
        <v>7</v>
      </c>
      <c r="C3142" s="4" t="s">
        <v>1078</v>
      </c>
      <c r="D3142" s="8" t="s">
        <v>3683</v>
      </c>
      <c r="E3142" s="4" t="s">
        <v>50</v>
      </c>
      <c r="F3142" s="2" t="str">
        <f t="shared" si="99"/>
        <v>Routine cognitive</v>
      </c>
    </row>
    <row r="3143" spans="1:6" ht="42.75" x14ac:dyDescent="0.4">
      <c r="A3143" s="3">
        <v>7541</v>
      </c>
      <c r="B3143" s="3" t="str">
        <f t="shared" si="98"/>
        <v>7</v>
      </c>
      <c r="C3143" s="4" t="s">
        <v>1078</v>
      </c>
      <c r="D3143" s="8" t="s">
        <v>3515</v>
      </c>
      <c r="E3143" s="4" t="s">
        <v>50</v>
      </c>
      <c r="F3143" s="2" t="str">
        <f t="shared" si="99"/>
        <v>Routine cognitive</v>
      </c>
    </row>
    <row r="3144" spans="1:6" ht="28.5" x14ac:dyDescent="0.4">
      <c r="A3144" s="3">
        <v>7541</v>
      </c>
      <c r="B3144" s="3" t="str">
        <f t="shared" si="98"/>
        <v>7</v>
      </c>
      <c r="C3144" s="4" t="s">
        <v>1078</v>
      </c>
      <c r="D3144" s="5" t="s">
        <v>3516</v>
      </c>
      <c r="E3144" s="4" t="s">
        <v>106</v>
      </c>
      <c r="F3144" s="2" t="str">
        <f t="shared" si="99"/>
        <v>Non-routine manual</v>
      </c>
    </row>
    <row r="3145" spans="1:6" ht="28.5" x14ac:dyDescent="0.4">
      <c r="A3145" s="3">
        <v>7541</v>
      </c>
      <c r="B3145" s="3" t="str">
        <f t="shared" si="98"/>
        <v>7</v>
      </c>
      <c r="C3145" s="4" t="s">
        <v>1078</v>
      </c>
      <c r="D3145" s="8" t="s">
        <v>3517</v>
      </c>
      <c r="E3145" s="4" t="s">
        <v>106</v>
      </c>
      <c r="F3145" s="2" t="str">
        <f t="shared" si="99"/>
        <v>Non-routine manual</v>
      </c>
    </row>
    <row r="3146" spans="1:6" ht="42.75" x14ac:dyDescent="0.4">
      <c r="A3146" s="3">
        <v>7541</v>
      </c>
      <c r="B3146" s="3" t="str">
        <f t="shared" si="98"/>
        <v>7</v>
      </c>
      <c r="C3146" s="4" t="s">
        <v>1078</v>
      </c>
      <c r="D3146" s="8" t="s">
        <v>3518</v>
      </c>
      <c r="E3146" s="4" t="s">
        <v>50</v>
      </c>
      <c r="F3146" s="2" t="str">
        <f t="shared" si="99"/>
        <v>Routine cognitive</v>
      </c>
    </row>
    <row r="3147" spans="1:6" x14ac:dyDescent="0.4">
      <c r="A3147" s="3">
        <v>7541</v>
      </c>
      <c r="B3147" s="3" t="str">
        <f t="shared" si="98"/>
        <v>7</v>
      </c>
      <c r="C3147" s="4" t="s">
        <v>1078</v>
      </c>
      <c r="D3147" s="6" t="s">
        <v>1079</v>
      </c>
      <c r="E3147" s="4" t="s">
        <v>3</v>
      </c>
      <c r="F3147" s="2" t="str">
        <f t="shared" si="99"/>
        <v>Non-routine cognitive</v>
      </c>
    </row>
    <row r="3148" spans="1:6" ht="28.5" x14ac:dyDescent="0.4">
      <c r="A3148" s="3">
        <v>7541</v>
      </c>
      <c r="B3148" s="3" t="str">
        <f t="shared" si="98"/>
        <v>7</v>
      </c>
      <c r="C3148" s="4" t="s">
        <v>1078</v>
      </c>
      <c r="D3148" s="7" t="s">
        <v>1080</v>
      </c>
      <c r="E3148" s="4" t="s">
        <v>106</v>
      </c>
      <c r="F3148" s="2" t="str">
        <f t="shared" si="99"/>
        <v>Non-routine manual</v>
      </c>
    </row>
    <row r="3149" spans="1:6" ht="28.5" x14ac:dyDescent="0.4">
      <c r="A3149" s="3">
        <v>7541</v>
      </c>
      <c r="B3149" s="3" t="str">
        <f t="shared" si="98"/>
        <v>7</v>
      </c>
      <c r="C3149" s="4" t="s">
        <v>1078</v>
      </c>
      <c r="D3149" s="13" t="s">
        <v>1081</v>
      </c>
      <c r="E3149" s="4" t="s">
        <v>106</v>
      </c>
      <c r="F3149" s="2" t="str">
        <f t="shared" si="99"/>
        <v>Non-routine manual</v>
      </c>
    </row>
    <row r="3150" spans="1:6" ht="42.75" x14ac:dyDescent="0.4">
      <c r="A3150" s="3">
        <v>7541</v>
      </c>
      <c r="B3150" s="3" t="str">
        <f t="shared" si="98"/>
        <v>7</v>
      </c>
      <c r="C3150" s="4" t="s">
        <v>1078</v>
      </c>
      <c r="D3150" s="5" t="s">
        <v>3519</v>
      </c>
      <c r="E3150" s="4" t="s">
        <v>106</v>
      </c>
      <c r="F3150" s="2" t="str">
        <f t="shared" si="99"/>
        <v>Non-routine manual</v>
      </c>
    </row>
    <row r="3151" spans="1:6" ht="28.5" x14ac:dyDescent="0.4">
      <c r="A3151" s="3">
        <v>7541</v>
      </c>
      <c r="B3151" s="3" t="str">
        <f t="shared" si="98"/>
        <v>7</v>
      </c>
      <c r="C3151" s="4" t="s">
        <v>1078</v>
      </c>
      <c r="D3151" s="8" t="s">
        <v>3520</v>
      </c>
      <c r="E3151" s="4" t="s">
        <v>106</v>
      </c>
      <c r="F3151" s="2" t="str">
        <f t="shared" si="99"/>
        <v>Non-routine manual</v>
      </c>
    </row>
    <row r="3152" spans="1:6" ht="42.75" x14ac:dyDescent="0.4">
      <c r="A3152" s="3">
        <v>7541</v>
      </c>
      <c r="B3152" s="3" t="str">
        <f t="shared" si="98"/>
        <v>7</v>
      </c>
      <c r="C3152" s="4" t="s">
        <v>1078</v>
      </c>
      <c r="D3152" s="8" t="s">
        <v>3521</v>
      </c>
      <c r="E3152" s="4" t="s">
        <v>3</v>
      </c>
      <c r="F3152" s="2" t="str">
        <f t="shared" si="99"/>
        <v>Non-routine cognitive</v>
      </c>
    </row>
    <row r="3153" spans="1:6" ht="28.5" x14ac:dyDescent="0.4">
      <c r="A3153" s="3">
        <v>7541</v>
      </c>
      <c r="B3153" s="3" t="str">
        <f t="shared" si="98"/>
        <v>7</v>
      </c>
      <c r="C3153" s="4" t="s">
        <v>1078</v>
      </c>
      <c r="D3153" s="10" t="s">
        <v>3522</v>
      </c>
      <c r="E3153" s="4" t="s">
        <v>4</v>
      </c>
      <c r="F3153" s="2" t="str">
        <f t="shared" si="99"/>
        <v>Non-routine cognitive</v>
      </c>
    </row>
    <row r="3154" spans="1:6" ht="42.75" x14ac:dyDescent="0.4">
      <c r="A3154" s="3">
        <v>7542</v>
      </c>
      <c r="B3154" s="3" t="str">
        <f t="shared" si="98"/>
        <v>7</v>
      </c>
      <c r="C3154" s="4" t="s">
        <v>1082</v>
      </c>
      <c r="D3154" s="5" t="s">
        <v>3523</v>
      </c>
      <c r="E3154" s="4" t="s">
        <v>50</v>
      </c>
      <c r="F3154" s="2" t="str">
        <f t="shared" si="99"/>
        <v>Routine cognitive</v>
      </c>
    </row>
    <row r="3155" spans="1:6" ht="42.75" x14ac:dyDescent="0.4">
      <c r="A3155" s="3">
        <v>7542</v>
      </c>
      <c r="B3155" s="3" t="str">
        <f t="shared" si="98"/>
        <v>7</v>
      </c>
      <c r="C3155" s="4" t="s">
        <v>1082</v>
      </c>
      <c r="D3155" s="10" t="s">
        <v>3524</v>
      </c>
      <c r="E3155" s="4" t="s">
        <v>4</v>
      </c>
      <c r="F3155" s="2" t="str">
        <f t="shared" si="99"/>
        <v>Non-routine cognitive</v>
      </c>
    </row>
    <row r="3156" spans="1:6" x14ac:dyDescent="0.4">
      <c r="A3156" s="3">
        <v>7542</v>
      </c>
      <c r="B3156" s="3" t="str">
        <f t="shared" si="98"/>
        <v>7</v>
      </c>
      <c r="C3156" s="4" t="s">
        <v>1082</v>
      </c>
      <c r="D3156" s="7" t="s">
        <v>1083</v>
      </c>
      <c r="E3156" s="4" t="s">
        <v>50</v>
      </c>
      <c r="F3156" s="2" t="str">
        <f t="shared" si="99"/>
        <v>Routine cognitive</v>
      </c>
    </row>
    <row r="3157" spans="1:6" x14ac:dyDescent="0.4">
      <c r="A3157" s="3">
        <v>7542</v>
      </c>
      <c r="B3157" s="3" t="str">
        <f t="shared" si="98"/>
        <v>7</v>
      </c>
      <c r="C3157" s="4" t="s">
        <v>1082</v>
      </c>
      <c r="D3157" s="6" t="s">
        <v>1084</v>
      </c>
      <c r="E3157" s="4" t="s">
        <v>4</v>
      </c>
      <c r="F3157" s="2" t="str">
        <f t="shared" si="99"/>
        <v>Non-routine cognitive</v>
      </c>
    </row>
    <row r="3158" spans="1:6" x14ac:dyDescent="0.4">
      <c r="A3158" s="3">
        <v>7542</v>
      </c>
      <c r="B3158" s="3" t="str">
        <f t="shared" si="98"/>
        <v>7</v>
      </c>
      <c r="C3158" s="4" t="s">
        <v>1082</v>
      </c>
      <c r="D3158" s="7" t="s">
        <v>1085</v>
      </c>
      <c r="E3158" s="4" t="s">
        <v>182</v>
      </c>
      <c r="F3158" s="2" t="str">
        <f t="shared" si="99"/>
        <v>Routine manual</v>
      </c>
    </row>
    <row r="3159" spans="1:6" ht="42.75" x14ac:dyDescent="0.4">
      <c r="A3159" s="3">
        <v>7542</v>
      </c>
      <c r="B3159" s="3" t="str">
        <f t="shared" si="98"/>
        <v>7</v>
      </c>
      <c r="C3159" s="4" t="s">
        <v>1082</v>
      </c>
      <c r="D3159" s="5" t="s">
        <v>3525</v>
      </c>
      <c r="E3159" s="4" t="s">
        <v>106</v>
      </c>
      <c r="F3159" s="2" t="str">
        <f t="shared" si="99"/>
        <v>Non-routine manual</v>
      </c>
    </row>
    <row r="3160" spans="1:6" ht="42.75" x14ac:dyDescent="0.4">
      <c r="A3160" s="3">
        <v>7542</v>
      </c>
      <c r="B3160" s="3" t="str">
        <f t="shared" si="98"/>
        <v>7</v>
      </c>
      <c r="C3160" s="4" t="s">
        <v>1082</v>
      </c>
      <c r="D3160" s="8" t="s">
        <v>3526</v>
      </c>
      <c r="E3160" s="4" t="s">
        <v>106</v>
      </c>
      <c r="F3160" s="2" t="str">
        <f t="shared" si="99"/>
        <v>Non-routine manual</v>
      </c>
    </row>
    <row r="3161" spans="1:6" ht="42.75" x14ac:dyDescent="0.4">
      <c r="A3161" s="3">
        <v>7542</v>
      </c>
      <c r="B3161" s="3" t="str">
        <f t="shared" si="98"/>
        <v>7</v>
      </c>
      <c r="C3161" s="4" t="s">
        <v>1082</v>
      </c>
      <c r="D3161" s="5" t="s">
        <v>3527</v>
      </c>
      <c r="E3161" s="4" t="s">
        <v>106</v>
      </c>
      <c r="F3161" s="2" t="str">
        <f t="shared" si="99"/>
        <v>Non-routine manual</v>
      </c>
    </row>
    <row r="3162" spans="1:6" ht="28.5" x14ac:dyDescent="0.4">
      <c r="A3162" s="3">
        <v>7542</v>
      </c>
      <c r="B3162" s="3" t="str">
        <f t="shared" si="98"/>
        <v>7</v>
      </c>
      <c r="C3162" s="4" t="s">
        <v>1082</v>
      </c>
      <c r="D3162" s="4" t="s">
        <v>1086</v>
      </c>
      <c r="E3162" s="4" t="s">
        <v>50</v>
      </c>
      <c r="F3162" s="2" t="str">
        <f t="shared" si="99"/>
        <v>Routine cognitive</v>
      </c>
    </row>
    <row r="3163" spans="1:6" ht="28.5" x14ac:dyDescent="0.4">
      <c r="A3163" s="3">
        <v>7542</v>
      </c>
      <c r="B3163" s="3" t="str">
        <f t="shared" si="98"/>
        <v>7</v>
      </c>
      <c r="C3163" s="4" t="s">
        <v>1082</v>
      </c>
      <c r="D3163" s="8" t="s">
        <v>3528</v>
      </c>
      <c r="E3163" s="4" t="s">
        <v>50</v>
      </c>
      <c r="F3163" s="2" t="str">
        <f t="shared" si="99"/>
        <v>Routine cognitive</v>
      </c>
    </row>
    <row r="3164" spans="1:6" ht="42.75" x14ac:dyDescent="0.4">
      <c r="A3164" s="3">
        <v>7542</v>
      </c>
      <c r="B3164" s="3" t="str">
        <f t="shared" si="98"/>
        <v>7</v>
      </c>
      <c r="C3164" s="4" t="s">
        <v>1082</v>
      </c>
      <c r="D3164" s="5" t="s">
        <v>3529</v>
      </c>
      <c r="E3164" s="4" t="s">
        <v>50</v>
      </c>
      <c r="F3164" s="2" t="str">
        <f t="shared" si="99"/>
        <v>Routine cognitive</v>
      </c>
    </row>
    <row r="3165" spans="1:6" ht="28.5" x14ac:dyDescent="0.4">
      <c r="A3165" s="3">
        <v>7549</v>
      </c>
      <c r="B3165" s="3" t="str">
        <f t="shared" si="98"/>
        <v>7</v>
      </c>
      <c r="C3165" s="4" t="s">
        <v>1087</v>
      </c>
      <c r="D3165" s="8" t="s">
        <v>3530</v>
      </c>
      <c r="E3165" s="4" t="s">
        <v>106</v>
      </c>
      <c r="F3165" s="2" t="str">
        <f t="shared" si="99"/>
        <v>Non-routine manual</v>
      </c>
    </row>
    <row r="3166" spans="1:6" ht="28.5" x14ac:dyDescent="0.4">
      <c r="A3166" s="3">
        <v>7549</v>
      </c>
      <c r="B3166" s="3" t="str">
        <f t="shared" si="98"/>
        <v>7</v>
      </c>
      <c r="C3166" s="4" t="s">
        <v>1087</v>
      </c>
      <c r="D3166" s="6" t="s">
        <v>1088</v>
      </c>
      <c r="E3166" s="4" t="s">
        <v>106</v>
      </c>
      <c r="F3166" s="2" t="str">
        <f t="shared" si="99"/>
        <v>Non-routine manual</v>
      </c>
    </row>
    <row r="3167" spans="1:6" ht="42.75" x14ac:dyDescent="0.4">
      <c r="A3167" s="3">
        <v>8112</v>
      </c>
      <c r="B3167" s="3" t="str">
        <f t="shared" si="98"/>
        <v>8</v>
      </c>
      <c r="C3167" s="4" t="s">
        <v>1089</v>
      </c>
      <c r="D3167" s="5" t="s">
        <v>3531</v>
      </c>
      <c r="E3167" s="4" t="s">
        <v>182</v>
      </c>
      <c r="F3167" s="2" t="str">
        <f t="shared" si="99"/>
        <v>Routine manual</v>
      </c>
    </row>
    <row r="3168" spans="1:6" ht="42.75" x14ac:dyDescent="0.4">
      <c r="A3168" s="3">
        <v>8112</v>
      </c>
      <c r="B3168" s="3" t="str">
        <f t="shared" si="98"/>
        <v>8</v>
      </c>
      <c r="C3168" s="4" t="s">
        <v>1089</v>
      </c>
      <c r="D3168" s="8" t="s">
        <v>3532</v>
      </c>
      <c r="E3168" s="4" t="s">
        <v>182</v>
      </c>
      <c r="F3168" s="2" t="str">
        <f t="shared" si="99"/>
        <v>Routine manual</v>
      </c>
    </row>
    <row r="3169" spans="1:6" ht="42.75" x14ac:dyDescent="0.4">
      <c r="A3169" s="3">
        <v>8112</v>
      </c>
      <c r="B3169" s="3" t="str">
        <f t="shared" si="98"/>
        <v>8</v>
      </c>
      <c r="C3169" s="4" t="s">
        <v>1089</v>
      </c>
      <c r="D3169" s="8" t="s">
        <v>3533</v>
      </c>
      <c r="E3169" s="4" t="s">
        <v>50</v>
      </c>
      <c r="F3169" s="2" t="str">
        <f t="shared" si="99"/>
        <v>Routine cognitive</v>
      </c>
    </row>
    <row r="3170" spans="1:6" ht="42.75" x14ac:dyDescent="0.4">
      <c r="A3170" s="3">
        <v>8112</v>
      </c>
      <c r="B3170" s="3" t="str">
        <f t="shared" si="98"/>
        <v>8</v>
      </c>
      <c r="C3170" s="4" t="s">
        <v>1089</v>
      </c>
      <c r="D3170" s="8" t="s">
        <v>3534</v>
      </c>
      <c r="E3170" s="4" t="s">
        <v>182</v>
      </c>
      <c r="F3170" s="2" t="str">
        <f t="shared" si="99"/>
        <v>Routine manual</v>
      </c>
    </row>
    <row r="3171" spans="1:6" ht="28.5" x14ac:dyDescent="0.4">
      <c r="A3171" s="3">
        <v>8112</v>
      </c>
      <c r="B3171" s="3" t="str">
        <f t="shared" si="98"/>
        <v>8</v>
      </c>
      <c r="C3171" s="4" t="s">
        <v>1089</v>
      </c>
      <c r="D3171" s="10" t="s">
        <v>3535</v>
      </c>
      <c r="E3171" s="4" t="s">
        <v>182</v>
      </c>
      <c r="F3171" s="2" t="str">
        <f t="shared" si="99"/>
        <v>Routine manual</v>
      </c>
    </row>
    <row r="3172" spans="1:6" ht="57" x14ac:dyDescent="0.4">
      <c r="A3172" s="3">
        <v>8112</v>
      </c>
      <c r="B3172" s="3" t="str">
        <f t="shared" si="98"/>
        <v>8</v>
      </c>
      <c r="C3172" s="4" t="s">
        <v>1089</v>
      </c>
      <c r="D3172" s="5" t="s">
        <v>3536</v>
      </c>
      <c r="E3172" s="4" t="s">
        <v>182</v>
      </c>
      <c r="F3172" s="2" t="str">
        <f t="shared" si="99"/>
        <v>Routine manual</v>
      </c>
    </row>
    <row r="3173" spans="1:6" ht="57" x14ac:dyDescent="0.4">
      <c r="A3173" s="3">
        <v>8112</v>
      </c>
      <c r="B3173" s="3" t="str">
        <f t="shared" si="98"/>
        <v>8</v>
      </c>
      <c r="C3173" s="4" t="s">
        <v>1089</v>
      </c>
      <c r="D3173" s="5" t="s">
        <v>3537</v>
      </c>
      <c r="E3173" s="4" t="s">
        <v>50</v>
      </c>
      <c r="F3173" s="2" t="str">
        <f t="shared" si="99"/>
        <v>Routine cognitive</v>
      </c>
    </row>
    <row r="3174" spans="1:6" ht="57" x14ac:dyDescent="0.4">
      <c r="A3174" s="3">
        <v>8112</v>
      </c>
      <c r="B3174" s="3" t="str">
        <f t="shared" si="98"/>
        <v>8</v>
      </c>
      <c r="C3174" s="4" t="s">
        <v>1089</v>
      </c>
      <c r="D3174" s="5" t="s">
        <v>3538</v>
      </c>
      <c r="E3174" s="4" t="s">
        <v>50</v>
      </c>
      <c r="F3174" s="2" t="str">
        <f t="shared" si="99"/>
        <v>Routine cognitive</v>
      </c>
    </row>
    <row r="3175" spans="1:6" ht="42.75" x14ac:dyDescent="0.4">
      <c r="A3175" s="3">
        <v>8112</v>
      </c>
      <c r="B3175" s="3" t="str">
        <f t="shared" si="98"/>
        <v>8</v>
      </c>
      <c r="C3175" s="4" t="s">
        <v>1089</v>
      </c>
      <c r="D3175" s="5" t="s">
        <v>3539</v>
      </c>
      <c r="E3175" s="4" t="s">
        <v>50</v>
      </c>
      <c r="F3175" s="2" t="str">
        <f t="shared" si="99"/>
        <v>Routine cognitive</v>
      </c>
    </row>
    <row r="3176" spans="1:6" ht="28.5" x14ac:dyDescent="0.4">
      <c r="A3176" s="3">
        <v>8112</v>
      </c>
      <c r="B3176" s="3" t="str">
        <f t="shared" si="98"/>
        <v>8</v>
      </c>
      <c r="C3176" s="4" t="s">
        <v>1089</v>
      </c>
      <c r="D3176" s="5" t="s">
        <v>3540</v>
      </c>
      <c r="E3176" s="4" t="s">
        <v>182</v>
      </c>
      <c r="F3176" s="2" t="str">
        <f t="shared" si="99"/>
        <v>Routine manual</v>
      </c>
    </row>
    <row r="3177" spans="1:6" ht="28.5" x14ac:dyDescent="0.4">
      <c r="A3177" s="3">
        <v>8132</v>
      </c>
      <c r="B3177" s="3" t="str">
        <f t="shared" si="98"/>
        <v>8</v>
      </c>
      <c r="C3177" s="4" t="s">
        <v>1090</v>
      </c>
      <c r="D3177" s="8" t="s">
        <v>3541</v>
      </c>
      <c r="E3177" s="4" t="s">
        <v>182</v>
      </c>
      <c r="F3177" s="2" t="str">
        <f t="shared" si="99"/>
        <v>Routine manual</v>
      </c>
    </row>
    <row r="3178" spans="1:6" ht="42.75" x14ac:dyDescent="0.4">
      <c r="A3178" s="3">
        <v>8132</v>
      </c>
      <c r="B3178" s="3" t="str">
        <f t="shared" si="98"/>
        <v>8</v>
      </c>
      <c r="C3178" s="4" t="s">
        <v>1090</v>
      </c>
      <c r="D3178" s="8" t="s">
        <v>3542</v>
      </c>
      <c r="E3178" s="4" t="s">
        <v>182</v>
      </c>
      <c r="F3178" s="2" t="str">
        <f t="shared" si="99"/>
        <v>Routine manual</v>
      </c>
    </row>
    <row r="3179" spans="1:6" ht="28.5" x14ac:dyDescent="0.4">
      <c r="A3179" s="3">
        <v>8132</v>
      </c>
      <c r="B3179" s="3" t="str">
        <f t="shared" si="98"/>
        <v>8</v>
      </c>
      <c r="C3179" s="4" t="s">
        <v>1090</v>
      </c>
      <c r="D3179" s="8" t="s">
        <v>3543</v>
      </c>
      <c r="E3179" s="4" t="s">
        <v>182</v>
      </c>
      <c r="F3179" s="2" t="str">
        <f t="shared" si="99"/>
        <v>Routine manual</v>
      </c>
    </row>
    <row r="3180" spans="1:6" ht="57" x14ac:dyDescent="0.4">
      <c r="A3180" s="3">
        <v>8132</v>
      </c>
      <c r="B3180" s="3" t="str">
        <f t="shared" si="98"/>
        <v>8</v>
      </c>
      <c r="C3180" s="4" t="s">
        <v>1090</v>
      </c>
      <c r="D3180" s="8" t="s">
        <v>3544</v>
      </c>
      <c r="E3180" s="4" t="s">
        <v>50</v>
      </c>
      <c r="F3180" s="2" t="str">
        <f t="shared" si="99"/>
        <v>Routine cognitive</v>
      </c>
    </row>
    <row r="3181" spans="1:6" ht="28.5" x14ac:dyDescent="0.4">
      <c r="A3181" s="3">
        <v>8132</v>
      </c>
      <c r="B3181" s="3" t="str">
        <f t="shared" si="98"/>
        <v>8</v>
      </c>
      <c r="C3181" s="4" t="s">
        <v>1090</v>
      </c>
      <c r="D3181" s="8" t="s">
        <v>3545</v>
      </c>
      <c r="E3181" s="4" t="s">
        <v>4</v>
      </c>
      <c r="F3181" s="2" t="str">
        <f t="shared" si="99"/>
        <v>Non-routine cognitive</v>
      </c>
    </row>
    <row r="3182" spans="1:6" ht="28.5" x14ac:dyDescent="0.4">
      <c r="A3182" s="3">
        <v>8132</v>
      </c>
      <c r="B3182" s="3" t="str">
        <f t="shared" si="98"/>
        <v>8</v>
      </c>
      <c r="C3182" s="4" t="s">
        <v>1090</v>
      </c>
      <c r="D3182" s="8" t="s">
        <v>3546</v>
      </c>
      <c r="E3182" s="4" t="s">
        <v>182</v>
      </c>
      <c r="F3182" s="2" t="str">
        <f t="shared" si="99"/>
        <v>Routine manual</v>
      </c>
    </row>
    <row r="3183" spans="1:6" ht="28.5" x14ac:dyDescent="0.4">
      <c r="A3183" s="3">
        <v>8132</v>
      </c>
      <c r="B3183" s="3" t="str">
        <f t="shared" si="98"/>
        <v>8</v>
      </c>
      <c r="C3183" s="4" t="s">
        <v>1090</v>
      </c>
      <c r="D3183" s="6" t="s">
        <v>1091</v>
      </c>
      <c r="E3183" s="4" t="s">
        <v>182</v>
      </c>
      <c r="F3183" s="2" t="str">
        <f t="shared" si="99"/>
        <v>Routine manual</v>
      </c>
    </row>
    <row r="3184" spans="1:6" ht="42.75" x14ac:dyDescent="0.4">
      <c r="A3184" s="3">
        <v>8132</v>
      </c>
      <c r="B3184" s="3" t="str">
        <f t="shared" si="98"/>
        <v>8</v>
      </c>
      <c r="C3184" s="4" t="s">
        <v>1090</v>
      </c>
      <c r="D3184" s="10" t="s">
        <v>3547</v>
      </c>
      <c r="E3184" s="4" t="s">
        <v>182</v>
      </c>
      <c r="F3184" s="2" t="str">
        <f t="shared" si="99"/>
        <v>Routine manual</v>
      </c>
    </row>
    <row r="3185" spans="1:6" ht="28.5" x14ac:dyDescent="0.4">
      <c r="A3185" s="3">
        <v>8151</v>
      </c>
      <c r="B3185" s="3" t="str">
        <f t="shared" si="98"/>
        <v>8</v>
      </c>
      <c r="C3185" s="4" t="s">
        <v>1092</v>
      </c>
      <c r="D3185" s="8" t="s">
        <v>3548</v>
      </c>
      <c r="E3185" s="4" t="s">
        <v>182</v>
      </c>
      <c r="F3185" s="2" t="str">
        <f t="shared" si="99"/>
        <v>Routine manual</v>
      </c>
    </row>
    <row r="3186" spans="1:6" ht="42.75" x14ac:dyDescent="0.4">
      <c r="A3186" s="3">
        <v>8151</v>
      </c>
      <c r="B3186" s="3" t="str">
        <f t="shared" si="98"/>
        <v>8</v>
      </c>
      <c r="C3186" s="4" t="s">
        <v>1092</v>
      </c>
      <c r="D3186" s="8" t="s">
        <v>3549</v>
      </c>
      <c r="E3186" s="4" t="s">
        <v>182</v>
      </c>
      <c r="F3186" s="2" t="str">
        <f t="shared" si="99"/>
        <v>Routine manual</v>
      </c>
    </row>
    <row r="3187" spans="1:6" ht="42.75" x14ac:dyDescent="0.4">
      <c r="A3187" s="3">
        <v>8151</v>
      </c>
      <c r="B3187" s="3" t="str">
        <f t="shared" si="98"/>
        <v>8</v>
      </c>
      <c r="C3187" s="4" t="s">
        <v>1092</v>
      </c>
      <c r="D3187" s="8" t="s">
        <v>3550</v>
      </c>
      <c r="E3187" s="4" t="s">
        <v>182</v>
      </c>
      <c r="F3187" s="2" t="str">
        <f t="shared" si="99"/>
        <v>Routine manual</v>
      </c>
    </row>
    <row r="3188" spans="1:6" ht="57" x14ac:dyDescent="0.4">
      <c r="A3188" s="3">
        <v>8151</v>
      </c>
      <c r="B3188" s="3" t="str">
        <f t="shared" si="98"/>
        <v>8</v>
      </c>
      <c r="C3188" s="4" t="s">
        <v>1092</v>
      </c>
      <c r="D3188" s="5" t="s">
        <v>3551</v>
      </c>
      <c r="E3188" s="4" t="s">
        <v>182</v>
      </c>
      <c r="F3188" s="2" t="str">
        <f t="shared" si="99"/>
        <v>Routine manual</v>
      </c>
    </row>
    <row r="3189" spans="1:6" ht="57" x14ac:dyDescent="0.4">
      <c r="A3189" s="3">
        <v>8151</v>
      </c>
      <c r="B3189" s="3" t="str">
        <f t="shared" si="98"/>
        <v>8</v>
      </c>
      <c r="C3189" s="4" t="s">
        <v>1092</v>
      </c>
      <c r="D3189" s="5" t="s">
        <v>3552</v>
      </c>
      <c r="E3189" s="4" t="s">
        <v>182</v>
      </c>
      <c r="F3189" s="2" t="str">
        <f t="shared" si="99"/>
        <v>Routine manual</v>
      </c>
    </row>
    <row r="3190" spans="1:6" ht="85.5" x14ac:dyDescent="0.4">
      <c r="A3190" s="3">
        <v>8151</v>
      </c>
      <c r="B3190" s="3" t="str">
        <f t="shared" si="98"/>
        <v>8</v>
      </c>
      <c r="C3190" s="4" t="s">
        <v>1092</v>
      </c>
      <c r="D3190" s="5" t="s">
        <v>3553</v>
      </c>
      <c r="E3190" s="4" t="s">
        <v>182</v>
      </c>
      <c r="F3190" s="2" t="str">
        <f t="shared" si="99"/>
        <v>Routine manual</v>
      </c>
    </row>
    <row r="3191" spans="1:6" ht="42.75" x14ac:dyDescent="0.4">
      <c r="A3191" s="3">
        <v>8151</v>
      </c>
      <c r="B3191" s="3" t="str">
        <f t="shared" si="98"/>
        <v>8</v>
      </c>
      <c r="C3191" s="4" t="s">
        <v>1092</v>
      </c>
      <c r="D3191" s="5" t="s">
        <v>3554</v>
      </c>
      <c r="E3191" s="4" t="s">
        <v>182</v>
      </c>
      <c r="F3191" s="2" t="str">
        <f t="shared" si="99"/>
        <v>Routine manual</v>
      </c>
    </row>
    <row r="3192" spans="1:6" ht="28.5" x14ac:dyDescent="0.4">
      <c r="A3192" s="3">
        <v>8151</v>
      </c>
      <c r="B3192" s="3" t="str">
        <f t="shared" si="98"/>
        <v>8</v>
      </c>
      <c r="C3192" s="4" t="s">
        <v>1092</v>
      </c>
      <c r="D3192" s="5" t="s">
        <v>3555</v>
      </c>
      <c r="E3192" s="4" t="s">
        <v>182</v>
      </c>
      <c r="F3192" s="2" t="str">
        <f t="shared" si="99"/>
        <v>Routine manual</v>
      </c>
    </row>
    <row r="3193" spans="1:6" ht="57" x14ac:dyDescent="0.4">
      <c r="A3193" s="3">
        <v>8151</v>
      </c>
      <c r="B3193" s="3" t="str">
        <f t="shared" si="98"/>
        <v>8</v>
      </c>
      <c r="C3193" s="4" t="s">
        <v>1092</v>
      </c>
      <c r="D3193" s="5" t="s">
        <v>3556</v>
      </c>
      <c r="E3193" s="4" t="s">
        <v>106</v>
      </c>
      <c r="F3193" s="2" t="str">
        <f t="shared" si="99"/>
        <v>Non-routine manual</v>
      </c>
    </row>
    <row r="3194" spans="1:6" ht="28.5" x14ac:dyDescent="0.4">
      <c r="A3194" s="3">
        <v>8151</v>
      </c>
      <c r="B3194" s="3" t="str">
        <f t="shared" si="98"/>
        <v>8</v>
      </c>
      <c r="C3194" s="4" t="s">
        <v>1092</v>
      </c>
      <c r="D3194" s="8" t="s">
        <v>3557</v>
      </c>
      <c r="E3194" s="4" t="s">
        <v>182</v>
      </c>
      <c r="F3194" s="2" t="str">
        <f t="shared" si="99"/>
        <v>Routine manual</v>
      </c>
    </row>
    <row r="3195" spans="1:6" ht="28.5" x14ac:dyDescent="0.4">
      <c r="A3195" s="3">
        <v>8151</v>
      </c>
      <c r="B3195" s="3" t="str">
        <f t="shared" si="98"/>
        <v>8</v>
      </c>
      <c r="C3195" s="4" t="s">
        <v>1092</v>
      </c>
      <c r="D3195" s="8" t="s">
        <v>3558</v>
      </c>
      <c r="E3195" s="4" t="s">
        <v>106</v>
      </c>
      <c r="F3195" s="2" t="str">
        <f t="shared" si="99"/>
        <v>Non-routine manual</v>
      </c>
    </row>
    <row r="3196" spans="1:6" ht="42.75" x14ac:dyDescent="0.4">
      <c r="A3196" s="3">
        <v>8151</v>
      </c>
      <c r="B3196" s="3" t="str">
        <f t="shared" si="98"/>
        <v>8</v>
      </c>
      <c r="C3196" s="4" t="s">
        <v>1092</v>
      </c>
      <c r="D3196" s="5" t="s">
        <v>3559</v>
      </c>
      <c r="E3196" s="4" t="s">
        <v>182</v>
      </c>
      <c r="F3196" s="2" t="str">
        <f t="shared" si="99"/>
        <v>Routine manual</v>
      </c>
    </row>
    <row r="3197" spans="1:6" ht="57" x14ac:dyDescent="0.4">
      <c r="A3197" s="3">
        <v>8154</v>
      </c>
      <c r="B3197" s="3" t="str">
        <f t="shared" si="98"/>
        <v>8</v>
      </c>
      <c r="C3197" s="4" t="s">
        <v>1093</v>
      </c>
      <c r="D3197" s="5" t="s">
        <v>3560</v>
      </c>
      <c r="E3197" s="4" t="s">
        <v>182</v>
      </c>
      <c r="F3197" s="2" t="str">
        <f t="shared" si="99"/>
        <v>Routine manual</v>
      </c>
    </row>
    <row r="3198" spans="1:6" ht="28.5" x14ac:dyDescent="0.4">
      <c r="A3198" s="3">
        <v>8154</v>
      </c>
      <c r="B3198" s="3" t="str">
        <f t="shared" si="98"/>
        <v>8</v>
      </c>
      <c r="C3198" s="4" t="s">
        <v>1093</v>
      </c>
      <c r="D3198" s="8" t="s">
        <v>3561</v>
      </c>
      <c r="E3198" s="4" t="s">
        <v>182</v>
      </c>
      <c r="F3198" s="2" t="str">
        <f t="shared" si="99"/>
        <v>Routine manual</v>
      </c>
    </row>
    <row r="3199" spans="1:6" ht="28.5" x14ac:dyDescent="0.4">
      <c r="A3199" s="3">
        <v>8154</v>
      </c>
      <c r="B3199" s="3" t="str">
        <f t="shared" si="98"/>
        <v>8</v>
      </c>
      <c r="C3199" s="4" t="s">
        <v>1093</v>
      </c>
      <c r="D3199" s="8" t="s">
        <v>3562</v>
      </c>
      <c r="E3199" s="4" t="s">
        <v>182</v>
      </c>
      <c r="F3199" s="2" t="str">
        <f t="shared" si="99"/>
        <v>Routine manual</v>
      </c>
    </row>
    <row r="3200" spans="1:6" ht="28.5" x14ac:dyDescent="0.4">
      <c r="A3200" s="3">
        <v>8154</v>
      </c>
      <c r="B3200" s="3" t="str">
        <f t="shared" si="98"/>
        <v>8</v>
      </c>
      <c r="C3200" s="4" t="s">
        <v>1093</v>
      </c>
      <c r="D3200" s="8" t="s">
        <v>3563</v>
      </c>
      <c r="E3200" s="4" t="s">
        <v>182</v>
      </c>
      <c r="F3200" s="2" t="str">
        <f t="shared" si="99"/>
        <v>Routine manual</v>
      </c>
    </row>
    <row r="3201" spans="1:6" ht="28.5" x14ac:dyDescent="0.4">
      <c r="A3201" s="3">
        <v>8154</v>
      </c>
      <c r="B3201" s="3" t="str">
        <f t="shared" si="98"/>
        <v>8</v>
      </c>
      <c r="C3201" s="4" t="s">
        <v>1093</v>
      </c>
      <c r="D3201" s="6" t="s">
        <v>1094</v>
      </c>
      <c r="E3201" s="4" t="s">
        <v>182</v>
      </c>
      <c r="F3201" s="2" t="str">
        <f t="shared" si="99"/>
        <v>Routine manual</v>
      </c>
    </row>
    <row r="3202" spans="1:6" ht="28.5" x14ac:dyDescent="0.4">
      <c r="A3202" s="3">
        <v>8154</v>
      </c>
      <c r="B3202" s="3" t="str">
        <f t="shared" si="98"/>
        <v>8</v>
      </c>
      <c r="C3202" s="4" t="s">
        <v>1093</v>
      </c>
      <c r="D3202" s="6" t="s">
        <v>1095</v>
      </c>
      <c r="E3202" s="4" t="s">
        <v>106</v>
      </c>
      <c r="F3202" s="2" t="str">
        <f t="shared" si="99"/>
        <v>Non-routine manual</v>
      </c>
    </row>
    <row r="3203" spans="1:6" ht="42.75" x14ac:dyDescent="0.4">
      <c r="A3203" s="3">
        <v>8154</v>
      </c>
      <c r="B3203" s="3" t="str">
        <f t="shared" ref="B3203:B3266" si="100">LEFT(A3203,1)</f>
        <v>8</v>
      </c>
      <c r="C3203" s="4" t="s">
        <v>1093</v>
      </c>
      <c r="D3203" s="5" t="s">
        <v>3564</v>
      </c>
      <c r="E3203" s="4" t="s">
        <v>182</v>
      </c>
      <c r="F3203" s="2" t="str">
        <f t="shared" ref="F3203:F3266" si="101">IF(E3203="Non-routine interpersonal","Non-routine cognitive",IF(E3203="Non-routine analytical","Non-routine cognitive",IF(E3203="Non-routine manual physical","Non-routine manual",E3203)))</f>
        <v>Routine manual</v>
      </c>
    </row>
    <row r="3204" spans="1:6" ht="42.75" x14ac:dyDescent="0.4">
      <c r="A3204" s="3">
        <v>8154</v>
      </c>
      <c r="B3204" s="3" t="str">
        <f t="shared" si="100"/>
        <v>8</v>
      </c>
      <c r="C3204" s="4" t="s">
        <v>1093</v>
      </c>
      <c r="D3204" s="8" t="s">
        <v>3565</v>
      </c>
      <c r="E3204" s="4" t="s">
        <v>182</v>
      </c>
      <c r="F3204" s="2" t="str">
        <f t="shared" si="101"/>
        <v>Routine manual</v>
      </c>
    </row>
    <row r="3205" spans="1:6" ht="28.5" x14ac:dyDescent="0.4">
      <c r="A3205" s="3">
        <v>8154</v>
      </c>
      <c r="B3205" s="3" t="str">
        <f t="shared" si="100"/>
        <v>8</v>
      </c>
      <c r="C3205" s="4" t="s">
        <v>1093</v>
      </c>
      <c r="D3205" s="8" t="s">
        <v>3566</v>
      </c>
      <c r="E3205" s="4" t="s">
        <v>182</v>
      </c>
      <c r="F3205" s="2" t="str">
        <f t="shared" si="101"/>
        <v>Routine manual</v>
      </c>
    </row>
    <row r="3206" spans="1:6" ht="28.5" x14ac:dyDescent="0.4">
      <c r="A3206" s="3">
        <v>8154</v>
      </c>
      <c r="B3206" s="3" t="str">
        <f t="shared" si="100"/>
        <v>8</v>
      </c>
      <c r="C3206" s="4" t="s">
        <v>1093</v>
      </c>
      <c r="D3206" s="10" t="s">
        <v>3567</v>
      </c>
      <c r="E3206" s="4" t="s">
        <v>50</v>
      </c>
      <c r="F3206" s="2" t="str">
        <f t="shared" si="101"/>
        <v>Routine cognitive</v>
      </c>
    </row>
    <row r="3207" spans="1:6" ht="42.75" x14ac:dyDescent="0.4">
      <c r="A3207" s="3">
        <v>8154</v>
      </c>
      <c r="B3207" s="3" t="str">
        <f t="shared" si="100"/>
        <v>8</v>
      </c>
      <c r="C3207" s="4" t="s">
        <v>1093</v>
      </c>
      <c r="D3207" s="5" t="s">
        <v>3568</v>
      </c>
      <c r="E3207" s="4" t="s">
        <v>182</v>
      </c>
      <c r="F3207" s="2" t="str">
        <f t="shared" si="101"/>
        <v>Routine manual</v>
      </c>
    </row>
    <row r="3208" spans="1:6" ht="28.5" x14ac:dyDescent="0.4">
      <c r="A3208" s="3">
        <v>8154</v>
      </c>
      <c r="B3208" s="3" t="str">
        <f t="shared" si="100"/>
        <v>8</v>
      </c>
      <c r="C3208" s="4" t="s">
        <v>1093</v>
      </c>
      <c r="D3208" s="7" t="s">
        <v>1096</v>
      </c>
      <c r="E3208" s="4" t="s">
        <v>106</v>
      </c>
      <c r="F3208" s="2" t="str">
        <f t="shared" si="101"/>
        <v>Non-routine manual</v>
      </c>
    </row>
    <row r="3209" spans="1:6" ht="42.75" x14ac:dyDescent="0.4">
      <c r="A3209" s="3">
        <v>8155</v>
      </c>
      <c r="B3209" s="3" t="str">
        <f t="shared" si="100"/>
        <v>8</v>
      </c>
      <c r="C3209" s="4" t="s">
        <v>1097</v>
      </c>
      <c r="D3209" s="8" t="s">
        <v>3569</v>
      </c>
      <c r="E3209" s="4" t="s">
        <v>182</v>
      </c>
      <c r="F3209" s="2" t="str">
        <f t="shared" si="101"/>
        <v>Routine manual</v>
      </c>
    </row>
    <row r="3210" spans="1:6" ht="57" x14ac:dyDescent="0.4">
      <c r="A3210" s="3">
        <v>8155</v>
      </c>
      <c r="B3210" s="3" t="str">
        <f t="shared" si="100"/>
        <v>8</v>
      </c>
      <c r="C3210" s="4" t="s">
        <v>1097</v>
      </c>
      <c r="D3210" s="5" t="s">
        <v>3570</v>
      </c>
      <c r="E3210" s="4" t="s">
        <v>182</v>
      </c>
      <c r="F3210" s="2" t="str">
        <f t="shared" si="101"/>
        <v>Routine manual</v>
      </c>
    </row>
    <row r="3211" spans="1:6" ht="42.75" x14ac:dyDescent="0.4">
      <c r="A3211" s="3">
        <v>8155</v>
      </c>
      <c r="B3211" s="3" t="str">
        <f t="shared" si="100"/>
        <v>8</v>
      </c>
      <c r="C3211" s="4" t="s">
        <v>1097</v>
      </c>
      <c r="D3211" s="8" t="s">
        <v>3571</v>
      </c>
      <c r="E3211" s="4" t="s">
        <v>182</v>
      </c>
      <c r="F3211" s="2" t="str">
        <f t="shared" si="101"/>
        <v>Routine manual</v>
      </c>
    </row>
    <row r="3212" spans="1:6" ht="28.5" x14ac:dyDescent="0.4">
      <c r="A3212" s="3">
        <v>8155</v>
      </c>
      <c r="B3212" s="3" t="str">
        <f t="shared" si="100"/>
        <v>8</v>
      </c>
      <c r="C3212" s="4" t="s">
        <v>1097</v>
      </c>
      <c r="D3212" s="4" t="s">
        <v>1098</v>
      </c>
      <c r="E3212" s="4" t="s">
        <v>182</v>
      </c>
      <c r="F3212" s="2" t="str">
        <f t="shared" si="101"/>
        <v>Routine manual</v>
      </c>
    </row>
    <row r="3213" spans="1:6" ht="28.5" x14ac:dyDescent="0.4">
      <c r="A3213" s="3">
        <v>8155</v>
      </c>
      <c r="B3213" s="3" t="str">
        <f t="shared" si="100"/>
        <v>8</v>
      </c>
      <c r="C3213" s="4" t="s">
        <v>1097</v>
      </c>
      <c r="D3213" s="8" t="s">
        <v>3572</v>
      </c>
      <c r="E3213" s="4" t="s">
        <v>182</v>
      </c>
      <c r="F3213" s="2" t="str">
        <f t="shared" si="101"/>
        <v>Routine manual</v>
      </c>
    </row>
    <row r="3214" spans="1:6" ht="28.5" x14ac:dyDescent="0.4">
      <c r="A3214" s="3">
        <v>8155</v>
      </c>
      <c r="B3214" s="3" t="str">
        <f t="shared" si="100"/>
        <v>8</v>
      </c>
      <c r="C3214" s="4" t="s">
        <v>1097</v>
      </c>
      <c r="D3214" s="8" t="s">
        <v>3573</v>
      </c>
      <c r="E3214" s="4" t="s">
        <v>182</v>
      </c>
      <c r="F3214" s="2" t="str">
        <f t="shared" si="101"/>
        <v>Routine manual</v>
      </c>
    </row>
    <row r="3215" spans="1:6" ht="42.75" x14ac:dyDescent="0.4">
      <c r="A3215" s="3">
        <v>8155</v>
      </c>
      <c r="B3215" s="3" t="str">
        <f t="shared" si="100"/>
        <v>8</v>
      </c>
      <c r="C3215" s="4" t="s">
        <v>1097</v>
      </c>
      <c r="D3215" s="5" t="s">
        <v>3574</v>
      </c>
      <c r="E3215" s="4" t="s">
        <v>182</v>
      </c>
      <c r="F3215" s="2" t="str">
        <f t="shared" si="101"/>
        <v>Routine manual</v>
      </c>
    </row>
    <row r="3216" spans="1:6" ht="28.5" x14ac:dyDescent="0.4">
      <c r="A3216" s="3">
        <v>8155</v>
      </c>
      <c r="B3216" s="3" t="str">
        <f t="shared" si="100"/>
        <v>8</v>
      </c>
      <c r="C3216" s="4" t="s">
        <v>1097</v>
      </c>
      <c r="D3216" s="8" t="s">
        <v>3575</v>
      </c>
      <c r="E3216" s="4" t="s">
        <v>182</v>
      </c>
      <c r="F3216" s="2" t="str">
        <f t="shared" si="101"/>
        <v>Routine manual</v>
      </c>
    </row>
    <row r="3217" spans="1:6" ht="28.5" x14ac:dyDescent="0.4">
      <c r="A3217" s="3">
        <v>8155</v>
      </c>
      <c r="B3217" s="3" t="str">
        <f t="shared" si="100"/>
        <v>8</v>
      </c>
      <c r="C3217" s="4" t="s">
        <v>1097</v>
      </c>
      <c r="D3217" s="8" t="s">
        <v>3576</v>
      </c>
      <c r="E3217" s="4" t="s">
        <v>182</v>
      </c>
      <c r="F3217" s="2" t="str">
        <f t="shared" si="101"/>
        <v>Routine manual</v>
      </c>
    </row>
    <row r="3218" spans="1:6" ht="28.5" x14ac:dyDescent="0.4">
      <c r="A3218" s="3">
        <v>8155</v>
      </c>
      <c r="B3218" s="3" t="str">
        <f t="shared" si="100"/>
        <v>8</v>
      </c>
      <c r="C3218" s="4" t="s">
        <v>1097</v>
      </c>
      <c r="D3218" s="8" t="s">
        <v>3577</v>
      </c>
      <c r="E3218" s="4" t="s">
        <v>182</v>
      </c>
      <c r="F3218" s="2" t="str">
        <f t="shared" si="101"/>
        <v>Routine manual</v>
      </c>
    </row>
    <row r="3219" spans="1:6" ht="28.5" x14ac:dyDescent="0.4">
      <c r="A3219" s="3">
        <v>8155</v>
      </c>
      <c r="B3219" s="3" t="str">
        <f t="shared" si="100"/>
        <v>8</v>
      </c>
      <c r="C3219" s="4" t="s">
        <v>1097</v>
      </c>
      <c r="D3219" s="6" t="s">
        <v>1099</v>
      </c>
      <c r="E3219" s="4" t="s">
        <v>106</v>
      </c>
      <c r="F3219" s="2" t="str">
        <f t="shared" si="101"/>
        <v>Non-routine manual</v>
      </c>
    </row>
    <row r="3220" spans="1:6" ht="28.5" x14ac:dyDescent="0.4">
      <c r="A3220" s="3">
        <v>8156</v>
      </c>
      <c r="B3220" s="3" t="str">
        <f t="shared" si="100"/>
        <v>8</v>
      </c>
      <c r="C3220" s="4" t="s">
        <v>1100</v>
      </c>
      <c r="D3220" s="8" t="s">
        <v>3578</v>
      </c>
      <c r="E3220" s="4" t="s">
        <v>182</v>
      </c>
      <c r="F3220" s="2" t="str">
        <f t="shared" si="101"/>
        <v>Routine manual</v>
      </c>
    </row>
    <row r="3221" spans="1:6" ht="42.75" x14ac:dyDescent="0.4">
      <c r="A3221" s="3">
        <v>8156</v>
      </c>
      <c r="B3221" s="3" t="str">
        <f t="shared" si="100"/>
        <v>8</v>
      </c>
      <c r="C3221" s="4" t="s">
        <v>1100</v>
      </c>
      <c r="D3221" s="5" t="s">
        <v>3579</v>
      </c>
      <c r="E3221" s="4" t="s">
        <v>182</v>
      </c>
      <c r="F3221" s="2" t="str">
        <f t="shared" si="101"/>
        <v>Routine manual</v>
      </c>
    </row>
    <row r="3222" spans="1:6" ht="57" x14ac:dyDescent="0.4">
      <c r="A3222" s="3">
        <v>8156</v>
      </c>
      <c r="B3222" s="3" t="str">
        <f t="shared" si="100"/>
        <v>8</v>
      </c>
      <c r="C3222" s="4" t="s">
        <v>1100</v>
      </c>
      <c r="D3222" s="8" t="s">
        <v>3580</v>
      </c>
      <c r="E3222" s="4" t="s">
        <v>182</v>
      </c>
      <c r="F3222" s="2" t="str">
        <f t="shared" si="101"/>
        <v>Routine manual</v>
      </c>
    </row>
    <row r="3223" spans="1:6" ht="57" x14ac:dyDescent="0.4">
      <c r="A3223" s="3">
        <v>8171</v>
      </c>
      <c r="B3223" s="3" t="str">
        <f t="shared" si="100"/>
        <v>8</v>
      </c>
      <c r="C3223" s="4" t="s">
        <v>1101</v>
      </c>
      <c r="D3223" s="5" t="s">
        <v>3581</v>
      </c>
      <c r="E3223" s="4" t="s">
        <v>182</v>
      </c>
      <c r="F3223" s="2" t="str">
        <f t="shared" si="101"/>
        <v>Routine manual</v>
      </c>
    </row>
    <row r="3224" spans="1:6" ht="57" x14ac:dyDescent="0.4">
      <c r="A3224" s="3">
        <v>8171</v>
      </c>
      <c r="B3224" s="3" t="str">
        <f t="shared" si="100"/>
        <v>8</v>
      </c>
      <c r="C3224" s="4" t="s">
        <v>1101</v>
      </c>
      <c r="D3224" s="5" t="s">
        <v>3582</v>
      </c>
      <c r="E3224" s="4" t="s">
        <v>182</v>
      </c>
      <c r="F3224" s="2" t="str">
        <f t="shared" si="101"/>
        <v>Routine manual</v>
      </c>
    </row>
    <row r="3225" spans="1:6" ht="71.25" x14ac:dyDescent="0.4">
      <c r="A3225" s="3">
        <v>8171</v>
      </c>
      <c r="B3225" s="3" t="str">
        <f t="shared" si="100"/>
        <v>8</v>
      </c>
      <c r="C3225" s="4" t="s">
        <v>1101</v>
      </c>
      <c r="D3225" s="5" t="s">
        <v>3583</v>
      </c>
      <c r="E3225" s="4" t="s">
        <v>182</v>
      </c>
      <c r="F3225" s="2" t="str">
        <f t="shared" si="101"/>
        <v>Routine manual</v>
      </c>
    </row>
    <row r="3226" spans="1:6" ht="57" x14ac:dyDescent="0.4">
      <c r="A3226" s="3">
        <v>8171</v>
      </c>
      <c r="B3226" s="3" t="str">
        <f t="shared" si="100"/>
        <v>8</v>
      </c>
      <c r="C3226" s="4" t="s">
        <v>1101</v>
      </c>
      <c r="D3226" s="5" t="s">
        <v>3584</v>
      </c>
      <c r="E3226" s="4" t="s">
        <v>3</v>
      </c>
      <c r="F3226" s="2" t="str">
        <f t="shared" si="101"/>
        <v>Non-routine cognitive</v>
      </c>
    </row>
    <row r="3227" spans="1:6" ht="42.75" x14ac:dyDescent="0.4">
      <c r="A3227" s="3">
        <v>8171</v>
      </c>
      <c r="B3227" s="3" t="str">
        <f t="shared" si="100"/>
        <v>8</v>
      </c>
      <c r="C3227" s="4" t="s">
        <v>1101</v>
      </c>
      <c r="D3227" s="5" t="s">
        <v>3585</v>
      </c>
      <c r="E3227" s="4" t="s">
        <v>4</v>
      </c>
      <c r="F3227" s="2" t="str">
        <f t="shared" si="101"/>
        <v>Non-routine cognitive</v>
      </c>
    </row>
    <row r="3228" spans="1:6" ht="28.5" x14ac:dyDescent="0.4">
      <c r="A3228" s="3">
        <v>8171</v>
      </c>
      <c r="B3228" s="3" t="str">
        <f t="shared" si="100"/>
        <v>8</v>
      </c>
      <c r="C3228" s="4" t="s">
        <v>1101</v>
      </c>
      <c r="D3228" s="8" t="s">
        <v>3586</v>
      </c>
      <c r="E3228" s="4" t="s">
        <v>182</v>
      </c>
      <c r="F3228" s="2" t="str">
        <f t="shared" si="101"/>
        <v>Routine manual</v>
      </c>
    </row>
    <row r="3229" spans="1:6" ht="42.75" x14ac:dyDescent="0.4">
      <c r="A3229" s="3">
        <v>8171</v>
      </c>
      <c r="B3229" s="3" t="str">
        <f t="shared" si="100"/>
        <v>8</v>
      </c>
      <c r="C3229" s="4" t="s">
        <v>1101</v>
      </c>
      <c r="D3229" s="8" t="s">
        <v>3587</v>
      </c>
      <c r="E3229" s="4" t="s">
        <v>50</v>
      </c>
      <c r="F3229" s="2" t="str">
        <f t="shared" si="101"/>
        <v>Routine cognitive</v>
      </c>
    </row>
    <row r="3230" spans="1:6" ht="28.5" x14ac:dyDescent="0.4">
      <c r="A3230" s="3">
        <v>8171</v>
      </c>
      <c r="B3230" s="3" t="str">
        <f t="shared" si="100"/>
        <v>8</v>
      </c>
      <c r="C3230" s="5" t="s">
        <v>3588</v>
      </c>
      <c r="D3230" s="11" t="s">
        <v>3489</v>
      </c>
      <c r="E3230" s="4" t="s">
        <v>50</v>
      </c>
      <c r="F3230" s="2" t="str">
        <f t="shared" si="101"/>
        <v>Routine cognitive</v>
      </c>
    </row>
    <row r="3231" spans="1:6" ht="71.25" x14ac:dyDescent="0.4">
      <c r="A3231" s="3">
        <v>8172</v>
      </c>
      <c r="B3231" s="3" t="str">
        <f t="shared" si="100"/>
        <v>8</v>
      </c>
      <c r="C3231" s="4" t="s">
        <v>1102</v>
      </c>
      <c r="D3231" s="5" t="s">
        <v>3589</v>
      </c>
      <c r="E3231" s="4" t="s">
        <v>182</v>
      </c>
      <c r="F3231" s="2" t="str">
        <f t="shared" si="101"/>
        <v>Routine manual</v>
      </c>
    </row>
    <row r="3232" spans="1:6" ht="28.5" x14ac:dyDescent="0.4">
      <c r="A3232" s="3">
        <v>8172</v>
      </c>
      <c r="B3232" s="3" t="str">
        <f t="shared" si="100"/>
        <v>8</v>
      </c>
      <c r="C3232" s="4" t="s">
        <v>1102</v>
      </c>
      <c r="D3232" s="8" t="s">
        <v>3590</v>
      </c>
      <c r="E3232" s="4" t="s">
        <v>182</v>
      </c>
      <c r="F3232" s="2" t="str">
        <f t="shared" si="101"/>
        <v>Routine manual</v>
      </c>
    </row>
    <row r="3233" spans="1:6" ht="57" x14ac:dyDescent="0.4">
      <c r="A3233" s="3">
        <v>8172</v>
      </c>
      <c r="B3233" s="3" t="str">
        <f t="shared" si="100"/>
        <v>8</v>
      </c>
      <c r="C3233" s="4" t="s">
        <v>1102</v>
      </c>
      <c r="D3233" s="5" t="s">
        <v>3591</v>
      </c>
      <c r="E3233" s="4" t="s">
        <v>182</v>
      </c>
      <c r="F3233" s="2" t="str">
        <f t="shared" si="101"/>
        <v>Routine manual</v>
      </c>
    </row>
    <row r="3234" spans="1:6" ht="57" x14ac:dyDescent="0.4">
      <c r="A3234" s="3">
        <v>8172</v>
      </c>
      <c r="B3234" s="3" t="str">
        <f t="shared" si="100"/>
        <v>8</v>
      </c>
      <c r="C3234" s="4" t="s">
        <v>1102</v>
      </c>
      <c r="D3234" s="5" t="s">
        <v>3592</v>
      </c>
      <c r="E3234" s="4" t="s">
        <v>182</v>
      </c>
      <c r="F3234" s="2" t="str">
        <f t="shared" si="101"/>
        <v>Routine manual</v>
      </c>
    </row>
    <row r="3235" spans="1:6" ht="28.5" x14ac:dyDescent="0.4">
      <c r="A3235" s="3">
        <v>8172</v>
      </c>
      <c r="B3235" s="3" t="str">
        <f t="shared" si="100"/>
        <v>8</v>
      </c>
      <c r="C3235" s="4" t="s">
        <v>1102</v>
      </c>
      <c r="D3235" s="6" t="s">
        <v>1103</v>
      </c>
      <c r="E3235" s="4" t="s">
        <v>106</v>
      </c>
      <c r="F3235" s="2" t="str">
        <f t="shared" si="101"/>
        <v>Non-routine manual</v>
      </c>
    </row>
    <row r="3236" spans="1:6" ht="28.5" x14ac:dyDescent="0.4">
      <c r="A3236" s="3">
        <v>8181</v>
      </c>
      <c r="B3236" s="3" t="str">
        <f t="shared" si="100"/>
        <v>8</v>
      </c>
      <c r="C3236" s="4" t="s">
        <v>1104</v>
      </c>
      <c r="D3236" s="5" t="s">
        <v>3593</v>
      </c>
      <c r="E3236" s="4" t="s">
        <v>182</v>
      </c>
      <c r="F3236" s="2" t="str">
        <f t="shared" si="101"/>
        <v>Routine manual</v>
      </c>
    </row>
    <row r="3237" spans="1:6" ht="28.5" x14ac:dyDescent="0.4">
      <c r="A3237" s="3">
        <v>8181</v>
      </c>
      <c r="B3237" s="3" t="str">
        <f t="shared" si="100"/>
        <v>8</v>
      </c>
      <c r="C3237" s="4" t="s">
        <v>1104</v>
      </c>
      <c r="D3237" s="8" t="s">
        <v>3594</v>
      </c>
      <c r="E3237" s="4" t="s">
        <v>182</v>
      </c>
      <c r="F3237" s="2" t="str">
        <f t="shared" si="101"/>
        <v>Routine manual</v>
      </c>
    </row>
    <row r="3238" spans="1:6" ht="42.75" x14ac:dyDescent="0.4">
      <c r="A3238" s="3">
        <v>8181</v>
      </c>
      <c r="B3238" s="3" t="str">
        <f t="shared" si="100"/>
        <v>8</v>
      </c>
      <c r="C3238" s="4" t="s">
        <v>1104</v>
      </c>
      <c r="D3238" s="8" t="s">
        <v>3595</v>
      </c>
      <c r="E3238" s="4" t="s">
        <v>182</v>
      </c>
      <c r="F3238" s="2" t="str">
        <f t="shared" si="101"/>
        <v>Routine manual</v>
      </c>
    </row>
    <row r="3239" spans="1:6" ht="28.5" x14ac:dyDescent="0.4">
      <c r="A3239" s="3">
        <v>8181</v>
      </c>
      <c r="B3239" s="3" t="str">
        <f t="shared" si="100"/>
        <v>8</v>
      </c>
      <c r="C3239" s="4" t="s">
        <v>1104</v>
      </c>
      <c r="D3239" s="8" t="s">
        <v>3596</v>
      </c>
      <c r="E3239" s="4" t="s">
        <v>182</v>
      </c>
      <c r="F3239" s="2" t="str">
        <f t="shared" si="101"/>
        <v>Routine manual</v>
      </c>
    </row>
    <row r="3240" spans="1:6" ht="28.5" x14ac:dyDescent="0.4">
      <c r="A3240" s="3">
        <v>8181</v>
      </c>
      <c r="B3240" s="3" t="str">
        <f t="shared" si="100"/>
        <v>8</v>
      </c>
      <c r="C3240" s="4" t="s">
        <v>1104</v>
      </c>
      <c r="D3240" s="5" t="s">
        <v>3597</v>
      </c>
      <c r="E3240" s="4" t="s">
        <v>182</v>
      </c>
      <c r="F3240" s="2" t="str">
        <f t="shared" si="101"/>
        <v>Routine manual</v>
      </c>
    </row>
    <row r="3241" spans="1:6" ht="28.5" x14ac:dyDescent="0.4">
      <c r="A3241" s="3">
        <v>8181</v>
      </c>
      <c r="B3241" s="3" t="str">
        <f t="shared" si="100"/>
        <v>8</v>
      </c>
      <c r="C3241" s="4" t="s">
        <v>1104</v>
      </c>
      <c r="D3241" s="8" t="s">
        <v>3598</v>
      </c>
      <c r="E3241" s="4" t="s">
        <v>182</v>
      </c>
      <c r="F3241" s="2" t="str">
        <f t="shared" si="101"/>
        <v>Routine manual</v>
      </c>
    </row>
    <row r="3242" spans="1:6" ht="42.75" x14ac:dyDescent="0.4">
      <c r="A3242" s="3">
        <v>8181</v>
      </c>
      <c r="B3242" s="3" t="str">
        <f t="shared" si="100"/>
        <v>8</v>
      </c>
      <c r="C3242" s="4" t="s">
        <v>1104</v>
      </c>
      <c r="D3242" s="8" t="s">
        <v>3599</v>
      </c>
      <c r="E3242" s="4" t="s">
        <v>182</v>
      </c>
      <c r="F3242" s="2" t="str">
        <f t="shared" si="101"/>
        <v>Routine manual</v>
      </c>
    </row>
    <row r="3243" spans="1:6" ht="28.5" x14ac:dyDescent="0.4">
      <c r="A3243" s="3">
        <v>8181</v>
      </c>
      <c r="B3243" s="3" t="str">
        <f t="shared" si="100"/>
        <v>8</v>
      </c>
      <c r="C3243" s="4" t="s">
        <v>1104</v>
      </c>
      <c r="D3243" s="8" t="s">
        <v>3600</v>
      </c>
      <c r="E3243" s="4" t="s">
        <v>182</v>
      </c>
      <c r="F3243" s="2" t="str">
        <f t="shared" si="101"/>
        <v>Routine manual</v>
      </c>
    </row>
    <row r="3244" spans="1:6" ht="42.75" x14ac:dyDescent="0.4">
      <c r="A3244" s="3">
        <v>8181</v>
      </c>
      <c r="B3244" s="3" t="str">
        <f t="shared" si="100"/>
        <v>8</v>
      </c>
      <c r="C3244" s="4" t="s">
        <v>1104</v>
      </c>
      <c r="D3244" s="8" t="s">
        <v>3601</v>
      </c>
      <c r="E3244" s="4" t="s">
        <v>182</v>
      </c>
      <c r="F3244" s="2" t="str">
        <f t="shared" si="101"/>
        <v>Routine manual</v>
      </c>
    </row>
    <row r="3245" spans="1:6" ht="42.75" x14ac:dyDescent="0.4">
      <c r="A3245" s="3">
        <v>8181</v>
      </c>
      <c r="B3245" s="3" t="str">
        <f t="shared" si="100"/>
        <v>8</v>
      </c>
      <c r="C3245" s="4" t="s">
        <v>1104</v>
      </c>
      <c r="D3245" s="8" t="s">
        <v>3602</v>
      </c>
      <c r="E3245" s="4" t="s">
        <v>182</v>
      </c>
      <c r="F3245" s="2" t="str">
        <f t="shared" si="101"/>
        <v>Routine manual</v>
      </c>
    </row>
    <row r="3246" spans="1:6" ht="28.5" x14ac:dyDescent="0.4">
      <c r="A3246" s="3">
        <v>8181</v>
      </c>
      <c r="B3246" s="3" t="str">
        <f t="shared" si="100"/>
        <v>8</v>
      </c>
      <c r="C3246" s="4" t="s">
        <v>1104</v>
      </c>
      <c r="D3246" s="8" t="s">
        <v>3603</v>
      </c>
      <c r="E3246" s="4" t="s">
        <v>182</v>
      </c>
      <c r="F3246" s="2" t="str">
        <f t="shared" si="101"/>
        <v>Routine manual</v>
      </c>
    </row>
    <row r="3247" spans="1:6" ht="28.5" x14ac:dyDescent="0.4">
      <c r="A3247" s="3">
        <v>8181</v>
      </c>
      <c r="B3247" s="3" t="str">
        <f t="shared" si="100"/>
        <v>8</v>
      </c>
      <c r="C3247" s="4" t="s">
        <v>1104</v>
      </c>
      <c r="D3247" s="5" t="s">
        <v>3604</v>
      </c>
      <c r="E3247" s="4" t="s">
        <v>182</v>
      </c>
      <c r="F3247" s="2" t="str">
        <f t="shared" si="101"/>
        <v>Routine manual</v>
      </c>
    </row>
    <row r="3248" spans="1:6" ht="28.5" x14ac:dyDescent="0.4">
      <c r="A3248" s="3">
        <v>8181</v>
      </c>
      <c r="B3248" s="3" t="str">
        <f t="shared" si="100"/>
        <v>8</v>
      </c>
      <c r="C3248" s="4" t="s">
        <v>1104</v>
      </c>
      <c r="D3248" s="10" t="s">
        <v>3605</v>
      </c>
      <c r="E3248" s="4" t="s">
        <v>106</v>
      </c>
      <c r="F3248" s="2" t="str">
        <f t="shared" si="101"/>
        <v>Non-routine manual</v>
      </c>
    </row>
    <row r="3249" spans="1:6" ht="57" x14ac:dyDescent="0.4">
      <c r="A3249" s="3">
        <v>8182</v>
      </c>
      <c r="B3249" s="3" t="str">
        <f t="shared" si="100"/>
        <v>8</v>
      </c>
      <c r="C3249" s="4" t="s">
        <v>1105</v>
      </c>
      <c r="D3249" s="5" t="s">
        <v>3606</v>
      </c>
      <c r="E3249" s="4" t="s">
        <v>106</v>
      </c>
      <c r="F3249" s="2" t="str">
        <f t="shared" si="101"/>
        <v>Non-routine manual</v>
      </c>
    </row>
    <row r="3250" spans="1:6" ht="42.75" x14ac:dyDescent="0.4">
      <c r="A3250" s="3">
        <v>8182</v>
      </c>
      <c r="B3250" s="3" t="str">
        <f t="shared" si="100"/>
        <v>8</v>
      </c>
      <c r="C3250" s="4" t="s">
        <v>1105</v>
      </c>
      <c r="D3250" s="8" t="s">
        <v>3607</v>
      </c>
      <c r="E3250" s="4" t="s">
        <v>4</v>
      </c>
      <c r="F3250" s="2" t="str">
        <f t="shared" si="101"/>
        <v>Non-routine cognitive</v>
      </c>
    </row>
    <row r="3251" spans="1:6" ht="42.75" x14ac:dyDescent="0.4">
      <c r="A3251" s="3">
        <v>8182</v>
      </c>
      <c r="B3251" s="3" t="str">
        <f t="shared" si="100"/>
        <v>8</v>
      </c>
      <c r="C3251" s="4" t="s">
        <v>1105</v>
      </c>
      <c r="D3251" s="5" t="s">
        <v>3608</v>
      </c>
      <c r="E3251" s="4" t="s">
        <v>50</v>
      </c>
      <c r="F3251" s="2" t="str">
        <f t="shared" si="101"/>
        <v>Routine cognitive</v>
      </c>
    </row>
    <row r="3252" spans="1:6" ht="42.75" x14ac:dyDescent="0.4">
      <c r="A3252" s="3">
        <v>8182</v>
      </c>
      <c r="B3252" s="3" t="str">
        <f t="shared" si="100"/>
        <v>8</v>
      </c>
      <c r="C3252" s="4" t="s">
        <v>1105</v>
      </c>
      <c r="D3252" s="5" t="s">
        <v>3609</v>
      </c>
      <c r="E3252" s="4" t="s">
        <v>182</v>
      </c>
      <c r="F3252" s="2" t="str">
        <f t="shared" si="101"/>
        <v>Routine manual</v>
      </c>
    </row>
    <row r="3253" spans="1:6" ht="57" x14ac:dyDescent="0.4">
      <c r="A3253" s="3">
        <v>8182</v>
      </c>
      <c r="B3253" s="3" t="str">
        <f t="shared" si="100"/>
        <v>8</v>
      </c>
      <c r="C3253" s="4" t="s">
        <v>1105</v>
      </c>
      <c r="D3253" s="5" t="s">
        <v>3610</v>
      </c>
      <c r="E3253" s="4" t="s">
        <v>50</v>
      </c>
      <c r="F3253" s="2" t="str">
        <f t="shared" si="101"/>
        <v>Routine cognitive</v>
      </c>
    </row>
    <row r="3254" spans="1:6" ht="57" x14ac:dyDescent="0.4">
      <c r="A3254" s="3">
        <v>8182</v>
      </c>
      <c r="B3254" s="3" t="str">
        <f t="shared" si="100"/>
        <v>8</v>
      </c>
      <c r="C3254" s="4" t="s">
        <v>1105</v>
      </c>
      <c r="D3254" s="5" t="s">
        <v>3611</v>
      </c>
      <c r="E3254" s="4" t="s">
        <v>50</v>
      </c>
      <c r="F3254" s="2" t="str">
        <f t="shared" si="101"/>
        <v>Routine cognitive</v>
      </c>
    </row>
    <row r="3255" spans="1:6" ht="28.5" x14ac:dyDescent="0.4">
      <c r="A3255" s="3">
        <v>8182</v>
      </c>
      <c r="B3255" s="3" t="str">
        <f t="shared" si="100"/>
        <v>8</v>
      </c>
      <c r="C3255" s="4" t="s">
        <v>1105</v>
      </c>
      <c r="D3255" s="8" t="s">
        <v>3612</v>
      </c>
      <c r="E3255" s="4" t="s">
        <v>182</v>
      </c>
      <c r="F3255" s="2" t="str">
        <f t="shared" si="101"/>
        <v>Routine manual</v>
      </c>
    </row>
    <row r="3256" spans="1:6" ht="28.5" x14ac:dyDescent="0.4">
      <c r="A3256" s="3">
        <v>8311</v>
      </c>
      <c r="B3256" s="3" t="str">
        <f t="shared" si="100"/>
        <v>8</v>
      </c>
      <c r="C3256" s="4" t="s">
        <v>1106</v>
      </c>
      <c r="D3256" s="5" t="s">
        <v>3613</v>
      </c>
      <c r="E3256" s="4" t="s">
        <v>106</v>
      </c>
      <c r="F3256" s="2" t="str">
        <f t="shared" si="101"/>
        <v>Non-routine manual</v>
      </c>
    </row>
    <row r="3257" spans="1:6" ht="28.5" x14ac:dyDescent="0.4">
      <c r="A3257" s="3">
        <v>8311</v>
      </c>
      <c r="B3257" s="3" t="str">
        <f t="shared" si="100"/>
        <v>8</v>
      </c>
      <c r="C3257" s="4" t="s">
        <v>1106</v>
      </c>
      <c r="D3257" s="6" t="s">
        <v>1107</v>
      </c>
      <c r="E3257" s="4" t="s">
        <v>106</v>
      </c>
      <c r="F3257" s="2" t="str">
        <f t="shared" si="101"/>
        <v>Non-routine manual</v>
      </c>
    </row>
    <row r="3258" spans="1:6" ht="42.75" x14ac:dyDescent="0.4">
      <c r="A3258" s="3">
        <v>8311</v>
      </c>
      <c r="B3258" s="3" t="str">
        <f t="shared" si="100"/>
        <v>8</v>
      </c>
      <c r="C3258" s="4" t="s">
        <v>1106</v>
      </c>
      <c r="D3258" s="5" t="s">
        <v>3614</v>
      </c>
      <c r="E3258" s="4" t="s">
        <v>106</v>
      </c>
      <c r="F3258" s="2" t="str">
        <f t="shared" si="101"/>
        <v>Non-routine manual</v>
      </c>
    </row>
    <row r="3259" spans="1:6" ht="28.5" x14ac:dyDescent="0.4">
      <c r="A3259" s="3">
        <v>8311</v>
      </c>
      <c r="B3259" s="3" t="str">
        <f t="shared" si="100"/>
        <v>8</v>
      </c>
      <c r="C3259" s="4" t="s">
        <v>1106</v>
      </c>
      <c r="D3259" s="8" t="s">
        <v>3615</v>
      </c>
      <c r="E3259" s="4" t="s">
        <v>50</v>
      </c>
      <c r="F3259" s="2" t="str">
        <f t="shared" si="101"/>
        <v>Routine cognitive</v>
      </c>
    </row>
    <row r="3260" spans="1:6" ht="42.75" x14ac:dyDescent="0.4">
      <c r="A3260" s="3">
        <v>8311</v>
      </c>
      <c r="B3260" s="3" t="str">
        <f t="shared" si="100"/>
        <v>8</v>
      </c>
      <c r="C3260" s="4" t="s">
        <v>1106</v>
      </c>
      <c r="D3260" s="5" t="s">
        <v>3616</v>
      </c>
      <c r="E3260" s="4" t="s">
        <v>182</v>
      </c>
      <c r="F3260" s="2" t="str">
        <f t="shared" si="101"/>
        <v>Routine manual</v>
      </c>
    </row>
    <row r="3261" spans="1:6" ht="28.5" x14ac:dyDescent="0.4">
      <c r="A3261" s="3">
        <v>8312</v>
      </c>
      <c r="B3261" s="3" t="str">
        <f t="shared" si="100"/>
        <v>8</v>
      </c>
      <c r="C3261" s="4" t="s">
        <v>1108</v>
      </c>
      <c r="D3261" s="10" t="s">
        <v>3617</v>
      </c>
      <c r="E3261" s="4" t="s">
        <v>50</v>
      </c>
      <c r="F3261" s="2" t="str">
        <f t="shared" si="101"/>
        <v>Routine cognitive</v>
      </c>
    </row>
    <row r="3262" spans="1:6" ht="42.75" x14ac:dyDescent="0.4">
      <c r="A3262" s="3">
        <v>8312</v>
      </c>
      <c r="B3262" s="3" t="str">
        <f t="shared" si="100"/>
        <v>8</v>
      </c>
      <c r="C3262" s="4" t="s">
        <v>1108</v>
      </c>
      <c r="D3262" s="5" t="s">
        <v>3618</v>
      </c>
      <c r="E3262" s="4" t="s">
        <v>182</v>
      </c>
      <c r="F3262" s="2" t="str">
        <f t="shared" si="101"/>
        <v>Routine manual</v>
      </c>
    </row>
    <row r="3263" spans="1:6" ht="57" x14ac:dyDescent="0.4">
      <c r="A3263" s="3">
        <v>8312</v>
      </c>
      <c r="B3263" s="3" t="str">
        <f t="shared" si="100"/>
        <v>8</v>
      </c>
      <c r="C3263" s="4" t="s">
        <v>1108</v>
      </c>
      <c r="D3263" s="5" t="s">
        <v>3619</v>
      </c>
      <c r="E3263" s="4" t="s">
        <v>182</v>
      </c>
      <c r="F3263" s="2" t="str">
        <f t="shared" si="101"/>
        <v>Routine manual</v>
      </c>
    </row>
    <row r="3264" spans="1:6" ht="42.75" x14ac:dyDescent="0.4">
      <c r="A3264" s="3">
        <v>8312</v>
      </c>
      <c r="B3264" s="3" t="str">
        <f t="shared" si="100"/>
        <v>8</v>
      </c>
      <c r="C3264" s="4" t="s">
        <v>1108</v>
      </c>
      <c r="D3264" s="5" t="s">
        <v>3620</v>
      </c>
      <c r="E3264" s="4" t="s">
        <v>182</v>
      </c>
      <c r="F3264" s="2" t="str">
        <f t="shared" si="101"/>
        <v>Routine manual</v>
      </c>
    </row>
    <row r="3265" spans="1:6" ht="42.75" x14ac:dyDescent="0.4">
      <c r="A3265" s="3">
        <v>8312</v>
      </c>
      <c r="B3265" s="3" t="str">
        <f t="shared" si="100"/>
        <v>8</v>
      </c>
      <c r="C3265" s="4" t="s">
        <v>1108</v>
      </c>
      <c r="D3265" s="8" t="s">
        <v>3621</v>
      </c>
      <c r="E3265" s="4" t="s">
        <v>50</v>
      </c>
      <c r="F3265" s="2" t="str">
        <f t="shared" si="101"/>
        <v>Routine cognitive</v>
      </c>
    </row>
    <row r="3266" spans="1:6" ht="42.75" x14ac:dyDescent="0.4">
      <c r="A3266" s="3">
        <v>9411</v>
      </c>
      <c r="B3266" s="3" t="str">
        <f t="shared" si="100"/>
        <v>9</v>
      </c>
      <c r="C3266" s="4" t="s">
        <v>1109</v>
      </c>
      <c r="D3266" s="5" t="s">
        <v>3622</v>
      </c>
      <c r="E3266" s="4" t="s">
        <v>106</v>
      </c>
      <c r="F3266" s="2" t="str">
        <f t="shared" si="101"/>
        <v>Non-routine manual</v>
      </c>
    </row>
    <row r="3267" spans="1:6" ht="28.5" x14ac:dyDescent="0.4">
      <c r="A3267" s="3">
        <v>9411</v>
      </c>
      <c r="B3267" s="3" t="str">
        <f t="shared" ref="B3267:B3280" si="102">LEFT(A3267,1)</f>
        <v>9</v>
      </c>
      <c r="C3267" s="4" t="s">
        <v>1109</v>
      </c>
      <c r="D3267" s="8" t="s">
        <v>3623</v>
      </c>
      <c r="E3267" s="4" t="s">
        <v>106</v>
      </c>
      <c r="F3267" s="2" t="str">
        <f t="shared" ref="F3267:F3280" si="103">IF(E3267="Non-routine interpersonal","Non-routine cognitive",IF(E3267="Non-routine analytical","Non-routine cognitive",IF(E3267="Non-routine manual physical","Non-routine manual",E3267)))</f>
        <v>Non-routine manual</v>
      </c>
    </row>
    <row r="3268" spans="1:6" ht="28.5" x14ac:dyDescent="0.4">
      <c r="A3268" s="3">
        <v>9411</v>
      </c>
      <c r="B3268" s="3" t="str">
        <f t="shared" si="102"/>
        <v>9</v>
      </c>
      <c r="C3268" s="4" t="s">
        <v>1109</v>
      </c>
      <c r="D3268" s="8" t="s">
        <v>3624</v>
      </c>
      <c r="E3268" s="4" t="s">
        <v>182</v>
      </c>
      <c r="F3268" s="2" t="str">
        <f t="shared" si="103"/>
        <v>Routine manual</v>
      </c>
    </row>
    <row r="3269" spans="1:6" ht="28.5" x14ac:dyDescent="0.4">
      <c r="A3269" s="3">
        <v>9411</v>
      </c>
      <c r="B3269" s="3" t="str">
        <f t="shared" si="102"/>
        <v>9</v>
      </c>
      <c r="C3269" s="4" t="s">
        <v>1109</v>
      </c>
      <c r="D3269" s="7" t="s">
        <v>1110</v>
      </c>
      <c r="E3269" s="4" t="s">
        <v>106</v>
      </c>
      <c r="F3269" s="2" t="str">
        <f t="shared" si="103"/>
        <v>Non-routine manual</v>
      </c>
    </row>
    <row r="3270" spans="1:6" ht="28.5" x14ac:dyDescent="0.4">
      <c r="A3270" s="3">
        <v>9411</v>
      </c>
      <c r="B3270" s="3" t="str">
        <f t="shared" si="102"/>
        <v>9</v>
      </c>
      <c r="C3270" s="4" t="s">
        <v>1109</v>
      </c>
      <c r="D3270" s="8" t="s">
        <v>3625</v>
      </c>
      <c r="E3270" s="4" t="s">
        <v>106</v>
      </c>
      <c r="F3270" s="2" t="str">
        <f t="shared" si="103"/>
        <v>Non-routine manual</v>
      </c>
    </row>
    <row r="3271" spans="1:6" ht="28.5" x14ac:dyDescent="0.4">
      <c r="A3271" s="3">
        <v>9411</v>
      </c>
      <c r="B3271" s="3" t="str">
        <f t="shared" si="102"/>
        <v>9</v>
      </c>
      <c r="C3271" s="4" t="s">
        <v>1109</v>
      </c>
      <c r="D3271" s="6" t="s">
        <v>1111</v>
      </c>
      <c r="E3271" s="4" t="s">
        <v>106</v>
      </c>
      <c r="F3271" s="2" t="str">
        <f t="shared" si="103"/>
        <v>Non-routine manual</v>
      </c>
    </row>
    <row r="3272" spans="1:6" ht="28.5" x14ac:dyDescent="0.4">
      <c r="A3272" s="3">
        <v>9411</v>
      </c>
      <c r="B3272" s="3" t="str">
        <f t="shared" si="102"/>
        <v>9</v>
      </c>
      <c r="C3272" s="4" t="s">
        <v>1109</v>
      </c>
      <c r="D3272" s="11" t="s">
        <v>3626</v>
      </c>
      <c r="E3272" s="4" t="s">
        <v>106</v>
      </c>
      <c r="F3272" s="2" t="str">
        <f t="shared" si="103"/>
        <v>Non-routine manual</v>
      </c>
    </row>
    <row r="3273" spans="1:6" ht="28.5" x14ac:dyDescent="0.4">
      <c r="A3273" s="3">
        <v>9411</v>
      </c>
      <c r="B3273" s="3" t="str">
        <f t="shared" si="102"/>
        <v>9</v>
      </c>
      <c r="C3273" s="4" t="s">
        <v>1109</v>
      </c>
      <c r="D3273" s="8" t="s">
        <v>3627</v>
      </c>
      <c r="E3273" s="4" t="s">
        <v>106</v>
      </c>
      <c r="F3273" s="2" t="str">
        <f t="shared" si="103"/>
        <v>Non-routine manual</v>
      </c>
    </row>
    <row r="3274" spans="1:6" ht="28.5" x14ac:dyDescent="0.4">
      <c r="A3274" s="3">
        <v>9411</v>
      </c>
      <c r="B3274" s="3" t="str">
        <f t="shared" si="102"/>
        <v>9</v>
      </c>
      <c r="C3274" s="4" t="s">
        <v>1109</v>
      </c>
      <c r="D3274" s="8" t="s">
        <v>3628</v>
      </c>
      <c r="E3274" s="4" t="s">
        <v>50</v>
      </c>
      <c r="F3274" s="2" t="str">
        <f t="shared" si="103"/>
        <v>Routine cognitive</v>
      </c>
    </row>
    <row r="3275" spans="1:6" ht="42.75" x14ac:dyDescent="0.4">
      <c r="A3275" s="3">
        <v>3111</v>
      </c>
      <c r="B3275" s="3" t="str">
        <f t="shared" si="102"/>
        <v>3</v>
      </c>
      <c r="C3275" s="4" t="s">
        <v>1112</v>
      </c>
      <c r="D3275" s="5" t="s">
        <v>3629</v>
      </c>
      <c r="E3275" s="4" t="s">
        <v>106</v>
      </c>
      <c r="F3275" s="2" t="str">
        <f t="shared" si="103"/>
        <v>Non-routine manual</v>
      </c>
    </row>
    <row r="3276" spans="1:6" ht="57" x14ac:dyDescent="0.4">
      <c r="A3276" s="3">
        <v>3111</v>
      </c>
      <c r="B3276" s="3" t="str">
        <f t="shared" si="102"/>
        <v>3</v>
      </c>
      <c r="C3276" s="4" t="s">
        <v>1112</v>
      </c>
      <c r="D3276" s="5" t="s">
        <v>3630</v>
      </c>
      <c r="E3276" s="4" t="s">
        <v>4</v>
      </c>
      <c r="F3276" s="2" t="str">
        <f t="shared" si="103"/>
        <v>Non-routine cognitive</v>
      </c>
    </row>
    <row r="3277" spans="1:6" ht="57" x14ac:dyDescent="0.4">
      <c r="A3277" s="3">
        <v>3111</v>
      </c>
      <c r="B3277" s="3" t="str">
        <f t="shared" si="102"/>
        <v>3</v>
      </c>
      <c r="C3277" s="4" t="s">
        <v>1112</v>
      </c>
      <c r="D3277" s="5" t="s">
        <v>3631</v>
      </c>
      <c r="E3277" s="4" t="s">
        <v>50</v>
      </c>
      <c r="F3277" s="2" t="str">
        <f t="shared" si="103"/>
        <v>Routine cognitive</v>
      </c>
    </row>
    <row r="3278" spans="1:6" ht="42.75" x14ac:dyDescent="0.4">
      <c r="A3278" s="3">
        <v>3111</v>
      </c>
      <c r="B3278" s="3" t="str">
        <f t="shared" si="102"/>
        <v>3</v>
      </c>
      <c r="C3278" s="4" t="s">
        <v>1112</v>
      </c>
      <c r="D3278" s="5" t="s">
        <v>3632</v>
      </c>
      <c r="E3278" s="4" t="s">
        <v>182</v>
      </c>
      <c r="F3278" s="2" t="str">
        <f t="shared" si="103"/>
        <v>Routine manual</v>
      </c>
    </row>
    <row r="3279" spans="1:6" ht="28.5" x14ac:dyDescent="0.4">
      <c r="A3279" s="3">
        <v>3111</v>
      </c>
      <c r="B3279" s="3" t="str">
        <f t="shared" si="102"/>
        <v>3</v>
      </c>
      <c r="C3279" s="4" t="s">
        <v>1112</v>
      </c>
      <c r="D3279" s="8" t="s">
        <v>3633</v>
      </c>
      <c r="E3279" s="4" t="s">
        <v>106</v>
      </c>
      <c r="F3279" s="2" t="str">
        <f t="shared" si="103"/>
        <v>Non-routine manual</v>
      </c>
    </row>
    <row r="3280" spans="1:6" ht="42.75" x14ac:dyDescent="0.4">
      <c r="A3280" s="3">
        <v>3111</v>
      </c>
      <c r="B3280" s="3" t="str">
        <f t="shared" si="102"/>
        <v>3</v>
      </c>
      <c r="C3280" s="4" t="s">
        <v>1112</v>
      </c>
      <c r="D3280" s="5" t="s">
        <v>3634</v>
      </c>
      <c r="E3280" s="4" t="s">
        <v>4</v>
      </c>
      <c r="F3280" s="2" t="str">
        <f t="shared" si="103"/>
        <v>Non-routine cognitive</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9A93-A9E7-407F-B9E5-897BEDFAD8D7}">
  <dimension ref="A1:K27"/>
  <sheetViews>
    <sheetView workbookViewId="0">
      <selection activeCell="B14" sqref="B14"/>
    </sheetView>
  </sheetViews>
  <sheetFormatPr defaultRowHeight="13.15" x14ac:dyDescent="0.4"/>
  <cols>
    <col min="2" max="2" width="82.78515625" bestFit="1" customWidth="1"/>
  </cols>
  <sheetData>
    <row r="1" spans="1:11" ht="14.25" x14ac:dyDescent="0.45">
      <c r="A1" s="25" t="s">
        <v>0</v>
      </c>
      <c r="B1" s="25" t="s">
        <v>3786</v>
      </c>
      <c r="C1" s="25" t="s">
        <v>3684</v>
      </c>
      <c r="D1" s="25" t="s">
        <v>3685</v>
      </c>
      <c r="E1" s="25" t="s">
        <v>3686</v>
      </c>
      <c r="F1" s="25" t="s">
        <v>3687</v>
      </c>
      <c r="G1" s="25" t="s">
        <v>3652</v>
      </c>
      <c r="H1" s="25" t="s">
        <v>3688</v>
      </c>
      <c r="I1" s="25" t="s">
        <v>3689</v>
      </c>
      <c r="J1" s="25" t="s">
        <v>3690</v>
      </c>
      <c r="K1" s="25" t="s">
        <v>3691</v>
      </c>
    </row>
    <row r="2" spans="1:11" x14ac:dyDescent="0.4">
      <c r="A2" s="26" t="s">
        <v>3692</v>
      </c>
      <c r="B2" s="26" t="s">
        <v>3693</v>
      </c>
      <c r="C2" s="26">
        <v>0.33333333333333331</v>
      </c>
      <c r="D2" s="26">
        <v>0.33333333333333331</v>
      </c>
      <c r="E2" s="26">
        <v>0.16666666666666671</v>
      </c>
      <c r="F2" s="26">
        <v>0.16666666666666671</v>
      </c>
      <c r="G2" s="26">
        <v>0</v>
      </c>
      <c r="H2" s="26">
        <v>0.33333333333333331</v>
      </c>
      <c r="I2" s="26">
        <v>0.5</v>
      </c>
      <c r="J2" s="26" t="s">
        <v>3684</v>
      </c>
      <c r="K2" s="26">
        <v>3</v>
      </c>
    </row>
    <row r="3" spans="1:11" x14ac:dyDescent="0.4">
      <c r="A3" s="26" t="s">
        <v>3694</v>
      </c>
      <c r="B3" s="26" t="s">
        <v>3695</v>
      </c>
      <c r="C3" s="26">
        <v>0.42857142857142849</v>
      </c>
      <c r="D3" s="26">
        <v>0</v>
      </c>
      <c r="E3" s="26">
        <v>0.42857142857142849</v>
      </c>
      <c r="F3" s="26">
        <v>0.14285714285714279</v>
      </c>
      <c r="G3" s="26">
        <v>0</v>
      </c>
      <c r="H3" s="26">
        <v>0.5714285714285714</v>
      </c>
      <c r="I3" s="26">
        <v>0.14285714285714279</v>
      </c>
      <c r="J3" s="26" t="s">
        <v>3686</v>
      </c>
      <c r="K3" s="26">
        <v>3</v>
      </c>
    </row>
    <row r="4" spans="1:11" x14ac:dyDescent="0.4">
      <c r="A4" s="26" t="s">
        <v>3696</v>
      </c>
      <c r="B4" s="26" t="s">
        <v>3697</v>
      </c>
      <c r="C4" s="26">
        <v>0.5</v>
      </c>
      <c r="D4" s="26">
        <v>0</v>
      </c>
      <c r="E4" s="26">
        <v>0.5</v>
      </c>
      <c r="F4" s="26">
        <v>0</v>
      </c>
      <c r="G4" s="26">
        <v>0</v>
      </c>
      <c r="H4" s="26">
        <v>0.5</v>
      </c>
      <c r="I4" s="26">
        <v>0</v>
      </c>
      <c r="J4" s="26" t="s">
        <v>3686</v>
      </c>
      <c r="K4" s="26">
        <v>3</v>
      </c>
    </row>
    <row r="5" spans="1:11" x14ac:dyDescent="0.4">
      <c r="A5" s="26" t="s">
        <v>3698</v>
      </c>
      <c r="B5" s="26" t="s">
        <v>3699</v>
      </c>
      <c r="C5" s="26">
        <v>0.5</v>
      </c>
      <c r="D5" s="26">
        <v>0</v>
      </c>
      <c r="E5" s="26">
        <v>0.5</v>
      </c>
      <c r="F5" s="26">
        <v>0</v>
      </c>
      <c r="G5" s="26">
        <v>0</v>
      </c>
      <c r="H5" s="26">
        <v>0.5</v>
      </c>
      <c r="I5" s="26">
        <v>0</v>
      </c>
      <c r="J5" s="26" t="s">
        <v>3686</v>
      </c>
      <c r="K5" s="26">
        <v>3</v>
      </c>
    </row>
    <row r="6" spans="1:11" x14ac:dyDescent="0.4">
      <c r="A6" s="26" t="s">
        <v>3700</v>
      </c>
      <c r="B6" s="26" t="s">
        <v>3701</v>
      </c>
      <c r="C6" s="26">
        <v>0.5</v>
      </c>
      <c r="D6" s="26">
        <v>0</v>
      </c>
      <c r="E6" s="26">
        <v>0.5</v>
      </c>
      <c r="F6" s="26">
        <v>0</v>
      </c>
      <c r="G6" s="26">
        <v>0</v>
      </c>
      <c r="H6" s="26">
        <v>0.5</v>
      </c>
      <c r="I6" s="26">
        <v>0</v>
      </c>
      <c r="J6" s="26" t="s">
        <v>3686</v>
      </c>
      <c r="K6" s="26">
        <v>3</v>
      </c>
    </row>
    <row r="7" spans="1:11" x14ac:dyDescent="0.4">
      <c r="A7" s="26" t="s">
        <v>3702</v>
      </c>
      <c r="B7" s="26" t="s">
        <v>3703</v>
      </c>
      <c r="C7" s="26">
        <v>0.5</v>
      </c>
      <c r="D7" s="26">
        <v>0</v>
      </c>
      <c r="E7" s="26">
        <v>0.5</v>
      </c>
      <c r="F7" s="26">
        <v>0</v>
      </c>
      <c r="G7" s="26">
        <v>0</v>
      </c>
      <c r="H7" s="26">
        <v>0.5</v>
      </c>
      <c r="I7" s="26">
        <v>0</v>
      </c>
      <c r="J7" s="26" t="s">
        <v>3686</v>
      </c>
      <c r="K7" s="26">
        <v>3</v>
      </c>
    </row>
    <row r="8" spans="1:11" x14ac:dyDescent="0.4">
      <c r="A8" s="26" t="s">
        <v>3704</v>
      </c>
      <c r="B8" s="26" t="s">
        <v>3705</v>
      </c>
      <c r="C8" s="26">
        <v>0.5</v>
      </c>
      <c r="D8" s="26">
        <v>0</v>
      </c>
      <c r="E8" s="26">
        <v>0.5</v>
      </c>
      <c r="F8" s="26">
        <v>0</v>
      </c>
      <c r="G8" s="26">
        <v>0</v>
      </c>
      <c r="H8" s="26">
        <v>0.5</v>
      </c>
      <c r="I8" s="26">
        <v>0</v>
      </c>
      <c r="J8" s="26" t="s">
        <v>3686</v>
      </c>
      <c r="K8" s="26">
        <v>3</v>
      </c>
    </row>
    <row r="9" spans="1:11" x14ac:dyDescent="0.4">
      <c r="A9" s="26" t="s">
        <v>3706</v>
      </c>
      <c r="B9" s="26" t="s">
        <v>3707</v>
      </c>
      <c r="C9" s="26">
        <v>0.375</v>
      </c>
      <c r="D9" s="26">
        <v>0.375</v>
      </c>
      <c r="E9" s="26">
        <v>0</v>
      </c>
      <c r="F9" s="26">
        <v>0.25</v>
      </c>
      <c r="G9" s="26">
        <v>0</v>
      </c>
      <c r="H9" s="26">
        <v>0.25</v>
      </c>
      <c r="I9" s="26">
        <v>0.625</v>
      </c>
      <c r="J9" s="26" t="s">
        <v>3685</v>
      </c>
      <c r="K9" s="26">
        <v>3</v>
      </c>
    </row>
    <row r="10" spans="1:11" x14ac:dyDescent="0.4">
      <c r="A10" s="26" t="s">
        <v>3708</v>
      </c>
      <c r="B10" s="26" t="s">
        <v>3709</v>
      </c>
      <c r="C10" s="26">
        <v>0.4</v>
      </c>
      <c r="D10" s="26">
        <v>0.2</v>
      </c>
      <c r="E10" s="26">
        <v>0.4</v>
      </c>
      <c r="F10" s="26">
        <v>0</v>
      </c>
      <c r="G10" s="26">
        <v>0</v>
      </c>
      <c r="H10" s="26">
        <v>0.4</v>
      </c>
      <c r="I10" s="26">
        <v>0.2</v>
      </c>
      <c r="J10" s="26" t="s">
        <v>3684</v>
      </c>
      <c r="K10" s="26">
        <v>4</v>
      </c>
    </row>
    <row r="11" spans="1:11" x14ac:dyDescent="0.4">
      <c r="A11" s="26" t="s">
        <v>3710</v>
      </c>
      <c r="B11" s="26" t="s">
        <v>3711</v>
      </c>
      <c r="C11" s="26">
        <v>0</v>
      </c>
      <c r="D11" s="26">
        <v>0.5</v>
      </c>
      <c r="E11" s="26">
        <v>0.5</v>
      </c>
      <c r="F11" s="26">
        <v>0</v>
      </c>
      <c r="G11" s="26">
        <v>0</v>
      </c>
      <c r="H11" s="26">
        <v>0.5</v>
      </c>
      <c r="I11" s="26">
        <v>0.5</v>
      </c>
      <c r="J11" s="26" t="s">
        <v>3687</v>
      </c>
      <c r="K11" s="26">
        <v>4</v>
      </c>
    </row>
    <row r="12" spans="1:11" x14ac:dyDescent="0.4">
      <c r="A12" s="26" t="s">
        <v>3712</v>
      </c>
      <c r="B12" s="26" t="s">
        <v>3713</v>
      </c>
      <c r="C12" s="26">
        <v>0.36363636363636359</v>
      </c>
      <c r="D12" s="26">
        <v>0.27272727272727271</v>
      </c>
      <c r="E12" s="26">
        <v>0.36363636363636359</v>
      </c>
      <c r="F12" s="26">
        <v>0</v>
      </c>
      <c r="G12" s="26">
        <v>0</v>
      </c>
      <c r="H12" s="26">
        <v>0.36363636363636359</v>
      </c>
      <c r="I12" s="26">
        <v>0.27272727272727271</v>
      </c>
      <c r="J12" s="26" t="s">
        <v>3684</v>
      </c>
      <c r="K12" s="26">
        <v>5</v>
      </c>
    </row>
    <row r="13" spans="1:11" x14ac:dyDescent="0.4">
      <c r="A13" s="26" t="s">
        <v>3714</v>
      </c>
      <c r="B13" s="26" t="s">
        <v>3715</v>
      </c>
      <c r="C13" s="26">
        <v>0.44444444444444442</v>
      </c>
      <c r="D13" s="26">
        <v>0.1111111111111111</v>
      </c>
      <c r="E13" s="26">
        <v>0.44444444444444442</v>
      </c>
      <c r="F13" s="26">
        <v>0</v>
      </c>
      <c r="G13" s="26">
        <v>0</v>
      </c>
      <c r="H13" s="26">
        <v>0.44444444444444442</v>
      </c>
      <c r="I13" s="26">
        <v>0.1111111111111111</v>
      </c>
      <c r="J13" s="26" t="s">
        <v>3684</v>
      </c>
      <c r="K13" s="26">
        <v>5</v>
      </c>
    </row>
    <row r="14" spans="1:11" x14ac:dyDescent="0.4">
      <c r="A14" s="26" t="s">
        <v>3716</v>
      </c>
      <c r="B14" s="26" t="s">
        <v>3717</v>
      </c>
      <c r="C14" s="26">
        <v>0.33333333333333331</v>
      </c>
      <c r="D14" s="26">
        <v>0.33333333333333331</v>
      </c>
      <c r="E14" s="26">
        <v>0.33333333333333331</v>
      </c>
      <c r="F14" s="26">
        <v>0</v>
      </c>
      <c r="G14" s="26">
        <v>0</v>
      </c>
      <c r="H14" s="26">
        <v>0.33333333333333331</v>
      </c>
      <c r="I14" s="26">
        <v>0.33333333333333331</v>
      </c>
      <c r="J14" s="26" t="s">
        <v>3684</v>
      </c>
      <c r="K14" s="26">
        <v>5</v>
      </c>
    </row>
    <row r="15" spans="1:11" x14ac:dyDescent="0.4">
      <c r="A15" s="26" t="s">
        <v>3718</v>
      </c>
      <c r="B15" s="26" t="s">
        <v>3719</v>
      </c>
      <c r="C15" s="26">
        <v>0.4</v>
      </c>
      <c r="D15" s="26">
        <v>0</v>
      </c>
      <c r="E15" s="26">
        <v>0.4</v>
      </c>
      <c r="F15" s="26">
        <v>0.2</v>
      </c>
      <c r="G15" s="26">
        <v>0</v>
      </c>
      <c r="H15" s="26">
        <v>0.60000000000000009</v>
      </c>
      <c r="I15" s="26">
        <v>0.2</v>
      </c>
      <c r="J15" s="26" t="s">
        <v>3686</v>
      </c>
      <c r="K15" s="26">
        <v>5</v>
      </c>
    </row>
    <row r="16" spans="1:11" x14ac:dyDescent="0.4">
      <c r="A16" s="26" t="s">
        <v>3720</v>
      </c>
      <c r="B16" s="26" t="s">
        <v>3721</v>
      </c>
      <c r="C16" s="26">
        <v>0.125</v>
      </c>
      <c r="D16" s="26">
        <v>0.375</v>
      </c>
      <c r="E16" s="26">
        <v>0.125</v>
      </c>
      <c r="F16" s="26">
        <v>0.375</v>
      </c>
      <c r="G16" s="26">
        <v>0</v>
      </c>
      <c r="H16" s="26">
        <v>0.5</v>
      </c>
      <c r="I16" s="26">
        <v>0.75</v>
      </c>
      <c r="J16" s="26" t="s">
        <v>3687</v>
      </c>
      <c r="K16" s="26">
        <v>5</v>
      </c>
    </row>
    <row r="17" spans="1:11" x14ac:dyDescent="0.4">
      <c r="A17" s="26" t="s">
        <v>3722</v>
      </c>
      <c r="B17" s="26" t="s">
        <v>3723</v>
      </c>
      <c r="C17" s="26">
        <v>0.44444444444444442</v>
      </c>
      <c r="D17" s="26">
        <v>0.44444444444444442</v>
      </c>
      <c r="E17" s="26">
        <v>0.1111111111111111</v>
      </c>
      <c r="F17" s="26">
        <v>0</v>
      </c>
      <c r="G17" s="26">
        <v>0</v>
      </c>
      <c r="H17" s="26">
        <v>0.1111111111111111</v>
      </c>
      <c r="I17" s="26">
        <v>0.44444444444444442</v>
      </c>
      <c r="J17" s="26" t="s">
        <v>3684</v>
      </c>
      <c r="K17" s="26">
        <v>5</v>
      </c>
    </row>
    <row r="18" spans="1:11" x14ac:dyDescent="0.4">
      <c r="A18" s="26" t="s">
        <v>3724</v>
      </c>
      <c r="B18" s="26" t="s">
        <v>3725</v>
      </c>
      <c r="C18" s="26">
        <v>0</v>
      </c>
      <c r="D18" s="26">
        <v>0.5</v>
      </c>
      <c r="E18" s="26">
        <v>0</v>
      </c>
      <c r="F18" s="26">
        <v>0.5</v>
      </c>
      <c r="G18" s="26">
        <v>0</v>
      </c>
      <c r="H18" s="26">
        <v>0.5</v>
      </c>
      <c r="I18" s="26">
        <v>1</v>
      </c>
      <c r="J18" s="26" t="s">
        <v>3687</v>
      </c>
      <c r="K18" s="26">
        <v>7</v>
      </c>
    </row>
    <row r="19" spans="1:11" x14ac:dyDescent="0.4">
      <c r="A19" s="26" t="s">
        <v>3726</v>
      </c>
      <c r="B19" s="26" t="s">
        <v>3727</v>
      </c>
      <c r="C19" s="26">
        <v>0</v>
      </c>
      <c r="D19" s="26">
        <v>0.33333333333333331</v>
      </c>
      <c r="E19" s="26">
        <v>0.33333333333333331</v>
      </c>
      <c r="F19" s="26">
        <v>0.33333333333333331</v>
      </c>
      <c r="G19" s="26">
        <v>0</v>
      </c>
      <c r="H19" s="26">
        <v>0.66666666666666663</v>
      </c>
      <c r="I19" s="26">
        <v>0.66666666666666663</v>
      </c>
      <c r="J19" s="26" t="s">
        <v>3687</v>
      </c>
      <c r="K19" s="26">
        <v>7</v>
      </c>
    </row>
    <row r="20" spans="1:11" x14ac:dyDescent="0.4">
      <c r="A20" s="26" t="s">
        <v>3728</v>
      </c>
      <c r="B20" s="26" t="s">
        <v>3729</v>
      </c>
      <c r="C20" s="26">
        <v>0</v>
      </c>
      <c r="D20" s="26">
        <v>0.42857142857142849</v>
      </c>
      <c r="E20" s="26">
        <v>0.42857142857142849</v>
      </c>
      <c r="F20" s="26">
        <v>0.14285714285714279</v>
      </c>
      <c r="G20" s="26">
        <v>0</v>
      </c>
      <c r="H20" s="26">
        <v>0.5714285714285714</v>
      </c>
      <c r="I20" s="26">
        <v>0.5714285714285714</v>
      </c>
      <c r="J20" s="26" t="s">
        <v>3687</v>
      </c>
      <c r="K20" s="26">
        <v>7</v>
      </c>
    </row>
    <row r="21" spans="1:11" x14ac:dyDescent="0.4">
      <c r="A21" s="26" t="s">
        <v>3730</v>
      </c>
      <c r="B21" s="26" t="s">
        <v>3731</v>
      </c>
      <c r="C21" s="26">
        <v>0</v>
      </c>
      <c r="D21" s="26">
        <v>0.5</v>
      </c>
      <c r="E21" s="26">
        <v>0.5</v>
      </c>
      <c r="F21" s="26">
        <v>0</v>
      </c>
      <c r="G21" s="26">
        <v>0</v>
      </c>
      <c r="H21" s="26">
        <v>0.5</v>
      </c>
      <c r="I21" s="26">
        <v>0.5</v>
      </c>
      <c r="J21" s="26" t="s">
        <v>3685</v>
      </c>
      <c r="K21" s="26">
        <v>7</v>
      </c>
    </row>
    <row r="22" spans="1:11" x14ac:dyDescent="0.4">
      <c r="A22" s="26" t="s">
        <v>3732</v>
      </c>
      <c r="B22" s="26" t="s">
        <v>3733</v>
      </c>
      <c r="C22" s="26">
        <v>0</v>
      </c>
      <c r="D22" s="26">
        <v>0.33333333333333331</v>
      </c>
      <c r="E22" s="26">
        <v>0.33333333333333331</v>
      </c>
      <c r="F22" s="26">
        <v>0.33333333333333331</v>
      </c>
      <c r="G22" s="26">
        <v>0</v>
      </c>
      <c r="H22" s="26">
        <v>0.66666666666666663</v>
      </c>
      <c r="I22" s="26">
        <v>0.66666666666666663</v>
      </c>
      <c r="J22" s="26" t="s">
        <v>3687</v>
      </c>
      <c r="K22" s="26">
        <v>7</v>
      </c>
    </row>
    <row r="23" spans="1:11" x14ac:dyDescent="0.4">
      <c r="A23" s="26" t="s">
        <v>3734</v>
      </c>
      <c r="B23" s="26" t="s">
        <v>3735</v>
      </c>
      <c r="C23" s="26">
        <v>0</v>
      </c>
      <c r="D23" s="26">
        <v>0.42857142857142849</v>
      </c>
      <c r="E23" s="26">
        <v>0.14285714285714279</v>
      </c>
      <c r="F23" s="26">
        <v>0.42857142857142849</v>
      </c>
      <c r="G23" s="26">
        <v>0</v>
      </c>
      <c r="H23" s="26">
        <v>0.5714285714285714</v>
      </c>
      <c r="I23" s="26">
        <v>0.8571428571428571</v>
      </c>
      <c r="J23" s="26" t="s">
        <v>3687</v>
      </c>
      <c r="K23" s="26">
        <v>8</v>
      </c>
    </row>
    <row r="24" spans="1:11" x14ac:dyDescent="0.4">
      <c r="A24" s="26" t="s">
        <v>3736</v>
      </c>
      <c r="B24" s="26" t="s">
        <v>3737</v>
      </c>
      <c r="C24" s="26">
        <v>0</v>
      </c>
      <c r="D24" s="26">
        <v>0.5</v>
      </c>
      <c r="E24" s="26">
        <v>0.5</v>
      </c>
      <c r="F24" s="26">
        <v>0</v>
      </c>
      <c r="G24" s="26">
        <v>0</v>
      </c>
      <c r="H24" s="26">
        <v>0.5</v>
      </c>
      <c r="I24" s="26">
        <v>0.5</v>
      </c>
      <c r="J24" s="26" t="s">
        <v>3687</v>
      </c>
      <c r="K24" s="26">
        <v>8</v>
      </c>
    </row>
    <row r="25" spans="1:11" x14ac:dyDescent="0.4">
      <c r="A25" s="26" t="s">
        <v>3738</v>
      </c>
      <c r="B25" s="26" t="s">
        <v>3739</v>
      </c>
      <c r="C25" s="26">
        <v>0</v>
      </c>
      <c r="D25" s="26">
        <v>0.5</v>
      </c>
      <c r="E25" s="26">
        <v>0</v>
      </c>
      <c r="F25" s="26">
        <v>0.5</v>
      </c>
      <c r="G25" s="26">
        <v>0</v>
      </c>
      <c r="H25" s="26">
        <v>0.5</v>
      </c>
      <c r="I25" s="26">
        <v>1</v>
      </c>
      <c r="J25" s="26" t="s">
        <v>3687</v>
      </c>
      <c r="K25" s="26">
        <v>8</v>
      </c>
    </row>
    <row r="26" spans="1:11" x14ac:dyDescent="0.4">
      <c r="A26" s="26" t="s">
        <v>3740</v>
      </c>
      <c r="B26" s="26" t="s">
        <v>3741</v>
      </c>
      <c r="C26" s="26">
        <v>0</v>
      </c>
      <c r="D26" s="26">
        <v>0.5</v>
      </c>
      <c r="E26" s="26">
        <v>0</v>
      </c>
      <c r="F26" s="26">
        <v>0.5</v>
      </c>
      <c r="G26" s="26">
        <v>0</v>
      </c>
      <c r="H26" s="26">
        <v>0.5</v>
      </c>
      <c r="I26" s="26">
        <v>1</v>
      </c>
      <c r="J26" s="26" t="s">
        <v>3687</v>
      </c>
      <c r="K26" s="26">
        <v>9</v>
      </c>
    </row>
    <row r="27" spans="1:11" x14ac:dyDescent="0.4">
      <c r="A27" s="26" t="s">
        <v>3742</v>
      </c>
      <c r="B27" s="26" t="s">
        <v>3743</v>
      </c>
      <c r="C27" s="26">
        <v>0</v>
      </c>
      <c r="D27" s="26">
        <v>0.4</v>
      </c>
      <c r="E27" s="26">
        <v>0.4</v>
      </c>
      <c r="F27" s="26">
        <v>0.2</v>
      </c>
      <c r="G27" s="26">
        <v>0</v>
      </c>
      <c r="H27" s="26">
        <v>0.60000000000000009</v>
      </c>
      <c r="I27" s="26">
        <v>0.60000000000000009</v>
      </c>
      <c r="J27" s="26" t="s">
        <v>3687</v>
      </c>
      <c r="K27" s="26">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F4A47-EB8D-4E66-BEF2-9FCF54185298}">
  <dimension ref="A1:K56"/>
  <sheetViews>
    <sheetView tabSelected="1" topLeftCell="A17" workbookViewId="0">
      <selection activeCell="G53" sqref="G53"/>
    </sheetView>
  </sheetViews>
  <sheetFormatPr defaultRowHeight="13.15" x14ac:dyDescent="0.4"/>
  <cols>
    <col min="1" max="1" width="9.140625" style="29"/>
    <col min="2" max="2" width="66.2109375" style="26" customWidth="1"/>
    <col min="3" max="3" width="7.35546875" style="36" customWidth="1"/>
    <col min="4" max="4" width="8.640625" style="26" customWidth="1"/>
    <col min="5" max="5" width="8.78515625" style="26" customWidth="1"/>
    <col min="6" max="6" width="7.85546875" style="26" customWidth="1"/>
    <col min="7" max="7" width="10.28515625" style="26" customWidth="1"/>
    <col min="8" max="11" width="9.140625" style="26"/>
  </cols>
  <sheetData>
    <row r="1" spans="1:11" ht="14.25" x14ac:dyDescent="0.45">
      <c r="A1" s="27" t="s">
        <v>0</v>
      </c>
      <c r="B1" s="28" t="s">
        <v>3786</v>
      </c>
      <c r="C1" s="25" t="s">
        <v>3652</v>
      </c>
      <c r="D1" s="27" t="s">
        <v>3684</v>
      </c>
      <c r="E1" s="27" t="s">
        <v>3685</v>
      </c>
      <c r="F1" s="27" t="s">
        <v>3686</v>
      </c>
      <c r="G1" s="27" t="s">
        <v>3687</v>
      </c>
      <c r="H1" s="27" t="s">
        <v>3688</v>
      </c>
      <c r="I1" s="27" t="s">
        <v>3689</v>
      </c>
      <c r="J1" s="27" t="s">
        <v>3690</v>
      </c>
      <c r="K1" s="27" t="s">
        <v>3691</v>
      </c>
    </row>
    <row r="2" spans="1:11" x14ac:dyDescent="0.4">
      <c r="A2" s="29" t="str">
        <f>[1]Sheet1!A2</f>
        <v>0110</v>
      </c>
      <c r="B2" s="30" t="s">
        <v>3744</v>
      </c>
      <c r="C2" s="31">
        <v>1</v>
      </c>
      <c r="D2" s="31">
        <v>0</v>
      </c>
      <c r="E2" s="31">
        <v>0</v>
      </c>
      <c r="F2" s="31">
        <v>0</v>
      </c>
      <c r="G2" s="31">
        <v>0</v>
      </c>
      <c r="H2" s="32">
        <f>SUM(F2:G2)</f>
        <v>0</v>
      </c>
      <c r="I2" s="32">
        <f>SUM(E2,G2)</f>
        <v>0</v>
      </c>
      <c r="J2" s="33" t="str">
        <f>IF(COUNTIF(C2:G2, MAX(C2:G2))&gt;1, "Tie",
   CHOOSE(MATCH(MAX(C2:G2), C2:G2, 0), "NA","NRC", "NRM", "RC", "RM"))</f>
        <v>NA</v>
      </c>
      <c r="K2" s="26" t="str">
        <f>LEFT(A2,1)</f>
        <v>0</v>
      </c>
    </row>
    <row r="3" spans="1:11" x14ac:dyDescent="0.4">
      <c r="A3" s="29" t="str">
        <f>[1]Sheet1!A3</f>
        <v>0210</v>
      </c>
      <c r="B3" s="30" t="s">
        <v>3745</v>
      </c>
      <c r="C3" s="31">
        <v>1</v>
      </c>
      <c r="D3" s="31">
        <v>0</v>
      </c>
      <c r="E3" s="31">
        <v>0</v>
      </c>
      <c r="F3" s="31">
        <v>0</v>
      </c>
      <c r="G3" s="31">
        <v>0</v>
      </c>
      <c r="H3" s="32">
        <f t="shared" ref="H3:H43" si="0">SUM(F3:G3)</f>
        <v>0</v>
      </c>
      <c r="I3" s="32">
        <f t="shared" ref="I3:I43" si="1">SUM(E3,G3)</f>
        <v>0</v>
      </c>
      <c r="J3" s="33" t="str">
        <f t="shared" ref="J3:J43" si="2">IF(COUNTIF(C3:G3, MAX(C3:G3))&gt;1, "Tie",
   CHOOSE(MATCH(MAX(C3:G3), C3:G3, 0), "NA","NRC", "NRM", "RC", "RM"))</f>
        <v>NA</v>
      </c>
      <c r="K3" s="26" t="str">
        <f t="shared" ref="K3:K43" si="3">LEFT(A3,1)</f>
        <v>0</v>
      </c>
    </row>
    <row r="4" spans="1:11" x14ac:dyDescent="0.4">
      <c r="A4" s="29" t="str">
        <f>[1]Sheet1!A4</f>
        <v>0310</v>
      </c>
      <c r="B4" s="30" t="s">
        <v>3746</v>
      </c>
      <c r="C4" s="31">
        <v>1</v>
      </c>
      <c r="D4" s="31">
        <v>0</v>
      </c>
      <c r="E4" s="31">
        <v>0</v>
      </c>
      <c r="F4" s="31">
        <v>0</v>
      </c>
      <c r="G4" s="31">
        <v>0</v>
      </c>
      <c r="H4" s="32">
        <f t="shared" si="0"/>
        <v>0</v>
      </c>
      <c r="I4" s="32">
        <f t="shared" si="1"/>
        <v>0</v>
      </c>
      <c r="J4" s="33" t="str">
        <f t="shared" si="2"/>
        <v>NA</v>
      </c>
      <c r="K4" s="26" t="str">
        <f t="shared" si="3"/>
        <v>0</v>
      </c>
    </row>
    <row r="5" spans="1:11" x14ac:dyDescent="0.4">
      <c r="A5" s="29" t="str">
        <f>[1]Sheet1!A5</f>
        <v>1439</v>
      </c>
      <c r="B5" s="30" t="s">
        <v>3747</v>
      </c>
      <c r="C5" s="31">
        <v>1</v>
      </c>
      <c r="D5" s="31">
        <v>0</v>
      </c>
      <c r="E5" s="31">
        <v>0</v>
      </c>
      <c r="F5" s="31">
        <v>0</v>
      </c>
      <c r="G5" s="31">
        <v>0</v>
      </c>
      <c r="H5" s="32">
        <f t="shared" si="0"/>
        <v>0</v>
      </c>
      <c r="I5" s="32">
        <f t="shared" si="1"/>
        <v>0</v>
      </c>
      <c r="J5" s="33" t="str">
        <f t="shared" si="2"/>
        <v>NA</v>
      </c>
      <c r="K5" s="26" t="str">
        <f t="shared" si="3"/>
        <v>1</v>
      </c>
    </row>
    <row r="6" spans="1:11" x14ac:dyDescent="0.4">
      <c r="A6" s="29" t="str">
        <f>[1]Sheet1!A6</f>
        <v>2119</v>
      </c>
      <c r="B6" s="30" t="s">
        <v>3748</v>
      </c>
      <c r="C6" s="31">
        <v>1</v>
      </c>
      <c r="D6" s="31">
        <v>0</v>
      </c>
      <c r="E6" s="31">
        <v>0</v>
      </c>
      <c r="F6" s="31">
        <v>0</v>
      </c>
      <c r="G6" s="31">
        <v>0</v>
      </c>
      <c r="H6" s="32">
        <f t="shared" si="0"/>
        <v>0</v>
      </c>
      <c r="I6" s="32">
        <f t="shared" si="1"/>
        <v>0</v>
      </c>
      <c r="J6" s="33" t="str">
        <f t="shared" si="2"/>
        <v>NA</v>
      </c>
      <c r="K6" s="26" t="str">
        <f t="shared" si="3"/>
        <v>2</v>
      </c>
    </row>
    <row r="7" spans="1:11" x14ac:dyDescent="0.4">
      <c r="A7" s="29" t="str">
        <f>[1]Sheet1!A7</f>
        <v>2121</v>
      </c>
      <c r="B7" s="30" t="s">
        <v>3749</v>
      </c>
      <c r="C7" s="31">
        <v>0</v>
      </c>
      <c r="D7" s="31">
        <v>1</v>
      </c>
      <c r="E7" s="31">
        <v>0</v>
      </c>
      <c r="F7" s="31">
        <v>0</v>
      </c>
      <c r="G7" s="31">
        <v>0</v>
      </c>
      <c r="H7" s="32">
        <f t="shared" si="0"/>
        <v>0</v>
      </c>
      <c r="I7" s="32">
        <f t="shared" si="1"/>
        <v>0</v>
      </c>
      <c r="J7" s="33" t="str">
        <f t="shared" si="2"/>
        <v>NRC</v>
      </c>
      <c r="K7" s="26" t="str">
        <f t="shared" si="3"/>
        <v>2</v>
      </c>
    </row>
    <row r="8" spans="1:11" x14ac:dyDescent="0.4">
      <c r="A8" s="29" t="str">
        <f>[1]Sheet1!A8</f>
        <v>2122</v>
      </c>
      <c r="B8" s="30" t="s">
        <v>3750</v>
      </c>
      <c r="C8" s="31">
        <v>0</v>
      </c>
      <c r="D8" s="31">
        <v>1</v>
      </c>
      <c r="E8" s="31">
        <v>0</v>
      </c>
      <c r="F8" s="31">
        <v>0</v>
      </c>
      <c r="G8" s="31">
        <v>0</v>
      </c>
      <c r="H8" s="32">
        <f t="shared" si="0"/>
        <v>0</v>
      </c>
      <c r="I8" s="32">
        <f t="shared" si="1"/>
        <v>0</v>
      </c>
      <c r="J8" s="33" t="str">
        <f t="shared" si="2"/>
        <v>NRC</v>
      </c>
      <c r="K8" s="26" t="str">
        <f t="shared" si="3"/>
        <v>2</v>
      </c>
    </row>
    <row r="9" spans="1:11" x14ac:dyDescent="0.4">
      <c r="A9" s="29" t="str">
        <f>[1]Sheet1!A9</f>
        <v>2123</v>
      </c>
      <c r="B9" s="30" t="s">
        <v>3751</v>
      </c>
      <c r="C9" s="31">
        <v>0</v>
      </c>
      <c r="D9" s="31">
        <v>1</v>
      </c>
      <c r="E9" s="31">
        <v>0</v>
      </c>
      <c r="F9" s="31">
        <v>0</v>
      </c>
      <c r="G9" s="31">
        <v>0</v>
      </c>
      <c r="H9" s="32">
        <f t="shared" si="0"/>
        <v>0</v>
      </c>
      <c r="I9" s="32">
        <f t="shared" si="1"/>
        <v>0</v>
      </c>
      <c r="J9" s="33" t="str">
        <f t="shared" si="2"/>
        <v>NRC</v>
      </c>
      <c r="K9" s="26" t="str">
        <f t="shared" si="3"/>
        <v>2</v>
      </c>
    </row>
    <row r="10" spans="1:11" x14ac:dyDescent="0.4">
      <c r="A10" s="29" t="str">
        <f>[1]Sheet1!A10</f>
        <v>2124</v>
      </c>
      <c r="B10" s="30" t="s">
        <v>3752</v>
      </c>
      <c r="C10" s="31">
        <v>0</v>
      </c>
      <c r="D10" s="31">
        <v>1</v>
      </c>
      <c r="E10" s="31">
        <v>0</v>
      </c>
      <c r="F10" s="31">
        <v>0</v>
      </c>
      <c r="G10" s="31">
        <v>0</v>
      </c>
      <c r="H10" s="32">
        <f t="shared" si="0"/>
        <v>0</v>
      </c>
      <c r="I10" s="32">
        <f t="shared" si="1"/>
        <v>0</v>
      </c>
      <c r="J10" s="33" t="str">
        <f t="shared" si="2"/>
        <v>NRC</v>
      </c>
      <c r="K10" s="26" t="str">
        <f t="shared" si="3"/>
        <v>2</v>
      </c>
    </row>
    <row r="11" spans="1:11" x14ac:dyDescent="0.4">
      <c r="A11" s="29" t="str">
        <f>[1]Sheet1!A11</f>
        <v>3139</v>
      </c>
      <c r="B11" s="30" t="s">
        <v>3753</v>
      </c>
      <c r="C11" s="31">
        <v>1</v>
      </c>
      <c r="D11" s="31">
        <v>0</v>
      </c>
      <c r="E11" s="31">
        <v>0</v>
      </c>
      <c r="F11" s="31">
        <v>0</v>
      </c>
      <c r="G11" s="31">
        <v>0</v>
      </c>
      <c r="H11" s="32">
        <f t="shared" si="0"/>
        <v>0</v>
      </c>
      <c r="I11" s="32">
        <f t="shared" si="1"/>
        <v>0</v>
      </c>
      <c r="J11" s="33" t="str">
        <f t="shared" si="2"/>
        <v>NA</v>
      </c>
      <c r="K11" s="26" t="str">
        <f t="shared" si="3"/>
        <v>3</v>
      </c>
    </row>
    <row r="12" spans="1:11" x14ac:dyDescent="0.4">
      <c r="A12" s="29" t="str">
        <f>[1]Sheet1!A12</f>
        <v>3411</v>
      </c>
      <c r="B12" s="30" t="s">
        <v>3754</v>
      </c>
      <c r="C12" s="31">
        <v>0</v>
      </c>
      <c r="D12" s="31">
        <v>0.55555555555555558</v>
      </c>
      <c r="E12" s="31">
        <v>0.1111111111111111</v>
      </c>
      <c r="F12" s="31">
        <v>0.22222222222222221</v>
      </c>
      <c r="G12" s="31">
        <v>0.1111111111111111</v>
      </c>
      <c r="H12" s="32">
        <f t="shared" si="0"/>
        <v>0.33333333333333331</v>
      </c>
      <c r="I12" s="32">
        <f t="shared" si="1"/>
        <v>0.22222222222222221</v>
      </c>
      <c r="J12" s="33" t="str">
        <f t="shared" si="2"/>
        <v>NRC</v>
      </c>
      <c r="K12" s="26" t="str">
        <f t="shared" si="3"/>
        <v>3</v>
      </c>
    </row>
    <row r="13" spans="1:11" x14ac:dyDescent="0.4">
      <c r="A13" s="29" t="str">
        <f>[1]Sheet1!A13</f>
        <v>3424</v>
      </c>
      <c r="B13" s="30" t="s">
        <v>3755</v>
      </c>
      <c r="C13" s="31">
        <v>0</v>
      </c>
      <c r="D13" s="31">
        <v>0.625</v>
      </c>
      <c r="E13" s="31">
        <v>0.375</v>
      </c>
      <c r="F13" s="31">
        <v>0</v>
      </c>
      <c r="G13" s="31">
        <v>0</v>
      </c>
      <c r="H13" s="32">
        <f t="shared" si="0"/>
        <v>0</v>
      </c>
      <c r="I13" s="32">
        <f t="shared" si="1"/>
        <v>0.375</v>
      </c>
      <c r="J13" s="33" t="str">
        <f t="shared" si="2"/>
        <v>NRC</v>
      </c>
      <c r="K13" s="26" t="str">
        <f t="shared" si="3"/>
        <v>3</v>
      </c>
    </row>
    <row r="14" spans="1:11" ht="26.25" x14ac:dyDescent="0.4">
      <c r="A14" s="29" t="str">
        <f>[1]Sheet1!A14</f>
        <v>3435</v>
      </c>
      <c r="B14" s="30" t="s">
        <v>3756</v>
      </c>
      <c r="C14" s="31">
        <v>1</v>
      </c>
      <c r="D14" s="31">
        <v>0</v>
      </c>
      <c r="E14" s="31">
        <v>0</v>
      </c>
      <c r="F14" s="31">
        <v>0</v>
      </c>
      <c r="G14" s="31">
        <v>0</v>
      </c>
      <c r="H14" s="32">
        <f t="shared" si="0"/>
        <v>0</v>
      </c>
      <c r="I14" s="32">
        <f t="shared" si="1"/>
        <v>0</v>
      </c>
      <c r="J14" s="33" t="str">
        <f t="shared" si="2"/>
        <v>NA</v>
      </c>
      <c r="K14" s="26" t="str">
        <f t="shared" si="3"/>
        <v>3</v>
      </c>
    </row>
    <row r="15" spans="1:11" x14ac:dyDescent="0.4">
      <c r="A15" s="29" t="str">
        <f>[1]Sheet1!A15</f>
        <v>5247</v>
      </c>
      <c r="B15" s="30" t="s">
        <v>3757</v>
      </c>
      <c r="C15" s="31">
        <v>0</v>
      </c>
      <c r="D15" s="31">
        <v>0.375</v>
      </c>
      <c r="E15" s="31">
        <v>0.125</v>
      </c>
      <c r="F15" s="31">
        <v>0.25</v>
      </c>
      <c r="G15" s="31">
        <v>0.25</v>
      </c>
      <c r="H15" s="32">
        <f t="shared" si="0"/>
        <v>0.5</v>
      </c>
      <c r="I15" s="32">
        <f t="shared" si="1"/>
        <v>0.375</v>
      </c>
      <c r="J15" s="33" t="str">
        <f t="shared" si="2"/>
        <v>NRC</v>
      </c>
      <c r="K15" s="26" t="str">
        <f t="shared" si="3"/>
        <v>5</v>
      </c>
    </row>
    <row r="16" spans="1:11" x14ac:dyDescent="0.4">
      <c r="A16" s="29" t="str">
        <f>[1]Sheet1!A16</f>
        <v>5249</v>
      </c>
      <c r="B16" s="30" t="s">
        <v>3758</v>
      </c>
      <c r="C16" s="31">
        <v>1</v>
      </c>
      <c r="D16" s="31">
        <v>0</v>
      </c>
      <c r="E16" s="31">
        <v>0</v>
      </c>
      <c r="F16" s="31">
        <v>0</v>
      </c>
      <c r="G16" s="31">
        <v>0</v>
      </c>
      <c r="H16" s="32">
        <f t="shared" si="0"/>
        <v>0</v>
      </c>
      <c r="I16" s="32">
        <f t="shared" si="1"/>
        <v>0</v>
      </c>
      <c r="J16" s="33" t="str">
        <f t="shared" si="2"/>
        <v>NA</v>
      </c>
      <c r="K16" s="26" t="str">
        <f t="shared" si="3"/>
        <v>5</v>
      </c>
    </row>
    <row r="17" spans="1:11" x14ac:dyDescent="0.4">
      <c r="A17" s="29" t="str">
        <f>[1]Sheet1!A17</f>
        <v>6115</v>
      </c>
      <c r="B17" s="30" t="s">
        <v>3759</v>
      </c>
      <c r="C17" s="31">
        <v>0</v>
      </c>
      <c r="D17" s="31">
        <v>0.42857142857142855</v>
      </c>
      <c r="E17" s="31">
        <v>0</v>
      </c>
      <c r="F17" s="31">
        <v>0</v>
      </c>
      <c r="G17" s="31">
        <v>0.5714285714285714</v>
      </c>
      <c r="H17" s="32">
        <f t="shared" si="0"/>
        <v>0.5714285714285714</v>
      </c>
      <c r="I17" s="32">
        <f t="shared" si="1"/>
        <v>0.5714285714285714</v>
      </c>
      <c r="J17" s="33" t="str">
        <f t="shared" si="2"/>
        <v>RM</v>
      </c>
      <c r="K17" s="26" t="str">
        <f t="shared" si="3"/>
        <v>6</v>
      </c>
    </row>
    <row r="18" spans="1:11" x14ac:dyDescent="0.4">
      <c r="A18" s="29" t="str">
        <f>[1]Sheet1!A18</f>
        <v>6116</v>
      </c>
      <c r="B18" s="30" t="s">
        <v>3760</v>
      </c>
      <c r="C18" s="31">
        <v>0</v>
      </c>
      <c r="D18" s="31">
        <v>0.5714285714285714</v>
      </c>
      <c r="E18" s="31">
        <v>0</v>
      </c>
      <c r="F18" s="31">
        <v>0</v>
      </c>
      <c r="G18" s="31">
        <v>0.42857142857142855</v>
      </c>
      <c r="H18" s="32">
        <f t="shared" si="0"/>
        <v>0.42857142857142855</v>
      </c>
      <c r="I18" s="32">
        <f t="shared" si="1"/>
        <v>0.42857142857142855</v>
      </c>
      <c r="J18" s="33" t="str">
        <f t="shared" si="2"/>
        <v>NRC</v>
      </c>
      <c r="K18" s="26" t="str">
        <f t="shared" si="3"/>
        <v>6</v>
      </c>
    </row>
    <row r="19" spans="1:11" x14ac:dyDescent="0.4">
      <c r="A19" s="29" t="str">
        <f>[1]Sheet1!A19</f>
        <v>6117</v>
      </c>
      <c r="B19" s="30" t="s">
        <v>3761</v>
      </c>
      <c r="C19" s="31">
        <v>0</v>
      </c>
      <c r="D19" s="31">
        <v>0.25</v>
      </c>
      <c r="E19" s="31">
        <v>0</v>
      </c>
      <c r="F19" s="31">
        <v>0</v>
      </c>
      <c r="G19" s="31">
        <v>0.75</v>
      </c>
      <c r="H19" s="32">
        <f t="shared" si="0"/>
        <v>0.75</v>
      </c>
      <c r="I19" s="32">
        <f t="shared" si="1"/>
        <v>0.75</v>
      </c>
      <c r="J19" s="33" t="str">
        <f t="shared" si="2"/>
        <v>RM</v>
      </c>
      <c r="K19" s="26" t="str">
        <f t="shared" si="3"/>
        <v>6</v>
      </c>
    </row>
    <row r="20" spans="1:11" x14ac:dyDescent="0.4">
      <c r="A20" s="29" t="str">
        <f>[1]Sheet1!A20</f>
        <v>6118</v>
      </c>
      <c r="B20" s="30" t="s">
        <v>3762</v>
      </c>
      <c r="C20" s="31">
        <v>0</v>
      </c>
      <c r="D20" s="31">
        <v>0.25</v>
      </c>
      <c r="E20" s="31">
        <v>0</v>
      </c>
      <c r="F20" s="31">
        <v>0</v>
      </c>
      <c r="G20" s="31">
        <v>0.75</v>
      </c>
      <c r="H20" s="32">
        <f t="shared" si="0"/>
        <v>0.75</v>
      </c>
      <c r="I20" s="32">
        <f t="shared" si="1"/>
        <v>0.75</v>
      </c>
      <c r="J20" s="33" t="str">
        <f t="shared" si="2"/>
        <v>RM</v>
      </c>
      <c r="K20" s="26" t="str">
        <f t="shared" si="3"/>
        <v>6</v>
      </c>
    </row>
    <row r="21" spans="1:11" ht="26.25" x14ac:dyDescent="0.4">
      <c r="A21" s="29" t="str">
        <f>[1]Sheet1!A21</f>
        <v>6119</v>
      </c>
      <c r="B21" s="30" t="s">
        <v>3763</v>
      </c>
      <c r="C21" s="31">
        <v>0</v>
      </c>
      <c r="D21" s="31">
        <v>0.42857142857142855</v>
      </c>
      <c r="E21" s="31">
        <v>0</v>
      </c>
      <c r="F21" s="31">
        <v>0</v>
      </c>
      <c r="G21" s="31">
        <v>0.5714285714285714</v>
      </c>
      <c r="H21" s="32">
        <f t="shared" si="0"/>
        <v>0.5714285714285714</v>
      </c>
      <c r="I21" s="32">
        <f t="shared" si="1"/>
        <v>0.5714285714285714</v>
      </c>
      <c r="J21" s="33" t="str">
        <f t="shared" si="2"/>
        <v>RM</v>
      </c>
      <c r="K21" s="26" t="str">
        <f t="shared" si="3"/>
        <v>6</v>
      </c>
    </row>
    <row r="22" spans="1:11" x14ac:dyDescent="0.4">
      <c r="A22" s="29" t="str">
        <f>[1]Sheet1!A22</f>
        <v>6123</v>
      </c>
      <c r="B22" s="30" t="s">
        <v>3764</v>
      </c>
      <c r="C22" s="31">
        <v>0</v>
      </c>
      <c r="D22" s="31">
        <v>0.75</v>
      </c>
      <c r="E22" s="31">
        <v>0</v>
      </c>
      <c r="F22" s="31">
        <v>0</v>
      </c>
      <c r="G22" s="31">
        <v>0.25</v>
      </c>
      <c r="H22" s="32">
        <f t="shared" si="0"/>
        <v>0.25</v>
      </c>
      <c r="I22" s="32">
        <f t="shared" si="1"/>
        <v>0.25</v>
      </c>
      <c r="J22" s="33" t="str">
        <f t="shared" si="2"/>
        <v>NRC</v>
      </c>
      <c r="K22" s="26" t="str">
        <f t="shared" si="3"/>
        <v>6</v>
      </c>
    </row>
    <row r="23" spans="1:11" x14ac:dyDescent="0.4">
      <c r="A23" s="29" t="str">
        <f>[1]Sheet1!A23</f>
        <v>6124</v>
      </c>
      <c r="B23" s="30" t="s">
        <v>3765</v>
      </c>
      <c r="C23" s="31">
        <v>0</v>
      </c>
      <c r="D23" s="31">
        <v>0.33333333333333331</v>
      </c>
      <c r="E23" s="31">
        <v>0</v>
      </c>
      <c r="F23" s="31">
        <v>0</v>
      </c>
      <c r="G23" s="31">
        <v>0.66666666666666663</v>
      </c>
      <c r="H23" s="32">
        <f t="shared" si="0"/>
        <v>0.66666666666666663</v>
      </c>
      <c r="I23" s="32">
        <f t="shared" si="1"/>
        <v>0.66666666666666663</v>
      </c>
      <c r="J23" s="33" t="str">
        <f t="shared" si="2"/>
        <v>RM</v>
      </c>
      <c r="K23" s="26" t="str">
        <f t="shared" si="3"/>
        <v>6</v>
      </c>
    </row>
    <row r="24" spans="1:11" x14ac:dyDescent="0.4">
      <c r="A24" s="29" t="str">
        <f>[1]Sheet1!A24</f>
        <v>6125</v>
      </c>
      <c r="B24" s="30" t="s">
        <v>3766</v>
      </c>
      <c r="C24" s="31">
        <v>0</v>
      </c>
      <c r="D24" s="31">
        <v>0.33333333333333331</v>
      </c>
      <c r="E24" s="31">
        <v>0</v>
      </c>
      <c r="F24" s="31">
        <v>0</v>
      </c>
      <c r="G24" s="31">
        <v>0.66666666666666663</v>
      </c>
      <c r="H24" s="32">
        <f t="shared" si="0"/>
        <v>0.66666666666666663</v>
      </c>
      <c r="I24" s="32">
        <f t="shared" si="1"/>
        <v>0.66666666666666663</v>
      </c>
      <c r="J24" s="33" t="str">
        <f t="shared" si="2"/>
        <v>RM</v>
      </c>
      <c r="K24" s="26" t="str">
        <f t="shared" si="3"/>
        <v>6</v>
      </c>
    </row>
    <row r="25" spans="1:11" x14ac:dyDescent="0.4">
      <c r="A25" s="29" t="str">
        <f>[1]Sheet1!A25</f>
        <v>6126</v>
      </c>
      <c r="B25" s="30" t="s">
        <v>3767</v>
      </c>
      <c r="C25" s="31">
        <v>0</v>
      </c>
      <c r="D25" s="31">
        <v>0.33333333333333331</v>
      </c>
      <c r="E25" s="31">
        <v>0</v>
      </c>
      <c r="F25" s="31">
        <v>0</v>
      </c>
      <c r="G25" s="31">
        <v>0.66666666666666663</v>
      </c>
      <c r="H25" s="32">
        <f t="shared" si="0"/>
        <v>0.66666666666666663</v>
      </c>
      <c r="I25" s="32">
        <f t="shared" si="1"/>
        <v>0.66666666666666663</v>
      </c>
      <c r="J25" s="33" t="str">
        <f t="shared" si="2"/>
        <v>RM</v>
      </c>
      <c r="K25" s="26" t="str">
        <f t="shared" si="3"/>
        <v>6</v>
      </c>
    </row>
    <row r="26" spans="1:11" x14ac:dyDescent="0.4">
      <c r="A26" s="29" t="str">
        <f>[1]Sheet1!A26</f>
        <v>6127</v>
      </c>
      <c r="B26" s="30" t="s">
        <v>3768</v>
      </c>
      <c r="C26" s="31">
        <v>0</v>
      </c>
      <c r="D26" s="31">
        <v>0.25</v>
      </c>
      <c r="E26" s="31">
        <v>0</v>
      </c>
      <c r="F26" s="31">
        <v>0</v>
      </c>
      <c r="G26" s="31">
        <v>0.75</v>
      </c>
      <c r="H26" s="32">
        <f t="shared" si="0"/>
        <v>0.75</v>
      </c>
      <c r="I26" s="32">
        <f t="shared" si="1"/>
        <v>0.75</v>
      </c>
      <c r="J26" s="33" t="str">
        <f t="shared" si="2"/>
        <v>RM</v>
      </c>
      <c r="K26" s="26" t="str">
        <f t="shared" si="3"/>
        <v>6</v>
      </c>
    </row>
    <row r="27" spans="1:11" x14ac:dyDescent="0.4">
      <c r="A27" s="29" t="str">
        <f>[1]Sheet1!A27</f>
        <v>6128</v>
      </c>
      <c r="B27" s="30" t="s">
        <v>3769</v>
      </c>
      <c r="C27" s="31">
        <v>0</v>
      </c>
      <c r="D27" s="31">
        <v>0.5</v>
      </c>
      <c r="E27" s="31">
        <v>0</v>
      </c>
      <c r="F27" s="31">
        <v>0</v>
      </c>
      <c r="G27" s="31">
        <v>0.5</v>
      </c>
      <c r="H27" s="32">
        <f t="shared" si="0"/>
        <v>0.5</v>
      </c>
      <c r="I27" s="32">
        <f t="shared" si="1"/>
        <v>0.5</v>
      </c>
      <c r="J27" s="34" t="s">
        <v>3684</v>
      </c>
      <c r="K27" s="26" t="str">
        <f t="shared" si="3"/>
        <v>6</v>
      </c>
    </row>
    <row r="28" spans="1:11" x14ac:dyDescent="0.4">
      <c r="A28" s="29" t="str">
        <f>[1]Sheet1!A28</f>
        <v>6211</v>
      </c>
      <c r="B28" s="30" t="s">
        <v>3770</v>
      </c>
      <c r="C28" s="31">
        <v>0</v>
      </c>
      <c r="D28" s="31">
        <v>0</v>
      </c>
      <c r="E28" s="31">
        <v>0</v>
      </c>
      <c r="F28" s="31">
        <v>0</v>
      </c>
      <c r="G28" s="31">
        <v>1</v>
      </c>
      <c r="H28" s="32">
        <f t="shared" si="0"/>
        <v>1</v>
      </c>
      <c r="I28" s="32">
        <f t="shared" si="1"/>
        <v>1</v>
      </c>
      <c r="J28" s="33" t="str">
        <f t="shared" si="2"/>
        <v>RM</v>
      </c>
      <c r="K28" s="26" t="str">
        <f t="shared" si="3"/>
        <v>6</v>
      </c>
    </row>
    <row r="29" spans="1:11" x14ac:dyDescent="0.4">
      <c r="A29" s="29" t="str">
        <f>[1]Sheet1!A29</f>
        <v>6212</v>
      </c>
      <c r="B29" s="30" t="s">
        <v>3771</v>
      </c>
      <c r="C29" s="31">
        <v>0</v>
      </c>
      <c r="D29" s="31">
        <v>0</v>
      </c>
      <c r="E29" s="31">
        <v>0.1</v>
      </c>
      <c r="F29" s="31">
        <v>0</v>
      </c>
      <c r="G29" s="31">
        <v>0.9</v>
      </c>
      <c r="H29" s="32">
        <f t="shared" si="0"/>
        <v>0.9</v>
      </c>
      <c r="I29" s="32">
        <f t="shared" si="1"/>
        <v>1</v>
      </c>
      <c r="J29" s="33" t="str">
        <f t="shared" si="2"/>
        <v>RM</v>
      </c>
      <c r="K29" s="26" t="str">
        <f t="shared" si="3"/>
        <v>6</v>
      </c>
    </row>
    <row r="30" spans="1:11" x14ac:dyDescent="0.4">
      <c r="A30" s="29" t="str">
        <f>[1]Sheet1!A30</f>
        <v>6213</v>
      </c>
      <c r="B30" s="30" t="s">
        <v>3772</v>
      </c>
      <c r="C30" s="31">
        <v>0</v>
      </c>
      <c r="D30" s="31">
        <v>0</v>
      </c>
      <c r="E30" s="31">
        <v>0</v>
      </c>
      <c r="F30" s="31">
        <v>0</v>
      </c>
      <c r="G30" s="31">
        <v>1</v>
      </c>
      <c r="H30" s="32">
        <f t="shared" si="0"/>
        <v>1</v>
      </c>
      <c r="I30" s="32">
        <f t="shared" si="1"/>
        <v>1</v>
      </c>
      <c r="J30" s="33" t="str">
        <f t="shared" si="2"/>
        <v>RM</v>
      </c>
      <c r="K30" s="26" t="str">
        <f t="shared" si="3"/>
        <v>6</v>
      </c>
    </row>
    <row r="31" spans="1:11" x14ac:dyDescent="0.4">
      <c r="A31" s="29" t="str">
        <f>[1]Sheet1!A31</f>
        <v>6214</v>
      </c>
      <c r="B31" s="30" t="s">
        <v>3773</v>
      </c>
      <c r="C31" s="31">
        <v>0</v>
      </c>
      <c r="D31" s="31">
        <v>0</v>
      </c>
      <c r="E31" s="31">
        <v>0</v>
      </c>
      <c r="F31" s="31">
        <v>0</v>
      </c>
      <c r="G31" s="31">
        <v>1</v>
      </c>
      <c r="H31" s="32">
        <f t="shared" si="0"/>
        <v>1</v>
      </c>
      <c r="I31" s="32">
        <f t="shared" si="1"/>
        <v>1</v>
      </c>
      <c r="J31" s="33" t="str">
        <f t="shared" si="2"/>
        <v>RM</v>
      </c>
      <c r="K31" s="26" t="str">
        <f t="shared" si="3"/>
        <v>6</v>
      </c>
    </row>
    <row r="32" spans="1:11" x14ac:dyDescent="0.4">
      <c r="A32" s="29" t="str">
        <f>[1]Sheet1!A32</f>
        <v>6225</v>
      </c>
      <c r="B32" s="30" t="s">
        <v>3774</v>
      </c>
      <c r="C32" s="31">
        <v>0</v>
      </c>
      <c r="D32" s="31">
        <v>0.33333333333333331</v>
      </c>
      <c r="E32" s="31">
        <v>0.16666666666666666</v>
      </c>
      <c r="F32" s="31">
        <v>0</v>
      </c>
      <c r="G32" s="31">
        <v>0.5</v>
      </c>
      <c r="H32" s="32">
        <f t="shared" si="0"/>
        <v>0.5</v>
      </c>
      <c r="I32" s="32">
        <f t="shared" si="1"/>
        <v>0.66666666666666663</v>
      </c>
      <c r="J32" s="33" t="str">
        <f t="shared" si="2"/>
        <v>RM</v>
      </c>
      <c r="K32" s="26" t="str">
        <f t="shared" si="3"/>
        <v>6</v>
      </c>
    </row>
    <row r="33" spans="1:11" x14ac:dyDescent="0.4">
      <c r="A33" s="29" t="str">
        <f>[1]Sheet1!A33</f>
        <v>6226</v>
      </c>
      <c r="B33" s="30" t="s">
        <v>3775</v>
      </c>
      <c r="C33" s="31">
        <v>0</v>
      </c>
      <c r="D33" s="31">
        <v>0.22222222222222221</v>
      </c>
      <c r="E33" s="31">
        <v>0.22222222222222221</v>
      </c>
      <c r="F33" s="31">
        <v>0.1111111111111111</v>
      </c>
      <c r="G33" s="31">
        <v>0.44444444444444442</v>
      </c>
      <c r="H33" s="32">
        <f t="shared" si="0"/>
        <v>0.55555555555555558</v>
      </c>
      <c r="I33" s="32">
        <f t="shared" si="1"/>
        <v>0.66666666666666663</v>
      </c>
      <c r="J33" s="33" t="str">
        <f t="shared" si="2"/>
        <v>RM</v>
      </c>
      <c r="K33" s="26" t="str">
        <f t="shared" si="3"/>
        <v>6</v>
      </c>
    </row>
    <row r="34" spans="1:11" x14ac:dyDescent="0.4">
      <c r="A34" s="29" t="str">
        <f>[1]Sheet1!A34</f>
        <v>6227</v>
      </c>
      <c r="B34" s="30" t="s">
        <v>3776</v>
      </c>
      <c r="C34" s="31">
        <v>0</v>
      </c>
      <c r="D34" s="31">
        <v>0.25</v>
      </c>
      <c r="E34" s="31">
        <v>0.125</v>
      </c>
      <c r="F34" s="31">
        <v>0.25</v>
      </c>
      <c r="G34" s="31">
        <v>0.375</v>
      </c>
      <c r="H34" s="32">
        <f t="shared" si="0"/>
        <v>0.625</v>
      </c>
      <c r="I34" s="32">
        <f t="shared" si="1"/>
        <v>0.5</v>
      </c>
      <c r="J34" s="33" t="str">
        <f t="shared" si="2"/>
        <v>RM</v>
      </c>
      <c r="K34" s="26" t="str">
        <f t="shared" si="3"/>
        <v>6</v>
      </c>
    </row>
    <row r="35" spans="1:11" x14ac:dyDescent="0.4">
      <c r="A35" s="29" t="str">
        <f>[1]Sheet1!A35</f>
        <v>6228</v>
      </c>
      <c r="B35" s="30" t="s">
        <v>3777</v>
      </c>
      <c r="C35" s="31">
        <v>0</v>
      </c>
      <c r="D35" s="31">
        <v>0</v>
      </c>
      <c r="E35" s="31">
        <v>0</v>
      </c>
      <c r="F35" s="31">
        <v>0</v>
      </c>
      <c r="G35" s="31">
        <v>1</v>
      </c>
      <c r="H35" s="32">
        <f t="shared" si="0"/>
        <v>1</v>
      </c>
      <c r="I35" s="32">
        <f t="shared" si="1"/>
        <v>1</v>
      </c>
      <c r="J35" s="33" t="str">
        <f t="shared" si="2"/>
        <v>RM</v>
      </c>
      <c r="K35" s="26" t="str">
        <f t="shared" si="3"/>
        <v>6</v>
      </c>
    </row>
    <row r="36" spans="1:11" x14ac:dyDescent="0.4">
      <c r="A36" s="29" t="str">
        <f>[1]Sheet1!A36</f>
        <v>6229</v>
      </c>
      <c r="B36" s="30" t="s">
        <v>3778</v>
      </c>
      <c r="C36" s="31">
        <v>0</v>
      </c>
      <c r="D36" s="31">
        <v>0</v>
      </c>
      <c r="E36" s="31">
        <v>0</v>
      </c>
      <c r="F36" s="31">
        <v>0</v>
      </c>
      <c r="G36" s="31">
        <v>1</v>
      </c>
      <c r="H36" s="32">
        <f t="shared" si="0"/>
        <v>1</v>
      </c>
      <c r="I36" s="32">
        <f t="shared" si="1"/>
        <v>1</v>
      </c>
      <c r="J36" s="33" t="str">
        <f t="shared" si="2"/>
        <v>RM</v>
      </c>
      <c r="K36" s="26" t="str">
        <f t="shared" si="3"/>
        <v>6</v>
      </c>
    </row>
    <row r="37" spans="1:11" x14ac:dyDescent="0.4">
      <c r="A37" s="29" t="str">
        <f>[1]Sheet1!A37</f>
        <v>7319</v>
      </c>
      <c r="B37" s="30" t="s">
        <v>3779</v>
      </c>
      <c r="C37" s="31">
        <v>1</v>
      </c>
      <c r="D37" s="31">
        <v>0</v>
      </c>
      <c r="E37" s="31">
        <v>0</v>
      </c>
      <c r="F37" s="31">
        <v>0</v>
      </c>
      <c r="G37" s="31">
        <v>0</v>
      </c>
      <c r="H37" s="32">
        <f t="shared" si="0"/>
        <v>0</v>
      </c>
      <c r="I37" s="32">
        <f t="shared" si="1"/>
        <v>0</v>
      </c>
      <c r="J37" s="33" t="str">
        <f t="shared" si="2"/>
        <v>NA</v>
      </c>
      <c r="K37" s="26" t="str">
        <f t="shared" si="3"/>
        <v>7</v>
      </c>
    </row>
    <row r="38" spans="1:11" ht="26.25" x14ac:dyDescent="0.4">
      <c r="A38" s="29" t="str">
        <f>[1]Sheet1!A38</f>
        <v>8189</v>
      </c>
      <c r="B38" s="30" t="s">
        <v>3780</v>
      </c>
      <c r="C38" s="31">
        <v>1</v>
      </c>
      <c r="D38" s="31">
        <v>0</v>
      </c>
      <c r="E38" s="31">
        <v>0</v>
      </c>
      <c r="F38" s="31">
        <v>0</v>
      </c>
      <c r="G38" s="31">
        <v>0</v>
      </c>
      <c r="H38" s="32">
        <f t="shared" si="0"/>
        <v>0</v>
      </c>
      <c r="I38" s="32">
        <f t="shared" si="1"/>
        <v>0</v>
      </c>
      <c r="J38" s="33" t="str">
        <f t="shared" si="2"/>
        <v>NA</v>
      </c>
      <c r="K38" s="26" t="str">
        <f t="shared" si="3"/>
        <v>8</v>
      </c>
    </row>
    <row r="39" spans="1:11" x14ac:dyDescent="0.4">
      <c r="A39" s="29" t="str">
        <f>[1]Sheet1!A39</f>
        <v>8323</v>
      </c>
      <c r="B39" s="30" t="s">
        <v>3781</v>
      </c>
      <c r="C39" s="31">
        <v>0</v>
      </c>
      <c r="D39" s="31">
        <v>0</v>
      </c>
      <c r="E39" s="31">
        <v>0.125</v>
      </c>
      <c r="F39" s="31">
        <v>0.375</v>
      </c>
      <c r="G39" s="31">
        <v>0.5</v>
      </c>
      <c r="H39" s="32">
        <f t="shared" si="0"/>
        <v>0.875</v>
      </c>
      <c r="I39" s="32">
        <f t="shared" si="1"/>
        <v>0.625</v>
      </c>
      <c r="J39" s="33" t="str">
        <f t="shared" si="2"/>
        <v>RM</v>
      </c>
      <c r="K39" s="26" t="str">
        <f t="shared" si="3"/>
        <v>8</v>
      </c>
    </row>
    <row r="40" spans="1:11" x14ac:dyDescent="0.4">
      <c r="A40" s="29" t="str">
        <f>[1]Sheet1!A40</f>
        <v>8324</v>
      </c>
      <c r="B40" s="35" t="s">
        <v>3782</v>
      </c>
      <c r="C40" s="31">
        <v>0</v>
      </c>
      <c r="D40" s="31">
        <v>0</v>
      </c>
      <c r="E40" s="31">
        <v>0.125</v>
      </c>
      <c r="F40" s="31">
        <v>0.375</v>
      </c>
      <c r="G40" s="31">
        <v>0.5</v>
      </c>
      <c r="H40" s="32">
        <f t="shared" si="0"/>
        <v>0.875</v>
      </c>
      <c r="I40" s="32">
        <f t="shared" si="1"/>
        <v>0.625</v>
      </c>
      <c r="J40" s="33" t="str">
        <f t="shared" si="2"/>
        <v>RM</v>
      </c>
      <c r="K40" s="26" t="str">
        <f t="shared" si="3"/>
        <v>8</v>
      </c>
    </row>
    <row r="41" spans="1:11" x14ac:dyDescent="0.4">
      <c r="A41" s="29" t="str">
        <f>[1]Sheet1!A41</f>
        <v>8325</v>
      </c>
      <c r="B41" s="35" t="s">
        <v>3783</v>
      </c>
      <c r="C41" s="31">
        <v>0</v>
      </c>
      <c r="D41" s="31">
        <v>0</v>
      </c>
      <c r="E41" s="31">
        <v>0.125</v>
      </c>
      <c r="F41" s="31">
        <v>0.375</v>
      </c>
      <c r="G41" s="31">
        <v>0.5</v>
      </c>
      <c r="H41" s="32">
        <f t="shared" si="0"/>
        <v>0.875</v>
      </c>
      <c r="I41" s="32">
        <f t="shared" si="1"/>
        <v>0.625</v>
      </c>
      <c r="J41" s="33" t="str">
        <f t="shared" si="2"/>
        <v>RM</v>
      </c>
      <c r="K41" s="26" t="str">
        <f t="shared" si="3"/>
        <v>8</v>
      </c>
    </row>
    <row r="42" spans="1:11" x14ac:dyDescent="0.4">
      <c r="A42" s="29" t="str">
        <f>[1]Sheet1!A42</f>
        <v>8326</v>
      </c>
      <c r="B42" s="35" t="s">
        <v>3784</v>
      </c>
      <c r="C42" s="31">
        <v>0</v>
      </c>
      <c r="D42" s="31">
        <v>0</v>
      </c>
      <c r="E42" s="31">
        <v>0.125</v>
      </c>
      <c r="F42" s="31">
        <v>0.375</v>
      </c>
      <c r="G42" s="31">
        <v>0.5</v>
      </c>
      <c r="H42" s="32">
        <f t="shared" si="0"/>
        <v>0.875</v>
      </c>
      <c r="I42" s="32">
        <f t="shared" si="1"/>
        <v>0.625</v>
      </c>
      <c r="J42" s="33" t="str">
        <f t="shared" si="2"/>
        <v>RM</v>
      </c>
      <c r="K42" s="26" t="str">
        <f t="shared" si="3"/>
        <v>8</v>
      </c>
    </row>
    <row r="43" spans="1:11" x14ac:dyDescent="0.4">
      <c r="A43" s="29" t="str">
        <f>[1]Sheet1!A43</f>
        <v>9123</v>
      </c>
      <c r="B43" s="30" t="s">
        <v>3785</v>
      </c>
      <c r="C43" s="31">
        <v>0</v>
      </c>
      <c r="D43" s="31">
        <v>0</v>
      </c>
      <c r="E43" s="31">
        <v>0</v>
      </c>
      <c r="F43" s="31">
        <v>0</v>
      </c>
      <c r="G43" s="31">
        <v>1</v>
      </c>
      <c r="H43" s="32">
        <f t="shared" si="0"/>
        <v>1</v>
      </c>
      <c r="I43" s="32">
        <f t="shared" si="1"/>
        <v>1</v>
      </c>
      <c r="J43" s="33" t="str">
        <f t="shared" si="2"/>
        <v>RM</v>
      </c>
      <c r="K43" s="26" t="str">
        <f t="shared" si="3"/>
        <v>9</v>
      </c>
    </row>
    <row r="44" spans="1:11" x14ac:dyDescent="0.4">
      <c r="A44" s="37">
        <v>9335</v>
      </c>
      <c r="B44" s="35" t="s">
        <v>3787</v>
      </c>
      <c r="C44" s="39">
        <v>0</v>
      </c>
      <c r="D44" s="39">
        <v>0.14285714285714285</v>
      </c>
      <c r="E44" s="39">
        <v>0.14285714285714285</v>
      </c>
      <c r="F44" s="39">
        <v>0.42857142857142855</v>
      </c>
      <c r="G44" s="39">
        <v>0.2857142857142857</v>
      </c>
      <c r="H44" s="40">
        <v>0.71428571428571419</v>
      </c>
      <c r="I44" s="40">
        <v>0.42857142857142855</v>
      </c>
      <c r="J44" s="36" t="s">
        <v>3686</v>
      </c>
      <c r="K44" s="41">
        <v>9</v>
      </c>
    </row>
    <row r="47" spans="1:11" ht="14.25" x14ac:dyDescent="0.45">
      <c r="C47" s="25"/>
      <c r="D47" s="27"/>
      <c r="E47" s="27"/>
      <c r="F47" s="27"/>
      <c r="G47" s="27"/>
    </row>
    <row r="55" spans="3:7" x14ac:dyDescent="0.4">
      <c r="C55" s="26"/>
    </row>
    <row r="56" spans="3:7" x14ac:dyDescent="0.4">
      <c r="C56" s="38"/>
      <c r="D56" s="38"/>
      <c r="E56" s="38"/>
      <c r="F56" s="38"/>
      <c r="G56"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generalao</vt:lpstr>
      <vt:lpstr>tied</vt:lpstr>
      <vt:lpstr>added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Aries Eroles</cp:lastModifiedBy>
  <dcterms:created xsi:type="dcterms:W3CDTF">2025-05-08T12:52:38Z</dcterms:created>
  <dcterms:modified xsi:type="dcterms:W3CDTF">2025-11-29T23:21:24Z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2025-05-08T00:00:00Z</vt:filetime>
  </property>
  <property fmtid="{D5CDD505-2E9C-101B-9397-08002B2CF9AE}" pid="3" name="LastSaved">
    <vt:filetime>2025-05-08T00:00:00Z</vt:filetime>
  </property>
  <property fmtid="{D5CDD505-2E9C-101B-9397-08002B2CF9AE}" pid="4" name="Producer">
    <vt:lpwstr>3-Heights(TM) PDF Security Shell 4.8.25.2 (http://www.pdf-tools.com)</vt:lpwstr>
  </property>
</Properties>
</file>